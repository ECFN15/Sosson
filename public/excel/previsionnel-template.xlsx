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GESTION CHANTIER\"/>
    </mc:Choice>
  </mc:AlternateContent>
  <xr:revisionPtr revIDLastSave="0" documentId="8_{E0BD4EB7-E2C5-48D6-A54A-39FA4FE40920}" xr6:coauthVersionLast="47" xr6:coauthVersionMax="47" xr10:uidLastSave="{00000000-0000-0000-0000-000000000000}"/>
  <bookViews>
    <workbookView xWindow="-98" yWindow="-98" windowWidth="21795" windowHeight="13875" tabRatio="672" firstSheet="10" activeTab="12" xr2:uid="{00000000-000D-0000-FFFF-FFFF00000000}"/>
  </bookViews>
  <sheets>
    <sheet name="2013-14" sheetId="2" r:id="rId1"/>
    <sheet name="2014-15" sheetId="1" r:id="rId2"/>
    <sheet name="2015-16" sheetId="5" r:id="rId3"/>
    <sheet name="2016-17" sheetId="7" r:id="rId4"/>
    <sheet name="2017-18" sheetId="9" r:id="rId5"/>
    <sheet name="2018-19" sheetId="10" r:id="rId6"/>
    <sheet name="2019-20" sheetId="6" r:id="rId7"/>
    <sheet name="2020-21" sheetId="14" r:id="rId8"/>
    <sheet name="2021-22" sheetId="18" r:id="rId9"/>
    <sheet name="2022-23" sheetId="19" r:id="rId10"/>
    <sheet name="2023-24" sheetId="20" r:id="rId11"/>
    <sheet name="2024-25" sheetId="22" r:id="rId12"/>
    <sheet name="2025-26" sheetId="23" r:id="rId13"/>
    <sheet name="VENTIL 2021" sheetId="16" r:id="rId14"/>
    <sheet name="Feuil3" sheetId="17" r:id="rId15"/>
    <sheet name="Graphique1" sheetId="13" r:id="rId16"/>
    <sheet name="base" sheetId="4" r:id="rId17"/>
    <sheet name="Feuil2" sheetId="12" r:id="rId18"/>
    <sheet name="Planning 2021" sheetId="15" r:id="rId19"/>
  </sheets>
  <definedNames>
    <definedName name="_xlnm._FilterDatabase" localSheetId="5" hidden="1">'2018-19'!$A$6:$D$24</definedName>
    <definedName name="_xlnm._FilterDatabase" localSheetId="6" hidden="1">'2019-20'!#REF!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23" l="1"/>
  <c r="AP83" i="23"/>
  <c r="AN83" i="23"/>
  <c r="AL83" i="23"/>
  <c r="AJ83" i="23"/>
  <c r="AH83" i="23"/>
  <c r="AF83" i="23"/>
  <c r="AD83" i="23"/>
  <c r="AB83" i="23"/>
  <c r="Z83" i="23"/>
  <c r="X83" i="23"/>
  <c r="V83" i="23"/>
  <c r="T83" i="23"/>
  <c r="R83" i="23"/>
  <c r="P83" i="23"/>
  <c r="N83" i="23"/>
  <c r="L83" i="23"/>
  <c r="J83" i="23"/>
  <c r="H83" i="23"/>
  <c r="AP84" i="23"/>
  <c r="AN84" i="23"/>
  <c r="AL84" i="23"/>
  <c r="AJ84" i="23"/>
  <c r="AH84" i="23"/>
  <c r="AF84" i="23"/>
  <c r="AD84" i="23"/>
  <c r="AB84" i="23"/>
  <c r="Z84" i="23"/>
  <c r="X84" i="23"/>
  <c r="V84" i="23"/>
  <c r="T84" i="23"/>
  <c r="R84" i="23"/>
  <c r="P84" i="23"/>
  <c r="N84" i="23"/>
  <c r="L84" i="23"/>
  <c r="J84" i="23"/>
  <c r="H84" i="23"/>
  <c r="BD130" i="23"/>
  <c r="BD72" i="23"/>
  <c r="BD70" i="23"/>
  <c r="BD62" i="23"/>
  <c r="BD61" i="23"/>
  <c r="BD59" i="23"/>
  <c r="BD56" i="23"/>
  <c r="BD41" i="23"/>
  <c r="BD40" i="23"/>
  <c r="BD39" i="23"/>
  <c r="BD38" i="23"/>
  <c r="BD37" i="23"/>
  <c r="D20" i="23"/>
  <c r="AS125" i="23"/>
  <c r="AR125" i="23" s="1"/>
  <c r="D125" i="23"/>
  <c r="BE42" i="23"/>
  <c r="BD42" i="23" s="1"/>
  <c r="BH27" i="23"/>
  <c r="AP27" i="23"/>
  <c r="AN27" i="23"/>
  <c r="AL27" i="23"/>
  <c r="AJ27" i="23"/>
  <c r="AH27" i="23"/>
  <c r="AF27" i="23"/>
  <c r="AD27" i="23"/>
  <c r="AB27" i="23"/>
  <c r="Z27" i="23"/>
  <c r="X27" i="23"/>
  <c r="V27" i="23"/>
  <c r="T27" i="23"/>
  <c r="R27" i="23"/>
  <c r="P27" i="23"/>
  <c r="N27" i="23"/>
  <c r="L27" i="23"/>
  <c r="J27" i="23"/>
  <c r="H27" i="23"/>
  <c r="D43" i="23"/>
  <c r="AU43" i="23" s="1"/>
  <c r="D58" i="23"/>
  <c r="F58" i="23" s="1"/>
  <c r="BC117" i="23"/>
  <c r="BB117" i="23" s="1"/>
  <c r="D117" i="23"/>
  <c r="F117" i="23" s="1"/>
  <c r="AD117" i="23" s="1"/>
  <c r="U117" i="23"/>
  <c r="BC58" i="23"/>
  <c r="BB58" i="23" s="1"/>
  <c r="BH28" i="23"/>
  <c r="AP28" i="23"/>
  <c r="AN28" i="23"/>
  <c r="AL28" i="23"/>
  <c r="AJ28" i="23"/>
  <c r="AH28" i="23"/>
  <c r="AF28" i="23"/>
  <c r="AD28" i="23"/>
  <c r="AB28" i="23"/>
  <c r="Z28" i="23"/>
  <c r="X28" i="23"/>
  <c r="V28" i="23"/>
  <c r="T28" i="23"/>
  <c r="R28" i="23"/>
  <c r="P28" i="23"/>
  <c r="N28" i="23"/>
  <c r="L28" i="23"/>
  <c r="J28" i="23"/>
  <c r="H28" i="23"/>
  <c r="AR46" i="23"/>
  <c r="AT46" i="23" s="1"/>
  <c r="AP46" i="23"/>
  <c r="AN46" i="23"/>
  <c r="AL46" i="23"/>
  <c r="AJ46" i="23"/>
  <c r="AH46" i="23"/>
  <c r="AF46" i="23"/>
  <c r="AD46" i="23"/>
  <c r="AB46" i="23"/>
  <c r="Z46" i="23"/>
  <c r="X46" i="23"/>
  <c r="V46" i="23"/>
  <c r="T46" i="23"/>
  <c r="R46" i="23"/>
  <c r="P46" i="23"/>
  <c r="N46" i="23"/>
  <c r="L46" i="23"/>
  <c r="J46" i="23"/>
  <c r="H46" i="23"/>
  <c r="E46" i="23"/>
  <c r="E47" i="23"/>
  <c r="AR47" i="23"/>
  <c r="AT47" i="23" s="1"/>
  <c r="AP47" i="23"/>
  <c r="AN47" i="23"/>
  <c r="AL47" i="23"/>
  <c r="AJ47" i="23"/>
  <c r="AH47" i="23"/>
  <c r="AF47" i="23"/>
  <c r="AD47" i="23"/>
  <c r="AB47" i="23"/>
  <c r="Z47" i="23"/>
  <c r="X47" i="23"/>
  <c r="V47" i="23"/>
  <c r="T47" i="23"/>
  <c r="R47" i="23"/>
  <c r="P47" i="23"/>
  <c r="N47" i="23"/>
  <c r="L47" i="23"/>
  <c r="J47" i="23"/>
  <c r="H47" i="23"/>
  <c r="F64" i="23"/>
  <c r="E49" i="23"/>
  <c r="BB73" i="23"/>
  <c r="BB21" i="23"/>
  <c r="BB115" i="23"/>
  <c r="F37" i="23"/>
  <c r="BC127" i="23"/>
  <c r="BB127" i="23" s="1"/>
  <c r="BC62" i="23"/>
  <c r="BB62" i="23" s="1"/>
  <c r="BB61" i="23"/>
  <c r="BB59" i="23"/>
  <c r="BB41" i="23"/>
  <c r="BB40" i="23"/>
  <c r="BB39" i="23"/>
  <c r="BB38" i="23"/>
  <c r="BB130" i="23"/>
  <c r="W70" i="23"/>
  <c r="U70" i="23"/>
  <c r="K70" i="23"/>
  <c r="AP29" i="23"/>
  <c r="AN29" i="23"/>
  <c r="AL29" i="23"/>
  <c r="AJ29" i="23"/>
  <c r="AH29" i="23"/>
  <c r="AF29" i="23"/>
  <c r="AD29" i="23"/>
  <c r="AB29" i="23"/>
  <c r="Z29" i="23"/>
  <c r="X29" i="23"/>
  <c r="V29" i="23"/>
  <c r="T29" i="23"/>
  <c r="R29" i="23"/>
  <c r="P29" i="23"/>
  <c r="N29" i="23"/>
  <c r="L29" i="23"/>
  <c r="J29" i="23"/>
  <c r="H29" i="23"/>
  <c r="W55" i="23"/>
  <c r="U55" i="23"/>
  <c r="Q55" i="23"/>
  <c r="D55" i="23"/>
  <c r="F55" i="23" s="1"/>
  <c r="D70" i="23"/>
  <c r="F70" i="23" s="1"/>
  <c r="BC92" i="23"/>
  <c r="BB92" i="23" s="1"/>
  <c r="K92" i="23"/>
  <c r="D92" i="23"/>
  <c r="BC56" i="23"/>
  <c r="BB56" i="23" s="1"/>
  <c r="D21" i="23"/>
  <c r="D50" i="23"/>
  <c r="F50" i="23" s="1"/>
  <c r="W50" i="23"/>
  <c r="M50" i="23"/>
  <c r="AZ56" i="23"/>
  <c r="AZ73" i="23"/>
  <c r="AC68" i="23"/>
  <c r="U68" i="23"/>
  <c r="O68" i="23"/>
  <c r="D68" i="23"/>
  <c r="F68" i="23" s="1"/>
  <c r="BA123" i="23"/>
  <c r="BA77" i="23"/>
  <c r="F77" i="23"/>
  <c r="AZ14" i="23"/>
  <c r="BD113" i="22"/>
  <c r="E113" i="22"/>
  <c r="AZ62" i="23"/>
  <c r="AZ41" i="23"/>
  <c r="AZ40" i="23"/>
  <c r="AZ39" i="23"/>
  <c r="AZ88" i="23"/>
  <c r="AZ61" i="23"/>
  <c r="AZ130" i="23"/>
  <c r="F61" i="23"/>
  <c r="AR30" i="23"/>
  <c r="AP30" i="23"/>
  <c r="AN30" i="23"/>
  <c r="AL30" i="23"/>
  <c r="AJ30" i="23"/>
  <c r="AH30" i="23"/>
  <c r="AF30" i="23"/>
  <c r="AD30" i="23"/>
  <c r="AB30" i="23"/>
  <c r="Z30" i="23"/>
  <c r="X30" i="23"/>
  <c r="V30" i="23"/>
  <c r="T30" i="23"/>
  <c r="R30" i="23"/>
  <c r="P30" i="23"/>
  <c r="N30" i="23"/>
  <c r="L30" i="23"/>
  <c r="J30" i="23"/>
  <c r="H30" i="23"/>
  <c r="A42" i="23"/>
  <c r="O42" i="23"/>
  <c r="F42" i="23"/>
  <c r="AU87" i="23"/>
  <c r="D87" i="23"/>
  <c r="AQ83" i="23" l="1"/>
  <c r="BJ83" i="23"/>
  <c r="AQ84" i="23"/>
  <c r="AQ27" i="23"/>
  <c r="BJ27" i="23"/>
  <c r="BL27" i="23" s="1"/>
  <c r="AQ28" i="23"/>
  <c r="BJ28" i="23"/>
  <c r="AQ46" i="23"/>
  <c r="AV46" i="23"/>
  <c r="AQ47" i="23"/>
  <c r="AV47" i="23"/>
  <c r="AQ29" i="23"/>
  <c r="AQ30" i="23"/>
  <c r="AH117" i="23"/>
  <c r="AT30" i="23"/>
  <c r="AV30" i="23" s="1"/>
  <c r="AF117" i="23"/>
  <c r="AJ117" i="23"/>
  <c r="AL117" i="23"/>
  <c r="AN117" i="23"/>
  <c r="AP117" i="23"/>
  <c r="V117" i="23"/>
  <c r="H117" i="23"/>
  <c r="J117" i="23"/>
  <c r="L117" i="23"/>
  <c r="N117" i="23"/>
  <c r="P117" i="23"/>
  <c r="R117" i="23"/>
  <c r="T117" i="23"/>
  <c r="X117" i="23"/>
  <c r="Z117" i="23"/>
  <c r="AB117" i="23"/>
  <c r="BL83" i="23" l="1"/>
  <c r="BN83" i="23" s="1"/>
  <c r="BN27" i="23"/>
  <c r="BP27" i="23" s="1"/>
  <c r="BL28" i="23"/>
  <c r="BN28" i="23"/>
  <c r="AX46" i="23"/>
  <c r="AZ46" i="23" s="1"/>
  <c r="AX47" i="23"/>
  <c r="AX30" i="23"/>
  <c r="AZ30" i="23" s="1"/>
  <c r="AQ117" i="23"/>
  <c r="AX124" i="23"/>
  <c r="AY123" i="23"/>
  <c r="AX123" i="23" s="1"/>
  <c r="AY127" i="23"/>
  <c r="AY61" i="23"/>
  <c r="AX61" i="23" s="1"/>
  <c r="AX41" i="23"/>
  <c r="AX40" i="23"/>
  <c r="AX39" i="23"/>
  <c r="AX38" i="23"/>
  <c r="AX130" i="23"/>
  <c r="F130" i="23"/>
  <c r="AP130" i="23" s="1"/>
  <c r="AY56" i="23"/>
  <c r="AX56" i="23" s="1"/>
  <c r="D56" i="23"/>
  <c r="AX127" i="23"/>
  <c r="BP83" i="23" l="1"/>
  <c r="BB46" i="23"/>
  <c r="BD46" i="23" s="1"/>
  <c r="BP28" i="23"/>
  <c r="AZ47" i="23"/>
  <c r="AH130" i="23"/>
  <c r="BB30" i="23"/>
  <c r="H130" i="23"/>
  <c r="J130" i="23"/>
  <c r="L130" i="23"/>
  <c r="T130" i="23"/>
  <c r="V130" i="23"/>
  <c r="X130" i="23"/>
  <c r="Z130" i="23"/>
  <c r="AB130" i="23"/>
  <c r="AD130" i="23"/>
  <c r="AF130" i="23"/>
  <c r="AJ130" i="23"/>
  <c r="N130" i="23"/>
  <c r="AL130" i="23"/>
  <c r="P130" i="23"/>
  <c r="AN130" i="23"/>
  <c r="R130" i="23"/>
  <c r="F94" i="23"/>
  <c r="AD94" i="23" s="1"/>
  <c r="AT77" i="23"/>
  <c r="D40" i="22"/>
  <c r="AR48" i="23"/>
  <c r="AP48" i="23"/>
  <c r="AN48" i="23"/>
  <c r="AL48" i="23"/>
  <c r="AJ48" i="23"/>
  <c r="AH48" i="23"/>
  <c r="AF48" i="23"/>
  <c r="AD48" i="23"/>
  <c r="AB48" i="23"/>
  <c r="Z48" i="23"/>
  <c r="X48" i="23"/>
  <c r="V48" i="23"/>
  <c r="T48" i="23"/>
  <c r="R48" i="23"/>
  <c r="P48" i="23"/>
  <c r="N48" i="23"/>
  <c r="L48" i="23"/>
  <c r="J48" i="23"/>
  <c r="H48" i="23"/>
  <c r="AY89" i="23"/>
  <c r="F103" i="23"/>
  <c r="AL103" i="23" s="1"/>
  <c r="AN50" i="23"/>
  <c r="D123" i="23"/>
  <c r="AR49" i="23"/>
  <c r="AT49" i="23" s="1"/>
  <c r="AP49" i="23"/>
  <c r="AN49" i="23"/>
  <c r="AL49" i="23"/>
  <c r="AJ49" i="23"/>
  <c r="AH49" i="23"/>
  <c r="AF49" i="23"/>
  <c r="AD49" i="23"/>
  <c r="AB49" i="23"/>
  <c r="Z49" i="23"/>
  <c r="X49" i="23"/>
  <c r="V49" i="23"/>
  <c r="T49" i="23"/>
  <c r="R49" i="23"/>
  <c r="P49" i="23"/>
  <c r="N49" i="23"/>
  <c r="L49" i="23"/>
  <c r="J49" i="23"/>
  <c r="H49" i="23"/>
  <c r="AR95" i="23"/>
  <c r="AT95" i="23" s="1"/>
  <c r="AP95" i="23"/>
  <c r="AN95" i="23"/>
  <c r="AL95" i="23"/>
  <c r="AJ95" i="23"/>
  <c r="AH95" i="23"/>
  <c r="AF95" i="23"/>
  <c r="AD95" i="23"/>
  <c r="AB95" i="23"/>
  <c r="Z95" i="23"/>
  <c r="X95" i="23"/>
  <c r="V95" i="23"/>
  <c r="T95" i="23"/>
  <c r="R95" i="23"/>
  <c r="P95" i="23"/>
  <c r="N95" i="23"/>
  <c r="L95" i="23"/>
  <c r="J95" i="23"/>
  <c r="H95" i="23"/>
  <c r="AP50" i="23"/>
  <c r="Z50" i="23"/>
  <c r="AR85" i="23"/>
  <c r="AP85" i="23"/>
  <c r="AN85" i="23"/>
  <c r="AL85" i="23"/>
  <c r="AJ85" i="23"/>
  <c r="AH85" i="23"/>
  <c r="AF85" i="23"/>
  <c r="AD85" i="23"/>
  <c r="AB85" i="23"/>
  <c r="Z85" i="23"/>
  <c r="X85" i="23"/>
  <c r="V85" i="23"/>
  <c r="T85" i="23"/>
  <c r="R85" i="23"/>
  <c r="P85" i="23"/>
  <c r="N85" i="23"/>
  <c r="L85" i="23"/>
  <c r="J85" i="23"/>
  <c r="H85" i="23"/>
  <c r="AR51" i="23"/>
  <c r="AP51" i="23"/>
  <c r="AN51" i="23"/>
  <c r="AL51" i="23"/>
  <c r="AJ51" i="23"/>
  <c r="AH51" i="23"/>
  <c r="AF51" i="23"/>
  <c r="AD51" i="23"/>
  <c r="AB51" i="23"/>
  <c r="Z51" i="23"/>
  <c r="X51" i="23"/>
  <c r="V51" i="23"/>
  <c r="T51" i="23"/>
  <c r="R51" i="23"/>
  <c r="P51" i="23"/>
  <c r="N51" i="23"/>
  <c r="L51" i="23"/>
  <c r="J51" i="23"/>
  <c r="H51" i="23"/>
  <c r="AR31" i="23"/>
  <c r="AP31" i="23"/>
  <c r="AN31" i="23"/>
  <c r="AL31" i="23"/>
  <c r="AJ31" i="23"/>
  <c r="AH31" i="23"/>
  <c r="AF31" i="23"/>
  <c r="AD31" i="23"/>
  <c r="AB31" i="23"/>
  <c r="Z31" i="23"/>
  <c r="X31" i="23"/>
  <c r="V31" i="23"/>
  <c r="T31" i="23"/>
  <c r="R31" i="23"/>
  <c r="P31" i="23"/>
  <c r="N31" i="23"/>
  <c r="L31" i="23"/>
  <c r="J31" i="23"/>
  <c r="H31" i="23"/>
  <c r="E96" i="23"/>
  <c r="E86" i="23"/>
  <c r="AR86" i="23"/>
  <c r="AP86" i="23"/>
  <c r="AN86" i="23"/>
  <c r="AL86" i="23"/>
  <c r="AJ86" i="23"/>
  <c r="AH86" i="23"/>
  <c r="AF86" i="23"/>
  <c r="AD86" i="23"/>
  <c r="AB86" i="23"/>
  <c r="Z86" i="23"/>
  <c r="X86" i="23"/>
  <c r="V86" i="23"/>
  <c r="T86" i="23"/>
  <c r="R86" i="23"/>
  <c r="P86" i="23"/>
  <c r="N86" i="23"/>
  <c r="L86" i="23"/>
  <c r="J86" i="23"/>
  <c r="H86" i="23"/>
  <c r="AR96" i="23"/>
  <c r="AP96" i="23"/>
  <c r="AN96" i="23"/>
  <c r="AL96" i="23"/>
  <c r="AJ96" i="23"/>
  <c r="AH96" i="23"/>
  <c r="AF96" i="23"/>
  <c r="AD96" i="23"/>
  <c r="AB96" i="23"/>
  <c r="Z96" i="23"/>
  <c r="X96" i="23"/>
  <c r="V96" i="23"/>
  <c r="T96" i="23"/>
  <c r="R96" i="23"/>
  <c r="P96" i="23"/>
  <c r="N96" i="23"/>
  <c r="L96" i="23"/>
  <c r="J96" i="23"/>
  <c r="H96" i="23"/>
  <c r="AC56" i="23"/>
  <c r="O56" i="23"/>
  <c r="G56" i="23"/>
  <c r="O59" i="23"/>
  <c r="AK59" i="23"/>
  <c r="BF46" i="23" l="1"/>
  <c r="BH46" i="23"/>
  <c r="BJ46" i="23" s="1"/>
  <c r="BF84" i="23"/>
  <c r="BH84" i="23"/>
  <c r="BJ84" i="23" s="1"/>
  <c r="BB47" i="23"/>
  <c r="BD47" i="23" s="1"/>
  <c r="BH29" i="23"/>
  <c r="BJ29" i="23" s="1"/>
  <c r="BL29" i="23" s="1"/>
  <c r="BN29" i="23" s="1"/>
  <c r="R50" i="23"/>
  <c r="T50" i="23"/>
  <c r="V50" i="23"/>
  <c r="X50" i="23"/>
  <c r="AD50" i="23"/>
  <c r="H50" i="23"/>
  <c r="J50" i="23"/>
  <c r="L50" i="23"/>
  <c r="AJ50" i="23"/>
  <c r="N50" i="23"/>
  <c r="AL50" i="23"/>
  <c r="AB50" i="23"/>
  <c r="AF50" i="23"/>
  <c r="AH50" i="23"/>
  <c r="P50" i="23"/>
  <c r="BD30" i="23"/>
  <c r="BF30" i="23" s="1"/>
  <c r="AN103" i="23"/>
  <c r="AQ130" i="23"/>
  <c r="AB103" i="23"/>
  <c r="AD103" i="23"/>
  <c r="BF117" i="23"/>
  <c r="BH117" i="23" s="1"/>
  <c r="AF103" i="23"/>
  <c r="X94" i="23"/>
  <c r="Z94" i="23"/>
  <c r="AB94" i="23"/>
  <c r="H94" i="23"/>
  <c r="AF94" i="23"/>
  <c r="J94" i="23"/>
  <c r="AH94" i="23"/>
  <c r="L94" i="23"/>
  <c r="AJ94" i="23"/>
  <c r="N94" i="23"/>
  <c r="AL94" i="23"/>
  <c r="P94" i="23"/>
  <c r="AN94" i="23"/>
  <c r="R94" i="23"/>
  <c r="AP94" i="23"/>
  <c r="T94" i="23"/>
  <c r="V94" i="23"/>
  <c r="P103" i="23"/>
  <c r="L103" i="23"/>
  <c r="V103" i="23"/>
  <c r="X103" i="23"/>
  <c r="J103" i="23"/>
  <c r="N103" i="23"/>
  <c r="Z103" i="23"/>
  <c r="H103" i="23"/>
  <c r="AP103" i="23"/>
  <c r="AQ48" i="23"/>
  <c r="R103" i="23"/>
  <c r="AH103" i="23"/>
  <c r="T103" i="23"/>
  <c r="AJ103" i="23"/>
  <c r="AT48" i="23"/>
  <c r="AV48" i="23" s="1"/>
  <c r="AQ49" i="23"/>
  <c r="AV49" i="23"/>
  <c r="AQ95" i="23"/>
  <c r="AV95" i="23"/>
  <c r="AQ85" i="23"/>
  <c r="AQ51" i="23"/>
  <c r="AT85" i="23"/>
  <c r="AT51" i="23"/>
  <c r="AV51" i="23" s="1"/>
  <c r="AQ31" i="23"/>
  <c r="AT31" i="23"/>
  <c r="AV31" i="23" s="1"/>
  <c r="AQ86" i="23"/>
  <c r="AT86" i="23"/>
  <c r="AV86" i="23" s="1"/>
  <c r="AQ96" i="23"/>
  <c r="AT96" i="23"/>
  <c r="AV96" i="23" s="1"/>
  <c r="F59" i="23"/>
  <c r="F56" i="23"/>
  <c r="T42" i="23"/>
  <c r="D81" i="23"/>
  <c r="F81" i="23" s="1"/>
  <c r="C51" i="22"/>
  <c r="AV81" i="23"/>
  <c r="AW81" i="23" s="1"/>
  <c r="AW115" i="23"/>
  <c r="AW124" i="23"/>
  <c r="AW123" i="23"/>
  <c r="AW89" i="23"/>
  <c r="AW78" i="23"/>
  <c r="AW107" i="23"/>
  <c r="AW41" i="23"/>
  <c r="AW40" i="23"/>
  <c r="AW39" i="23"/>
  <c r="AV38" i="23"/>
  <c r="AW38" i="23" s="1"/>
  <c r="D38" i="23"/>
  <c r="U123" i="23"/>
  <c r="W123" i="23"/>
  <c r="F123" i="23"/>
  <c r="D118" i="2"/>
  <c r="BL84" i="23" l="1"/>
  <c r="BN84" i="23" s="1"/>
  <c r="BP84" i="23" s="1"/>
  <c r="BL46" i="23"/>
  <c r="BN46" i="23" s="1"/>
  <c r="BP46" i="23" s="1"/>
  <c r="BF47" i="23"/>
  <c r="BP29" i="23"/>
  <c r="AQ50" i="23"/>
  <c r="BH30" i="23"/>
  <c r="BJ117" i="23"/>
  <c r="BL117" i="23" s="1"/>
  <c r="BN117" i="23" s="1"/>
  <c r="AX48" i="23"/>
  <c r="AZ48" i="23" s="1"/>
  <c r="AQ94" i="23"/>
  <c r="AQ103" i="23"/>
  <c r="AX103" i="23"/>
  <c r="AY103" i="23" s="1"/>
  <c r="AX49" i="23"/>
  <c r="AX95" i="23"/>
  <c r="AX86" i="23"/>
  <c r="AZ86" i="23" s="1"/>
  <c r="AV85" i="23"/>
  <c r="AX85" i="23" s="1"/>
  <c r="AX51" i="23"/>
  <c r="AZ51" i="23" s="1"/>
  <c r="AX31" i="23"/>
  <c r="AX96" i="23"/>
  <c r="AZ96" i="23" s="1"/>
  <c r="AR52" i="23"/>
  <c r="AP52" i="23"/>
  <c r="AN52" i="23"/>
  <c r="AL52" i="23"/>
  <c r="AJ52" i="23"/>
  <c r="AH52" i="23"/>
  <c r="AF52" i="23"/>
  <c r="AD52" i="23"/>
  <c r="AB52" i="23"/>
  <c r="Z52" i="23"/>
  <c r="X52" i="23"/>
  <c r="V52" i="23"/>
  <c r="T52" i="23"/>
  <c r="R52" i="23"/>
  <c r="P52" i="23"/>
  <c r="N52" i="23"/>
  <c r="L52" i="23"/>
  <c r="J52" i="23"/>
  <c r="H52" i="23"/>
  <c r="Q61" i="23"/>
  <c r="O61" i="23"/>
  <c r="BH47" i="23" l="1"/>
  <c r="BJ47" i="23" s="1"/>
  <c r="BL47" i="23" s="1"/>
  <c r="BJ30" i="23"/>
  <c r="BB48" i="23"/>
  <c r="BD48" i="23" s="1"/>
  <c r="BP117" i="23"/>
  <c r="AZ103" i="23"/>
  <c r="BB103" i="23" s="1"/>
  <c r="AZ49" i="23"/>
  <c r="BB49" i="23" s="1"/>
  <c r="AZ95" i="23"/>
  <c r="BB51" i="23"/>
  <c r="BD51" i="23" s="1"/>
  <c r="BB86" i="23"/>
  <c r="BD86" i="23" s="1"/>
  <c r="BF86" i="23" s="1"/>
  <c r="BH86" i="23" s="1"/>
  <c r="BJ86" i="23" s="1"/>
  <c r="AZ85" i="23"/>
  <c r="BB85" i="23" s="1"/>
  <c r="AZ31" i="23"/>
  <c r="BB31" i="23" s="1"/>
  <c r="BB96" i="23"/>
  <c r="BD96" i="23" s="1"/>
  <c r="AQ52" i="23"/>
  <c r="AT52" i="23"/>
  <c r="AV52" i="23" s="1"/>
  <c r="AV127" i="23"/>
  <c r="AW127" i="23" s="1"/>
  <c r="AS81" i="23"/>
  <c r="D67" i="22"/>
  <c r="F76" i="23"/>
  <c r="F72" i="23"/>
  <c r="AP72" i="23" s="1"/>
  <c r="AP37" i="23"/>
  <c r="AN37" i="23"/>
  <c r="AL37" i="23"/>
  <c r="AJ37" i="23"/>
  <c r="AH37" i="23"/>
  <c r="AF37" i="23"/>
  <c r="AD37" i="23"/>
  <c r="AB37" i="23"/>
  <c r="Z37" i="23"/>
  <c r="X37" i="23"/>
  <c r="V37" i="23"/>
  <c r="T37" i="23"/>
  <c r="R37" i="23"/>
  <c r="P37" i="23"/>
  <c r="N37" i="23"/>
  <c r="L37" i="23"/>
  <c r="J37" i="23"/>
  <c r="H37" i="23"/>
  <c r="AU89" i="23"/>
  <c r="AU41" i="23"/>
  <c r="AU40" i="23"/>
  <c r="AU39" i="23"/>
  <c r="AU38" i="23"/>
  <c r="O38" i="23"/>
  <c r="Q38" i="23"/>
  <c r="U38" i="23"/>
  <c r="F38" i="23"/>
  <c r="AF38" i="23" s="1"/>
  <c r="F114" i="23"/>
  <c r="AB114" i="23" s="1"/>
  <c r="BN47" i="23" l="1"/>
  <c r="BP47" i="23" s="1"/>
  <c r="BL30" i="23"/>
  <c r="BN30" i="23" s="1"/>
  <c r="BF130" i="23"/>
  <c r="BH130" i="23" s="1"/>
  <c r="AZ94" i="23"/>
  <c r="BB94" i="23" s="1"/>
  <c r="BF48" i="23"/>
  <c r="BD103" i="23"/>
  <c r="BD49" i="23"/>
  <c r="BB95" i="23"/>
  <c r="BD95" i="23" s="1"/>
  <c r="BD85" i="23"/>
  <c r="BF85" i="23" s="1"/>
  <c r="BL86" i="23"/>
  <c r="BN86" i="23" s="1"/>
  <c r="AX52" i="23"/>
  <c r="AZ52" i="23" s="1"/>
  <c r="BF51" i="23"/>
  <c r="P114" i="23"/>
  <c r="BD31" i="23"/>
  <c r="BF96" i="23"/>
  <c r="BH96" i="23" s="1"/>
  <c r="BJ96" i="23" s="1"/>
  <c r="L72" i="23"/>
  <c r="AF76" i="23"/>
  <c r="AH76" i="23"/>
  <c r="AL76" i="23"/>
  <c r="T76" i="23"/>
  <c r="H76" i="23"/>
  <c r="J76" i="23"/>
  <c r="Z76" i="23"/>
  <c r="AP76" i="23"/>
  <c r="P76" i="23"/>
  <c r="AJ76" i="23"/>
  <c r="X76" i="23"/>
  <c r="L76" i="23"/>
  <c r="AB76" i="23"/>
  <c r="AV76" i="23"/>
  <c r="AW76" i="23" s="1"/>
  <c r="R76" i="23"/>
  <c r="V76" i="23"/>
  <c r="AN76" i="23"/>
  <c r="N76" i="23"/>
  <c r="AD76" i="23"/>
  <c r="J72" i="23"/>
  <c r="N114" i="23"/>
  <c r="AJ114" i="23"/>
  <c r="T114" i="23"/>
  <c r="R72" i="23"/>
  <c r="V114" i="23"/>
  <c r="Z72" i="23"/>
  <c r="R114" i="23"/>
  <c r="Z114" i="23"/>
  <c r="AB72" i="23"/>
  <c r="AH72" i="23"/>
  <c r="AD114" i="23"/>
  <c r="J114" i="23"/>
  <c r="AH114" i="23"/>
  <c r="T72" i="23"/>
  <c r="AJ72" i="23"/>
  <c r="V72" i="23"/>
  <c r="AL72" i="23"/>
  <c r="H72" i="23"/>
  <c r="X72" i="23"/>
  <c r="AN72" i="23"/>
  <c r="N72" i="23"/>
  <c r="AD72" i="23"/>
  <c r="P72" i="23"/>
  <c r="AF72" i="23"/>
  <c r="AQ37" i="23"/>
  <c r="AL114" i="23"/>
  <c r="P38" i="23"/>
  <c r="AF114" i="23"/>
  <c r="T38" i="23"/>
  <c r="AJ38" i="23"/>
  <c r="R38" i="23"/>
  <c r="AH38" i="23"/>
  <c r="V38" i="23"/>
  <c r="AN38" i="23"/>
  <c r="L38" i="23"/>
  <c r="AB38" i="23"/>
  <c r="AL38" i="23"/>
  <c r="H38" i="23"/>
  <c r="X38" i="23"/>
  <c r="J38" i="23"/>
  <c r="Z38" i="23"/>
  <c r="AP38" i="23"/>
  <c r="N38" i="23"/>
  <c r="AD38" i="23"/>
  <c r="H114" i="23"/>
  <c r="X114" i="23"/>
  <c r="AN114" i="23"/>
  <c r="L114" i="23"/>
  <c r="AP114" i="23"/>
  <c r="AT114" i="23"/>
  <c r="F43" i="23"/>
  <c r="AT43" i="23" s="1"/>
  <c r="AU15" i="23"/>
  <c r="AU108" i="23"/>
  <c r="AU77" i="23"/>
  <c r="AU79" i="23"/>
  <c r="AU78" i="23"/>
  <c r="F109" i="23"/>
  <c r="AL109" i="23" s="1"/>
  <c r="AT91" i="23"/>
  <c r="AU91" i="23" s="1"/>
  <c r="F115" i="23"/>
  <c r="AR53" i="23"/>
  <c r="AP53" i="23"/>
  <c r="AN53" i="23"/>
  <c r="AL53" i="23"/>
  <c r="AJ53" i="23"/>
  <c r="AH53" i="23"/>
  <c r="AF53" i="23"/>
  <c r="AD53" i="23"/>
  <c r="AB53" i="23"/>
  <c r="Z53" i="23"/>
  <c r="X53" i="23"/>
  <c r="V53" i="23"/>
  <c r="T53" i="23"/>
  <c r="R53" i="23"/>
  <c r="P53" i="23"/>
  <c r="N53" i="23"/>
  <c r="L53" i="23"/>
  <c r="J53" i="23"/>
  <c r="H53" i="23"/>
  <c r="AR57" i="23"/>
  <c r="AP57" i="23"/>
  <c r="AN57" i="23"/>
  <c r="AL57" i="23"/>
  <c r="AJ57" i="23"/>
  <c r="AH57" i="23"/>
  <c r="AF57" i="23"/>
  <c r="AD57" i="23"/>
  <c r="AB57" i="23"/>
  <c r="Z57" i="23"/>
  <c r="X57" i="23"/>
  <c r="V57" i="23"/>
  <c r="T57" i="23"/>
  <c r="R57" i="23"/>
  <c r="P57" i="23"/>
  <c r="N57" i="23"/>
  <c r="L57" i="23"/>
  <c r="J57" i="23"/>
  <c r="H57" i="23"/>
  <c r="F91" i="23"/>
  <c r="AP91" i="23" s="1"/>
  <c r="AR54" i="23"/>
  <c r="AT54" i="23" s="1"/>
  <c r="AV54" i="23" s="1"/>
  <c r="AP54" i="23"/>
  <c r="AN54" i="23"/>
  <c r="AL54" i="23"/>
  <c r="AJ54" i="23"/>
  <c r="AH54" i="23"/>
  <c r="AF54" i="23"/>
  <c r="AD54" i="23"/>
  <c r="AB54" i="23"/>
  <c r="Z54" i="23"/>
  <c r="X54" i="23"/>
  <c r="V54" i="23"/>
  <c r="T54" i="23"/>
  <c r="R54" i="23"/>
  <c r="P54" i="23"/>
  <c r="N54" i="23"/>
  <c r="L54" i="23"/>
  <c r="J54" i="23"/>
  <c r="H54" i="23"/>
  <c r="U62" i="23"/>
  <c r="Q62" i="23"/>
  <c r="F129" i="23"/>
  <c r="AT129" i="23" s="1"/>
  <c r="F62" i="23"/>
  <c r="F111" i="23"/>
  <c r="AB111" i="23" s="1"/>
  <c r="BP30" i="23" l="1"/>
  <c r="BD94" i="23"/>
  <c r="BF94" i="23" s="1"/>
  <c r="BJ130" i="23"/>
  <c r="BL130" i="23" s="1"/>
  <c r="BH48" i="23"/>
  <c r="BJ48" i="23" s="1"/>
  <c r="BL48" i="23" s="1"/>
  <c r="BF103" i="23"/>
  <c r="BF49" i="23"/>
  <c r="BF95" i="23"/>
  <c r="BH95" i="23" s="1"/>
  <c r="BP86" i="23"/>
  <c r="BH85" i="23"/>
  <c r="BH51" i="23"/>
  <c r="BF31" i="23"/>
  <c r="BL96" i="23"/>
  <c r="BN96" i="23" s="1"/>
  <c r="AP43" i="23"/>
  <c r="BB52" i="23"/>
  <c r="BD52" i="23" s="1"/>
  <c r="AQ76" i="23"/>
  <c r="AX76" i="23"/>
  <c r="Z43" i="23"/>
  <c r="AQ72" i="23"/>
  <c r="AQ114" i="23"/>
  <c r="AQ38" i="23"/>
  <c r="AV114" i="23"/>
  <c r="AX114" i="23" s="1"/>
  <c r="AU114" i="23"/>
  <c r="J109" i="23"/>
  <c r="T109" i="23"/>
  <c r="Z109" i="23"/>
  <c r="V109" i="23"/>
  <c r="H109" i="23"/>
  <c r="X109" i="23"/>
  <c r="L109" i="23"/>
  <c r="AB109" i="23"/>
  <c r="N109" i="23"/>
  <c r="AD109" i="23"/>
  <c r="P109" i="23"/>
  <c r="AF109" i="23"/>
  <c r="J43" i="23"/>
  <c r="R109" i="23"/>
  <c r="AH109" i="23"/>
  <c r="L43" i="23"/>
  <c r="AB43" i="23"/>
  <c r="N43" i="23"/>
  <c r="AD43" i="23"/>
  <c r="P43" i="23"/>
  <c r="AF43" i="23"/>
  <c r="AH43" i="23"/>
  <c r="T43" i="23"/>
  <c r="V43" i="23"/>
  <c r="AL43" i="23"/>
  <c r="R43" i="23"/>
  <c r="AJ43" i="23"/>
  <c r="H43" i="23"/>
  <c r="X43" i="23"/>
  <c r="AN43" i="23"/>
  <c r="AJ109" i="23"/>
  <c r="AN109" i="23"/>
  <c r="AP109" i="23"/>
  <c r="AT57" i="23"/>
  <c r="AV57" i="23" s="1"/>
  <c r="AX57" i="23" s="1"/>
  <c r="AZ57" i="23" s="1"/>
  <c r="T91" i="23"/>
  <c r="AJ91" i="23"/>
  <c r="AQ53" i="23"/>
  <c r="H91" i="23"/>
  <c r="J91" i="23"/>
  <c r="Z91" i="23"/>
  <c r="V91" i="23"/>
  <c r="X91" i="23"/>
  <c r="L91" i="23"/>
  <c r="N91" i="23"/>
  <c r="AD91" i="23"/>
  <c r="P91" i="23"/>
  <c r="AF91" i="23"/>
  <c r="AQ57" i="23"/>
  <c r="AB91" i="23"/>
  <c r="R91" i="23"/>
  <c r="AH91" i="23"/>
  <c r="AT53" i="23"/>
  <c r="AL91" i="23"/>
  <c r="AN91" i="23"/>
  <c r="AV91" i="23"/>
  <c r="AQ54" i="23"/>
  <c r="AX54" i="23"/>
  <c r="AZ54" i="23" s="1"/>
  <c r="N111" i="23"/>
  <c r="AH111" i="23"/>
  <c r="AD111" i="23"/>
  <c r="P111" i="23"/>
  <c r="R111" i="23"/>
  <c r="AL111" i="23"/>
  <c r="H111" i="23"/>
  <c r="X111" i="23"/>
  <c r="AN111" i="23"/>
  <c r="AF111" i="23"/>
  <c r="T111" i="23"/>
  <c r="V111" i="23"/>
  <c r="J111" i="23"/>
  <c r="Z111" i="23"/>
  <c r="AP111" i="23"/>
  <c r="AJ111" i="23"/>
  <c r="L111" i="23"/>
  <c r="AT111" i="23"/>
  <c r="AC77" i="23"/>
  <c r="AD89" i="23"/>
  <c r="F127" i="23"/>
  <c r="AN127" i="23" s="1"/>
  <c r="AS115" i="23"/>
  <c r="AP115" i="23"/>
  <c r="AN115" i="23"/>
  <c r="AL115" i="23"/>
  <c r="AJ115" i="23"/>
  <c r="AH115" i="23"/>
  <c r="AF115" i="23"/>
  <c r="AD115" i="23"/>
  <c r="AB115" i="23"/>
  <c r="Z115" i="23"/>
  <c r="X115" i="23"/>
  <c r="V115" i="23"/>
  <c r="T115" i="23"/>
  <c r="R115" i="23"/>
  <c r="P115" i="23"/>
  <c r="N115" i="23"/>
  <c r="L115" i="23"/>
  <c r="J115" i="23"/>
  <c r="H115" i="23"/>
  <c r="H116" i="23"/>
  <c r="J116" i="23"/>
  <c r="L116" i="23"/>
  <c r="N116" i="23"/>
  <c r="P116" i="23"/>
  <c r="R116" i="23"/>
  <c r="T116" i="23"/>
  <c r="V116" i="23"/>
  <c r="X116" i="23"/>
  <c r="Z116" i="23"/>
  <c r="AB116" i="23"/>
  <c r="AD116" i="23"/>
  <c r="AF116" i="23"/>
  <c r="AH116" i="23"/>
  <c r="AJ116" i="23"/>
  <c r="AL116" i="23"/>
  <c r="AN116" i="23"/>
  <c r="AP116" i="23"/>
  <c r="AR116" i="23"/>
  <c r="AT116" i="23" s="1"/>
  <c r="F44" i="23"/>
  <c r="F98" i="23"/>
  <c r="AL98" i="23" s="1"/>
  <c r="F110" i="23"/>
  <c r="AN110" i="23" s="1"/>
  <c r="F104" i="23"/>
  <c r="AP104" i="23" s="1"/>
  <c r="AR32" i="23"/>
  <c r="AP32" i="23"/>
  <c r="AN32" i="23"/>
  <c r="AL32" i="23"/>
  <c r="AJ32" i="23"/>
  <c r="AH32" i="23"/>
  <c r="AF32" i="23"/>
  <c r="AD32" i="23"/>
  <c r="AB32" i="23"/>
  <c r="Z32" i="23"/>
  <c r="X32" i="23"/>
  <c r="V32" i="23"/>
  <c r="T32" i="23"/>
  <c r="R32" i="23"/>
  <c r="P32" i="23"/>
  <c r="N32" i="23"/>
  <c r="L32" i="23"/>
  <c r="J32" i="23"/>
  <c r="H32" i="23"/>
  <c r="F112" i="23"/>
  <c r="AN112" i="23" s="1"/>
  <c r="F73" i="23"/>
  <c r="F125" i="23"/>
  <c r="F126" i="23"/>
  <c r="D118" i="23"/>
  <c r="E118" i="23" s="1"/>
  <c r="AP59" i="23"/>
  <c r="AN59" i="23"/>
  <c r="AL59" i="23"/>
  <c r="AJ59" i="23"/>
  <c r="AH59" i="23"/>
  <c r="AF59" i="23"/>
  <c r="AD59" i="23"/>
  <c r="AB59" i="23"/>
  <c r="Z59" i="23"/>
  <c r="X59" i="23"/>
  <c r="V59" i="23"/>
  <c r="T59" i="23"/>
  <c r="R59" i="23"/>
  <c r="P59" i="23"/>
  <c r="N59" i="23"/>
  <c r="L59" i="23"/>
  <c r="J59" i="23"/>
  <c r="H59" i="23"/>
  <c r="AR81" i="23"/>
  <c r="U81" i="23"/>
  <c r="O81" i="23"/>
  <c r="AR97" i="23"/>
  <c r="AT97" i="23" s="1"/>
  <c r="AP97" i="23"/>
  <c r="AN97" i="23"/>
  <c r="AL97" i="23"/>
  <c r="AJ97" i="23"/>
  <c r="AH97" i="23"/>
  <c r="AF97" i="23"/>
  <c r="AD97" i="23"/>
  <c r="AB97" i="23"/>
  <c r="Z97" i="23"/>
  <c r="X97" i="23"/>
  <c r="V97" i="23"/>
  <c r="T97" i="23"/>
  <c r="R97" i="23"/>
  <c r="P97" i="23"/>
  <c r="N97" i="23"/>
  <c r="L97" i="23"/>
  <c r="J97" i="23"/>
  <c r="H97" i="23"/>
  <c r="E67" i="23"/>
  <c r="AR67" i="23"/>
  <c r="AT67" i="23" s="1"/>
  <c r="AP67" i="23"/>
  <c r="AN67" i="23"/>
  <c r="AL67" i="23"/>
  <c r="AJ67" i="23"/>
  <c r="AH67" i="23"/>
  <c r="AF67" i="23"/>
  <c r="AD67" i="23"/>
  <c r="AB67" i="23"/>
  <c r="Z67" i="23"/>
  <c r="X67" i="23"/>
  <c r="V67" i="23"/>
  <c r="T67" i="23"/>
  <c r="R67" i="23"/>
  <c r="P67" i="23"/>
  <c r="N67" i="23"/>
  <c r="L67" i="23"/>
  <c r="J67" i="23"/>
  <c r="H67" i="23"/>
  <c r="AP123" i="23"/>
  <c r="AN123" i="23"/>
  <c r="AL123" i="23"/>
  <c r="AJ123" i="23"/>
  <c r="AH123" i="23"/>
  <c r="AF123" i="23"/>
  <c r="AD123" i="23"/>
  <c r="AB123" i="23"/>
  <c r="Z123" i="23"/>
  <c r="X123" i="23"/>
  <c r="V123" i="23"/>
  <c r="T123" i="23"/>
  <c r="R123" i="23"/>
  <c r="P123" i="23"/>
  <c r="N123" i="23"/>
  <c r="L123" i="23"/>
  <c r="J123" i="23"/>
  <c r="H123" i="23"/>
  <c r="AR118" i="23"/>
  <c r="AT118" i="23" s="1"/>
  <c r="AP118" i="23"/>
  <c r="AN118" i="23"/>
  <c r="AL118" i="23"/>
  <c r="AJ118" i="23"/>
  <c r="AH118" i="23"/>
  <c r="AF118" i="23"/>
  <c r="AD118" i="23"/>
  <c r="AB118" i="23"/>
  <c r="Z118" i="23"/>
  <c r="X118" i="23"/>
  <c r="V118" i="23"/>
  <c r="T118" i="23"/>
  <c r="R118" i="23"/>
  <c r="P118" i="23"/>
  <c r="N118" i="23"/>
  <c r="L118" i="23"/>
  <c r="J118" i="23"/>
  <c r="H118" i="23"/>
  <c r="AH89" i="23"/>
  <c r="AF89" i="23"/>
  <c r="R89" i="23"/>
  <c r="P89" i="23"/>
  <c r="AR23" i="23"/>
  <c r="AT23" i="23" s="1"/>
  <c r="AP23" i="23"/>
  <c r="AN23" i="23"/>
  <c r="AL23" i="23"/>
  <c r="AJ23" i="23"/>
  <c r="AH23" i="23"/>
  <c r="AF23" i="23"/>
  <c r="AD23" i="23"/>
  <c r="AB23" i="23"/>
  <c r="Z23" i="23"/>
  <c r="X23" i="23"/>
  <c r="V23" i="23"/>
  <c r="T23" i="23"/>
  <c r="R23" i="23"/>
  <c r="P23" i="23"/>
  <c r="N23" i="23"/>
  <c r="L23" i="23"/>
  <c r="J23" i="23"/>
  <c r="H23" i="23"/>
  <c r="F108" i="23"/>
  <c r="F106" i="23"/>
  <c r="F105" i="23"/>
  <c r="F87" i="23"/>
  <c r="AR107" i="23"/>
  <c r="AR113" i="23"/>
  <c r="AS80" i="23"/>
  <c r="W80" i="23"/>
  <c r="AP55" i="23"/>
  <c r="AN55" i="23"/>
  <c r="AL55" i="23"/>
  <c r="AJ55" i="23"/>
  <c r="AH55" i="23"/>
  <c r="AF55" i="23"/>
  <c r="AD55" i="23"/>
  <c r="AB55" i="23"/>
  <c r="Z55" i="23"/>
  <c r="X55" i="23"/>
  <c r="V55" i="23"/>
  <c r="T55" i="23"/>
  <c r="R55" i="23"/>
  <c r="P55" i="23"/>
  <c r="N55" i="23"/>
  <c r="L55" i="23"/>
  <c r="J55" i="23"/>
  <c r="H55" i="23"/>
  <c r="O41" i="23"/>
  <c r="O40" i="23"/>
  <c r="O39" i="23"/>
  <c r="AR102" i="23"/>
  <c r="AP102" i="23"/>
  <c r="AN102" i="23"/>
  <c r="AL102" i="23"/>
  <c r="AJ102" i="23"/>
  <c r="AH102" i="23"/>
  <c r="AF102" i="23"/>
  <c r="AD102" i="23"/>
  <c r="AB102" i="23"/>
  <c r="Z102" i="23"/>
  <c r="X102" i="23"/>
  <c r="V102" i="23"/>
  <c r="T102" i="23"/>
  <c r="R102" i="23"/>
  <c r="P102" i="23"/>
  <c r="N102" i="23"/>
  <c r="L102" i="23"/>
  <c r="J102" i="23"/>
  <c r="H102" i="23"/>
  <c r="D107" i="23"/>
  <c r="F107" i="23" s="1"/>
  <c r="AR100" i="23"/>
  <c r="AT100" i="23" s="1"/>
  <c r="AP100" i="23"/>
  <c r="AN100" i="23"/>
  <c r="AL100" i="23"/>
  <c r="AJ100" i="23"/>
  <c r="AH100" i="23"/>
  <c r="AF100" i="23"/>
  <c r="AD100" i="23"/>
  <c r="AB100" i="23"/>
  <c r="Z100" i="23"/>
  <c r="X100" i="23"/>
  <c r="V100" i="23"/>
  <c r="T100" i="23"/>
  <c r="R100" i="23"/>
  <c r="P100" i="23"/>
  <c r="N100" i="23"/>
  <c r="L100" i="23"/>
  <c r="J100" i="23"/>
  <c r="H100" i="23"/>
  <c r="AC99" i="23"/>
  <c r="D99" i="23"/>
  <c r="BH94" i="23" l="1"/>
  <c r="BJ94" i="23" s="1"/>
  <c r="BN130" i="23"/>
  <c r="BP130" i="23" s="1"/>
  <c r="BN48" i="23"/>
  <c r="BP48" i="23" s="1"/>
  <c r="BH103" i="23"/>
  <c r="BJ103" i="23" s="1"/>
  <c r="BH49" i="23"/>
  <c r="BJ49" i="23" s="1"/>
  <c r="BJ95" i="23"/>
  <c r="BL95" i="23" s="1"/>
  <c r="BJ85" i="23"/>
  <c r="BL85" i="23" s="1"/>
  <c r="BN85" i="23" s="1"/>
  <c r="BP85" i="23" s="1"/>
  <c r="BJ51" i="23"/>
  <c r="BL51" i="23" s="1"/>
  <c r="BH31" i="23"/>
  <c r="BP96" i="23"/>
  <c r="H126" i="23"/>
  <c r="AV126" i="23"/>
  <c r="AW126" i="23" s="1"/>
  <c r="BF52" i="23"/>
  <c r="BH52" i="23" s="1"/>
  <c r="BJ52" i="23" s="1"/>
  <c r="AZ76" i="23"/>
  <c r="AZ114" i="23"/>
  <c r="AQ43" i="23"/>
  <c r="AQ109" i="23"/>
  <c r="AV109" i="23"/>
  <c r="BB57" i="23"/>
  <c r="BD57" i="23" s="1"/>
  <c r="AQ91" i="23"/>
  <c r="AV53" i="23"/>
  <c r="AP108" i="23"/>
  <c r="AX91" i="23"/>
  <c r="BB54" i="23"/>
  <c r="BD54" i="23" s="1"/>
  <c r="AV111" i="23"/>
  <c r="AX111" i="23" s="1"/>
  <c r="AZ111" i="23" s="1"/>
  <c r="BB111" i="23" s="1"/>
  <c r="AU111" i="23"/>
  <c r="AQ111" i="23"/>
  <c r="J127" i="23"/>
  <c r="Z127" i="23"/>
  <c r="AP127" i="23"/>
  <c r="AL89" i="23"/>
  <c r="H89" i="23"/>
  <c r="AN89" i="23"/>
  <c r="J89" i="23"/>
  <c r="AP89" i="23"/>
  <c r="L89" i="23"/>
  <c r="AB89" i="23"/>
  <c r="T89" i="23"/>
  <c r="AJ89" i="23"/>
  <c r="V89" i="23"/>
  <c r="X89" i="23"/>
  <c r="Z89" i="23"/>
  <c r="N89" i="23"/>
  <c r="AD127" i="23"/>
  <c r="P127" i="23"/>
  <c r="AF127" i="23"/>
  <c r="R127" i="23"/>
  <c r="AH127" i="23"/>
  <c r="L127" i="23"/>
  <c r="N127" i="23"/>
  <c r="T127" i="23"/>
  <c r="AJ127" i="23"/>
  <c r="AB127" i="23"/>
  <c r="V127" i="23"/>
  <c r="AL127" i="23"/>
  <c r="H127" i="23"/>
  <c r="X127" i="23"/>
  <c r="AQ116" i="23"/>
  <c r="AQ115" i="23"/>
  <c r="AV116" i="23"/>
  <c r="H98" i="23"/>
  <c r="AN98" i="23"/>
  <c r="J98" i="23"/>
  <c r="X98" i="23"/>
  <c r="AP98" i="23"/>
  <c r="AB98" i="23"/>
  <c r="AD98" i="23"/>
  <c r="P98" i="23"/>
  <c r="AF98" i="23"/>
  <c r="L98" i="23"/>
  <c r="R98" i="23"/>
  <c r="AH98" i="23"/>
  <c r="T98" i="23"/>
  <c r="AJ98" i="23"/>
  <c r="Z98" i="23"/>
  <c r="AV98" i="23"/>
  <c r="AW98" i="23" s="1"/>
  <c r="N98" i="23"/>
  <c r="V98" i="23"/>
  <c r="J110" i="23"/>
  <c r="N110" i="23"/>
  <c r="P110" i="23"/>
  <c r="Z110" i="23"/>
  <c r="AD110" i="23"/>
  <c r="AF110" i="23"/>
  <c r="L110" i="23"/>
  <c r="AB110" i="23"/>
  <c r="R110" i="23"/>
  <c r="AH110" i="23"/>
  <c r="T110" i="23"/>
  <c r="AJ110" i="23"/>
  <c r="V110" i="23"/>
  <c r="AP110" i="23"/>
  <c r="H110" i="23"/>
  <c r="X110" i="23"/>
  <c r="AT110" i="23"/>
  <c r="AV110" i="23" s="1"/>
  <c r="AL110" i="23"/>
  <c r="L104" i="23"/>
  <c r="N104" i="23"/>
  <c r="AB104" i="23"/>
  <c r="AD104" i="23"/>
  <c r="AV104" i="23"/>
  <c r="AW104" i="23" s="1"/>
  <c r="R104" i="23"/>
  <c r="AJ104" i="23"/>
  <c r="V104" i="23"/>
  <c r="AL104" i="23"/>
  <c r="AF104" i="23"/>
  <c r="T104" i="23"/>
  <c r="H104" i="23"/>
  <c r="X104" i="23"/>
  <c r="AN104" i="23"/>
  <c r="P104" i="23"/>
  <c r="AH104" i="23"/>
  <c r="J104" i="23"/>
  <c r="Z104" i="23"/>
  <c r="AH112" i="23"/>
  <c r="H112" i="23"/>
  <c r="J112" i="23"/>
  <c r="AQ32" i="23"/>
  <c r="AF126" i="23"/>
  <c r="R112" i="23"/>
  <c r="N112" i="23"/>
  <c r="Z112" i="23"/>
  <c r="AD112" i="23"/>
  <c r="L112" i="23"/>
  <c r="AB112" i="23"/>
  <c r="P112" i="23"/>
  <c r="AF112" i="23"/>
  <c r="AJ112" i="23"/>
  <c r="T112" i="23"/>
  <c r="AT32" i="23"/>
  <c r="AV32" i="23" s="1"/>
  <c r="V112" i="23"/>
  <c r="AL112" i="23"/>
  <c r="X112" i="23"/>
  <c r="AP112" i="23"/>
  <c r="AD125" i="23"/>
  <c r="X125" i="23"/>
  <c r="T125" i="23"/>
  <c r="P125" i="23"/>
  <c r="N125" i="23"/>
  <c r="AJ125" i="23"/>
  <c r="AN125" i="23"/>
  <c r="H125" i="23"/>
  <c r="AF125" i="23"/>
  <c r="AH126" i="23"/>
  <c r="R126" i="23"/>
  <c r="AD126" i="23"/>
  <c r="AB126" i="23"/>
  <c r="AP126" i="23"/>
  <c r="Z126" i="23"/>
  <c r="AN126" i="23"/>
  <c r="X126" i="23"/>
  <c r="AL126" i="23"/>
  <c r="V126" i="23"/>
  <c r="AJ126" i="23"/>
  <c r="T126" i="23"/>
  <c r="R125" i="23"/>
  <c r="AH125" i="23"/>
  <c r="V125" i="23"/>
  <c r="AL125" i="23"/>
  <c r="J125" i="23"/>
  <c r="Z125" i="23"/>
  <c r="AP125" i="23"/>
  <c r="L125" i="23"/>
  <c r="AB125" i="23"/>
  <c r="P126" i="23"/>
  <c r="N126" i="23"/>
  <c r="J126" i="23"/>
  <c r="L126" i="23"/>
  <c r="AQ59" i="23"/>
  <c r="AQ97" i="23"/>
  <c r="P81" i="23"/>
  <c r="V81" i="23"/>
  <c r="AH81" i="23"/>
  <c r="T81" i="23"/>
  <c r="AF81" i="23"/>
  <c r="R81" i="23"/>
  <c r="AD81" i="23"/>
  <c r="AP81" i="23"/>
  <c r="Z81" i="23"/>
  <c r="N81" i="23"/>
  <c r="AB81" i="23"/>
  <c r="AN81" i="23"/>
  <c r="X81" i="23"/>
  <c r="L81" i="23"/>
  <c r="AL81" i="23"/>
  <c r="J81" i="23"/>
  <c r="AJ81" i="23"/>
  <c r="H81" i="23"/>
  <c r="AV97" i="23"/>
  <c r="AQ67" i="23"/>
  <c r="AV67" i="23"/>
  <c r="AX67" i="23" s="1"/>
  <c r="AQ123" i="23"/>
  <c r="AQ118" i="23"/>
  <c r="AV118" i="23"/>
  <c r="AX118" i="23" s="1"/>
  <c r="AS23" i="23"/>
  <c r="AQ23" i="23"/>
  <c r="AQ55" i="23"/>
  <c r="AQ102" i="23"/>
  <c r="AV23" i="23"/>
  <c r="AX23" i="23" s="1"/>
  <c r="AZ23" i="23" s="1"/>
  <c r="AN107" i="23"/>
  <c r="N107" i="23"/>
  <c r="J107" i="23"/>
  <c r="AP107" i="23"/>
  <c r="AH107" i="23"/>
  <c r="AF107" i="23"/>
  <c r="AD107" i="23"/>
  <c r="P107" i="23"/>
  <c r="Z107" i="23"/>
  <c r="AT102" i="23"/>
  <c r="AV102" i="23" s="1"/>
  <c r="L107" i="23"/>
  <c r="AB107" i="23"/>
  <c r="T107" i="23"/>
  <c r="AJ107" i="23"/>
  <c r="V107" i="23"/>
  <c r="AL107" i="23"/>
  <c r="R107" i="23"/>
  <c r="H107" i="23"/>
  <c r="X107" i="23"/>
  <c r="Z108" i="23"/>
  <c r="L108" i="23"/>
  <c r="N108" i="23"/>
  <c r="P108" i="23"/>
  <c r="AF108" i="23"/>
  <c r="AB108" i="23"/>
  <c r="R108" i="23"/>
  <c r="AH108" i="23"/>
  <c r="T108" i="23"/>
  <c r="AJ108" i="23"/>
  <c r="AD108" i="23"/>
  <c r="V108" i="23"/>
  <c r="AL108" i="23"/>
  <c r="J108" i="23"/>
  <c r="H108" i="23"/>
  <c r="X108" i="23"/>
  <c r="AN108" i="23"/>
  <c r="AV108" i="23"/>
  <c r="AQ100" i="23"/>
  <c r="AV100" i="23"/>
  <c r="AD87" i="23"/>
  <c r="AF87" i="23"/>
  <c r="V87" i="23"/>
  <c r="T87" i="23"/>
  <c r="P87" i="23"/>
  <c r="AL87" i="23"/>
  <c r="AJ87" i="23"/>
  <c r="R87" i="23"/>
  <c r="AH87" i="23"/>
  <c r="X87" i="23"/>
  <c r="J87" i="23"/>
  <c r="Z87" i="23"/>
  <c r="AP87" i="23"/>
  <c r="H87" i="23"/>
  <c r="L87" i="23"/>
  <c r="AB87" i="23"/>
  <c r="AT87" i="23"/>
  <c r="AN87" i="23"/>
  <c r="N87" i="23"/>
  <c r="BL94" i="23" l="1"/>
  <c r="BN94" i="23" s="1"/>
  <c r="BP94" i="23" s="1"/>
  <c r="BL103" i="23"/>
  <c r="BN103" i="23" s="1"/>
  <c r="BL49" i="23"/>
  <c r="BN49" i="23" s="1"/>
  <c r="BP49" i="23" s="1"/>
  <c r="BN95" i="23"/>
  <c r="BP95" i="23" s="1"/>
  <c r="BN51" i="23"/>
  <c r="BP51" i="23" s="1"/>
  <c r="BJ31" i="23"/>
  <c r="AX109" i="23"/>
  <c r="AZ109" i="23" s="1"/>
  <c r="AW109" i="23"/>
  <c r="BL52" i="23"/>
  <c r="BN52" i="23" s="1"/>
  <c r="BB76" i="23"/>
  <c r="BD76" i="23" s="1"/>
  <c r="BF76" i="23" s="1"/>
  <c r="BH76" i="23" s="1"/>
  <c r="BB114" i="23"/>
  <c r="BD114" i="23" s="1"/>
  <c r="BF114" i="23" s="1"/>
  <c r="AX53" i="23"/>
  <c r="BF57" i="23"/>
  <c r="BH57" i="23" s="1"/>
  <c r="AZ91" i="23"/>
  <c r="BB91" i="23" s="1"/>
  <c r="BF54" i="23"/>
  <c r="BD111" i="23"/>
  <c r="BF111" i="23" s="1"/>
  <c r="BH111" i="23" s="1"/>
  <c r="AQ127" i="23"/>
  <c r="AQ89" i="23"/>
  <c r="AX116" i="23"/>
  <c r="AQ98" i="23"/>
  <c r="AQ110" i="23"/>
  <c r="AX110" i="23"/>
  <c r="AQ104" i="23"/>
  <c r="AX126" i="23"/>
  <c r="AZ126" i="23" s="1"/>
  <c r="AQ112" i="23"/>
  <c r="AX104" i="23"/>
  <c r="AQ81" i="23"/>
  <c r="AX32" i="23"/>
  <c r="AZ32" i="23" s="1"/>
  <c r="AQ126" i="23"/>
  <c r="AV112" i="23"/>
  <c r="AW112" i="23" s="1"/>
  <c r="AQ125" i="23"/>
  <c r="AX97" i="23"/>
  <c r="AX98" i="23"/>
  <c r="AZ98" i="23" s="1"/>
  <c r="AZ67" i="23"/>
  <c r="BB67" i="23" s="1"/>
  <c r="AZ123" i="23"/>
  <c r="AZ118" i="23"/>
  <c r="BB118" i="23" s="1"/>
  <c r="BD118" i="23" s="1"/>
  <c r="BF118" i="23" s="1"/>
  <c r="BB23" i="23"/>
  <c r="BD23" i="23" s="1"/>
  <c r="AQ108" i="23"/>
  <c r="AQ107" i="23"/>
  <c r="AX107" i="23"/>
  <c r="AX102" i="23"/>
  <c r="AV87" i="23"/>
  <c r="AX87" i="23" s="1"/>
  <c r="AX108" i="23"/>
  <c r="AX100" i="23"/>
  <c r="AZ100" i="23" s="1"/>
  <c r="AQ87" i="23"/>
  <c r="BP103" i="23" l="1"/>
  <c r="BN50" i="23"/>
  <c r="BL31" i="23"/>
  <c r="BN31" i="23" s="1"/>
  <c r="BP31" i="23" s="1"/>
  <c r="BP52" i="23"/>
  <c r="BJ76" i="23"/>
  <c r="BL76" i="23" s="1"/>
  <c r="BF72" i="23"/>
  <c r="BH72" i="23" s="1"/>
  <c r="BJ38" i="23"/>
  <c r="BH114" i="23"/>
  <c r="BB109" i="23"/>
  <c r="BJ57" i="23"/>
  <c r="BL57" i="23" s="1"/>
  <c r="BN57" i="23" s="1"/>
  <c r="AZ53" i="23"/>
  <c r="BB53" i="23" s="1"/>
  <c r="BD53" i="23" s="1"/>
  <c r="BD91" i="23"/>
  <c r="BF91" i="23" s="1"/>
  <c r="BH54" i="23"/>
  <c r="BJ54" i="23" s="1"/>
  <c r="BJ111" i="23"/>
  <c r="AZ116" i="23"/>
  <c r="BB116" i="23" s="1"/>
  <c r="BB126" i="23"/>
  <c r="BD126" i="23" s="1"/>
  <c r="BF126" i="23" s="1"/>
  <c r="BH126" i="23" s="1"/>
  <c r="AZ110" i="23"/>
  <c r="AZ104" i="23"/>
  <c r="BB104" i="23" s="1"/>
  <c r="BB32" i="23"/>
  <c r="BD32" i="23" s="1"/>
  <c r="AX112" i="23"/>
  <c r="AZ112" i="23" s="1"/>
  <c r="BB112" i="23" s="1"/>
  <c r="AZ97" i="23"/>
  <c r="BB97" i="23" s="1"/>
  <c r="BD67" i="23"/>
  <c r="BF67" i="23" s="1"/>
  <c r="BB98" i="23"/>
  <c r="BB123" i="23"/>
  <c r="BH118" i="23"/>
  <c r="BJ118" i="23" s="1"/>
  <c r="AZ89" i="23"/>
  <c r="BB89" i="23" s="1"/>
  <c r="BF23" i="23"/>
  <c r="AZ102" i="23"/>
  <c r="AZ107" i="23"/>
  <c r="BB107" i="23" s="1"/>
  <c r="BB100" i="23"/>
  <c r="BD100" i="23" s="1"/>
  <c r="AZ108" i="23"/>
  <c r="BB108" i="23" s="1"/>
  <c r="AZ87" i="23"/>
  <c r="BP50" i="23" l="1"/>
  <c r="BN76" i="23"/>
  <c r="BP76" i="23" s="1"/>
  <c r="BJ72" i="23"/>
  <c r="BL72" i="23" s="1"/>
  <c r="BN72" i="23" s="1"/>
  <c r="BJ37" i="23"/>
  <c r="BL37" i="23" s="1"/>
  <c r="BL38" i="23"/>
  <c r="BJ114" i="23"/>
  <c r="BL114" i="23" s="1"/>
  <c r="BN114" i="23" s="1"/>
  <c r="BD109" i="23"/>
  <c r="BF53" i="23"/>
  <c r="BP57" i="23"/>
  <c r="BH91" i="23"/>
  <c r="BJ91" i="23" s="1"/>
  <c r="BL54" i="23"/>
  <c r="BL111" i="23"/>
  <c r="BF127" i="23"/>
  <c r="BF115" i="23"/>
  <c r="BH115" i="23" s="1"/>
  <c r="BD116" i="23"/>
  <c r="BF116" i="23" s="1"/>
  <c r="BB110" i="23"/>
  <c r="BD104" i="23"/>
  <c r="BF104" i="23" s="1"/>
  <c r="BH104" i="23" s="1"/>
  <c r="BJ104" i="23" s="1"/>
  <c r="BF32" i="23"/>
  <c r="BH32" i="23" s="1"/>
  <c r="BJ126" i="23"/>
  <c r="BL126" i="23" s="1"/>
  <c r="BD112" i="23"/>
  <c r="BF112" i="23" s="1"/>
  <c r="BD125" i="23"/>
  <c r="BF125" i="23" s="1"/>
  <c r="BF59" i="23"/>
  <c r="BD97" i="23"/>
  <c r="BF97" i="23" s="1"/>
  <c r="BD98" i="23"/>
  <c r="BH67" i="23"/>
  <c r="BD123" i="23"/>
  <c r="BF123" i="23" s="1"/>
  <c r="BH123" i="23" s="1"/>
  <c r="BF100" i="23"/>
  <c r="BH100" i="23" s="1"/>
  <c r="BL118" i="23"/>
  <c r="BN118" i="23" s="1"/>
  <c r="BP118" i="23" s="1"/>
  <c r="BD89" i="23"/>
  <c r="BH23" i="23"/>
  <c r="BB102" i="23"/>
  <c r="BD102" i="23" s="1"/>
  <c r="BD108" i="23"/>
  <c r="BD107" i="23"/>
  <c r="BB87" i="23"/>
  <c r="BP72" i="23" l="1"/>
  <c r="BN37" i="23"/>
  <c r="BP37" i="23" s="1"/>
  <c r="BN38" i="23"/>
  <c r="BP38" i="23" s="1"/>
  <c r="BP114" i="23"/>
  <c r="BF109" i="23"/>
  <c r="BH109" i="23" s="1"/>
  <c r="BH53" i="23"/>
  <c r="BL91" i="23"/>
  <c r="BN91" i="23" s="1"/>
  <c r="BP91" i="23" s="1"/>
  <c r="BN54" i="23"/>
  <c r="BP54" i="23" s="1"/>
  <c r="BN111" i="23"/>
  <c r="BP111" i="23" s="1"/>
  <c r="BH127" i="23"/>
  <c r="BJ115" i="23"/>
  <c r="BL115" i="23" s="1"/>
  <c r="BN115" i="23" s="1"/>
  <c r="BP115" i="23" s="1"/>
  <c r="BH116" i="23"/>
  <c r="BJ116" i="23" s="1"/>
  <c r="BL116" i="23" s="1"/>
  <c r="BD110" i="23"/>
  <c r="BL104" i="23"/>
  <c r="BN104" i="23" s="1"/>
  <c r="BP104" i="23" s="1"/>
  <c r="BJ32" i="23"/>
  <c r="BH112" i="23"/>
  <c r="BN126" i="23"/>
  <c r="BP126" i="23" s="1"/>
  <c r="BH125" i="23"/>
  <c r="BJ125" i="23" s="1"/>
  <c r="BH59" i="23"/>
  <c r="BH97" i="23"/>
  <c r="BJ97" i="23" s="1"/>
  <c r="BL97" i="23" s="1"/>
  <c r="BF98" i="23"/>
  <c r="BJ67" i="23"/>
  <c r="BJ100" i="23"/>
  <c r="BL100" i="23" s="1"/>
  <c r="BN100" i="23" s="1"/>
  <c r="BP100" i="23" s="1"/>
  <c r="BJ123" i="23"/>
  <c r="BL123" i="23" s="1"/>
  <c r="BF89" i="23"/>
  <c r="BH89" i="23" s="1"/>
  <c r="BJ23" i="23"/>
  <c r="BL23" i="23" s="1"/>
  <c r="BF102" i="23"/>
  <c r="BH102" i="23" s="1"/>
  <c r="BJ102" i="23" s="1"/>
  <c r="BF108" i="23"/>
  <c r="BF107" i="23"/>
  <c r="BH107" i="23" s="1"/>
  <c r="BD87" i="23"/>
  <c r="BJ109" i="23" l="1"/>
  <c r="BL109" i="23" s="1"/>
  <c r="BN109" i="23" s="1"/>
  <c r="BJ53" i="23"/>
  <c r="BL53" i="23" s="1"/>
  <c r="BN53" i="23" s="1"/>
  <c r="BJ127" i="23"/>
  <c r="BN116" i="23"/>
  <c r="BP116" i="23" s="1"/>
  <c r="BF110" i="23"/>
  <c r="BL32" i="23"/>
  <c r="BN32" i="23" s="1"/>
  <c r="BJ112" i="23"/>
  <c r="BL112" i="23" s="1"/>
  <c r="BN112" i="23" s="1"/>
  <c r="BL125" i="23"/>
  <c r="BN125" i="23" s="1"/>
  <c r="BJ59" i="23"/>
  <c r="BL59" i="23" s="1"/>
  <c r="BN97" i="23"/>
  <c r="BP97" i="23" s="1"/>
  <c r="BH98" i="23"/>
  <c r="BL67" i="23"/>
  <c r="BN123" i="23"/>
  <c r="BP123" i="23" s="1"/>
  <c r="BJ89" i="23"/>
  <c r="BL89" i="23" s="1"/>
  <c r="BN23" i="23"/>
  <c r="BP23" i="23" s="1"/>
  <c r="BL102" i="23"/>
  <c r="BH108" i="23"/>
  <c r="BJ107" i="23"/>
  <c r="BF87" i="23"/>
  <c r="BP109" i="23" l="1"/>
  <c r="BP53" i="23"/>
  <c r="BL127" i="23"/>
  <c r="BH110" i="23"/>
  <c r="BJ110" i="23" s="1"/>
  <c r="BP32" i="23"/>
  <c r="BP112" i="23"/>
  <c r="BP125" i="23"/>
  <c r="BN59" i="23"/>
  <c r="BP59" i="23" s="1"/>
  <c r="BJ98" i="23"/>
  <c r="BL98" i="23" s="1"/>
  <c r="BN67" i="23"/>
  <c r="BP67" i="23" s="1"/>
  <c r="BN89" i="23"/>
  <c r="BP89" i="23" s="1"/>
  <c r="BJ55" i="23"/>
  <c r="BN102" i="23"/>
  <c r="BP102" i="23" s="1"/>
  <c r="BJ108" i="23"/>
  <c r="BL108" i="23" s="1"/>
  <c r="BL107" i="23"/>
  <c r="BN107" i="23" s="1"/>
  <c r="BH87" i="23"/>
  <c r="BN127" i="23" l="1"/>
  <c r="BP127" i="23" s="1"/>
  <c r="BL110" i="23"/>
  <c r="BN98" i="23"/>
  <c r="BP98" i="23" s="1"/>
  <c r="BL55" i="23"/>
  <c r="BN55" i="23" s="1"/>
  <c r="BN108" i="23"/>
  <c r="BP108" i="23" s="1"/>
  <c r="BP107" i="23"/>
  <c r="BJ87" i="23"/>
  <c r="BL87" i="23" s="1"/>
  <c r="BN110" i="23" l="1"/>
  <c r="BP110" i="23" s="1"/>
  <c r="BP55" i="23"/>
  <c r="BN87" i="23"/>
  <c r="BP87" i="23" s="1"/>
  <c r="AC80" i="23" l="1"/>
  <c r="O80" i="23"/>
  <c r="BI63" i="22"/>
  <c r="E63" i="22"/>
  <c r="E54" i="22"/>
  <c r="D54" i="22"/>
  <c r="AP77" i="23"/>
  <c r="D77" i="23"/>
  <c r="E62" i="22"/>
  <c r="AD106" i="23"/>
  <c r="AP113" i="23"/>
  <c r="AN113" i="23"/>
  <c r="AL113" i="23"/>
  <c r="AJ113" i="23"/>
  <c r="AH113" i="23"/>
  <c r="AF113" i="23"/>
  <c r="AD113" i="23"/>
  <c r="AB113" i="23"/>
  <c r="Z113" i="23"/>
  <c r="X113" i="23"/>
  <c r="V113" i="23"/>
  <c r="T113" i="23"/>
  <c r="R113" i="23"/>
  <c r="P113" i="23"/>
  <c r="N113" i="23"/>
  <c r="L113" i="23"/>
  <c r="J113" i="23"/>
  <c r="H113" i="23"/>
  <c r="AC105" i="23"/>
  <c r="AR78" i="23"/>
  <c r="AR77" i="23"/>
  <c r="AR79" i="23"/>
  <c r="AR80" i="23"/>
  <c r="D80" i="23"/>
  <c r="F80" i="23" s="1"/>
  <c r="AR99" i="23"/>
  <c r="AL33" i="23"/>
  <c r="AL34" i="23"/>
  <c r="AL35" i="23"/>
  <c r="AL39" i="23"/>
  <c r="AL42" i="23"/>
  <c r="AL36" i="23"/>
  <c r="AL44" i="23"/>
  <c r="AL45" i="23"/>
  <c r="AL56" i="23"/>
  <c r="AL58" i="23"/>
  <c r="AL60" i="23"/>
  <c r="AL61" i="23"/>
  <c r="AL62" i="23"/>
  <c r="AL63" i="23"/>
  <c r="AL64" i="23"/>
  <c r="AL65" i="23"/>
  <c r="AL66" i="23"/>
  <c r="AL68" i="23"/>
  <c r="AL69" i="23"/>
  <c r="AL70" i="23"/>
  <c r="AL71" i="23"/>
  <c r="AL73" i="23"/>
  <c r="AL74" i="23"/>
  <c r="AL75" i="23"/>
  <c r="AL82" i="23"/>
  <c r="AL90" i="23"/>
  <c r="AL93" i="23"/>
  <c r="AL101" i="23"/>
  <c r="AL119" i="23"/>
  <c r="AL120" i="23"/>
  <c r="AL121" i="23"/>
  <c r="AL128" i="23"/>
  <c r="AL129" i="23"/>
  <c r="AL131" i="23"/>
  <c r="AL132" i="23"/>
  <c r="AL26" i="23"/>
  <c r="AK171" i="23"/>
  <c r="AL168" i="23"/>
  <c r="AL18" i="23"/>
  <c r="AR132" i="23"/>
  <c r="AT132" i="23" s="1"/>
  <c r="AV132" i="23" s="1"/>
  <c r="AX132" i="23" s="1"/>
  <c r="F99" i="23"/>
  <c r="H93" i="23"/>
  <c r="J93" i="23"/>
  <c r="L93" i="23"/>
  <c r="N93" i="23"/>
  <c r="P93" i="23"/>
  <c r="R93" i="23"/>
  <c r="T93" i="23"/>
  <c r="V93" i="23"/>
  <c r="X93" i="23"/>
  <c r="Z93" i="23"/>
  <c r="AB93" i="23"/>
  <c r="AD93" i="23"/>
  <c r="AF93" i="23"/>
  <c r="AH93" i="23"/>
  <c r="AJ93" i="23"/>
  <c r="AN93" i="23"/>
  <c r="AP93" i="23"/>
  <c r="AR93" i="23"/>
  <c r="AT93" i="23" s="1"/>
  <c r="AV93" i="23" s="1"/>
  <c r="F124" i="23"/>
  <c r="AN124" i="23" s="1"/>
  <c r="F122" i="23"/>
  <c r="F92" i="23"/>
  <c r="F88" i="23"/>
  <c r="F41" i="23"/>
  <c r="F40" i="23"/>
  <c r="AU181" i="23"/>
  <c r="AW181" i="23"/>
  <c r="AY181" i="23"/>
  <c r="BA181" i="23"/>
  <c r="BC181" i="23"/>
  <c r="BE181" i="23"/>
  <c r="BG181" i="23"/>
  <c r="BI181" i="23"/>
  <c r="BK181" i="23"/>
  <c r="BM181" i="23"/>
  <c r="BO181" i="23"/>
  <c r="AU180" i="23"/>
  <c r="AW180" i="23"/>
  <c r="AY180" i="23"/>
  <c r="BA180" i="23"/>
  <c r="BC180" i="23"/>
  <c r="BE180" i="23"/>
  <c r="BG180" i="23"/>
  <c r="BI180" i="23"/>
  <c r="AS181" i="23"/>
  <c r="AS180" i="23"/>
  <c r="AU176" i="23"/>
  <c r="AW176" i="23"/>
  <c r="AY176" i="23"/>
  <c r="BA176" i="23"/>
  <c r="BC176" i="23"/>
  <c r="BE176" i="23"/>
  <c r="BG176" i="23"/>
  <c r="BI176" i="23"/>
  <c r="BK176" i="23"/>
  <c r="BM176" i="23"/>
  <c r="BO176" i="23"/>
  <c r="BA175" i="23"/>
  <c r="BC175" i="23"/>
  <c r="BE175" i="23"/>
  <c r="BG175" i="23"/>
  <c r="BI175" i="23"/>
  <c r="BM175" i="23"/>
  <c r="BO175" i="23"/>
  <c r="AU175" i="23"/>
  <c r="AW175" i="23"/>
  <c r="AY175" i="23"/>
  <c r="AS176" i="23"/>
  <c r="AS175" i="23"/>
  <c r="AR26" i="23"/>
  <c r="AT26" i="23" s="1"/>
  <c r="AR33" i="23"/>
  <c r="AT33" i="23" s="1"/>
  <c r="AR34" i="23"/>
  <c r="AR35" i="23"/>
  <c r="AR36" i="23"/>
  <c r="AT36" i="23" s="1"/>
  <c r="AR45" i="23"/>
  <c r="AT45" i="23" s="1"/>
  <c r="AR60" i="23"/>
  <c r="AR63" i="23"/>
  <c r="AR65" i="23"/>
  <c r="AR66" i="23"/>
  <c r="AT66" i="23" s="1"/>
  <c r="AR69" i="23"/>
  <c r="AT69" i="23" s="1"/>
  <c r="AR71" i="23"/>
  <c r="AT71" i="23" s="1"/>
  <c r="AR74" i="23"/>
  <c r="AR75" i="23"/>
  <c r="AT75" i="23" s="1"/>
  <c r="AV75" i="23" s="1"/>
  <c r="AX75" i="23" s="1"/>
  <c r="AR82" i="23"/>
  <c r="AT82" i="23" s="1"/>
  <c r="AR90" i="23"/>
  <c r="AT90" i="23" s="1"/>
  <c r="AR101" i="23"/>
  <c r="AR119" i="23"/>
  <c r="AR120" i="23"/>
  <c r="AR121" i="23"/>
  <c r="AT121" i="23" s="1"/>
  <c r="AR128" i="23"/>
  <c r="AT128" i="23" s="1"/>
  <c r="AU129" i="23"/>
  <c r="AU174" i="23" s="1"/>
  <c r="AR131" i="23"/>
  <c r="AP42" i="23"/>
  <c r="AN42" i="23"/>
  <c r="AJ42" i="23"/>
  <c r="AH42" i="23"/>
  <c r="AF42" i="23"/>
  <c r="AD42" i="23"/>
  <c r="AB42" i="23"/>
  <c r="Z42" i="23"/>
  <c r="X42" i="23"/>
  <c r="V42" i="23"/>
  <c r="R42" i="23"/>
  <c r="P42" i="23"/>
  <c r="N42" i="23"/>
  <c r="L42" i="23"/>
  <c r="J42" i="23"/>
  <c r="H42" i="23"/>
  <c r="AP36" i="23"/>
  <c r="AN36" i="23"/>
  <c r="AJ36" i="23"/>
  <c r="AH36" i="23"/>
  <c r="AF36" i="23"/>
  <c r="AD36" i="23"/>
  <c r="AB36" i="23"/>
  <c r="Z36" i="23"/>
  <c r="X36" i="23"/>
  <c r="V36" i="23"/>
  <c r="T36" i="23"/>
  <c r="R36" i="23"/>
  <c r="P36" i="23"/>
  <c r="N36" i="23"/>
  <c r="L36" i="23"/>
  <c r="J36" i="23"/>
  <c r="H36" i="23"/>
  <c r="AP73" i="23"/>
  <c r="AN73" i="23"/>
  <c r="AJ73" i="23"/>
  <c r="AH73" i="23"/>
  <c r="AF73" i="23"/>
  <c r="AD73" i="23"/>
  <c r="AB73" i="23"/>
  <c r="Z73" i="23"/>
  <c r="X73" i="23"/>
  <c r="V73" i="23"/>
  <c r="T73" i="23"/>
  <c r="R73" i="23"/>
  <c r="P73" i="23"/>
  <c r="N73" i="23"/>
  <c r="L73" i="23"/>
  <c r="J73" i="23"/>
  <c r="H73" i="23"/>
  <c r="AP71" i="23"/>
  <c r="AN71" i="23"/>
  <c r="AJ71" i="23"/>
  <c r="AH71" i="23"/>
  <c r="AF71" i="23"/>
  <c r="AD71" i="23"/>
  <c r="AB71" i="23"/>
  <c r="Z71" i="23"/>
  <c r="X71" i="23"/>
  <c r="V71" i="23"/>
  <c r="T71" i="23"/>
  <c r="R71" i="23"/>
  <c r="P71" i="23"/>
  <c r="N71" i="23"/>
  <c r="L71" i="23"/>
  <c r="J71" i="23"/>
  <c r="H71" i="23"/>
  <c r="AP69" i="23"/>
  <c r="AN69" i="23"/>
  <c r="AJ69" i="23"/>
  <c r="AH69" i="23"/>
  <c r="AF69" i="23"/>
  <c r="AD69" i="23"/>
  <c r="AB69" i="23"/>
  <c r="Z69" i="23"/>
  <c r="X69" i="23"/>
  <c r="V69" i="23"/>
  <c r="T69" i="23"/>
  <c r="R69" i="23"/>
  <c r="P69" i="23"/>
  <c r="N69" i="23"/>
  <c r="L69" i="23"/>
  <c r="J69" i="23"/>
  <c r="H69" i="23"/>
  <c r="AP70" i="23"/>
  <c r="AN70" i="23"/>
  <c r="AJ70" i="23"/>
  <c r="AH70" i="23"/>
  <c r="AF70" i="23"/>
  <c r="AD70" i="23"/>
  <c r="AB70" i="23"/>
  <c r="Z70" i="23"/>
  <c r="X70" i="23"/>
  <c r="V70" i="23"/>
  <c r="T70" i="23"/>
  <c r="R70" i="23"/>
  <c r="P70" i="23"/>
  <c r="N70" i="23"/>
  <c r="L70" i="23"/>
  <c r="J70" i="23"/>
  <c r="H70" i="23"/>
  <c r="AP68" i="23"/>
  <c r="AN68" i="23"/>
  <c r="AJ68" i="23"/>
  <c r="AH68" i="23"/>
  <c r="AF68" i="23"/>
  <c r="AD68" i="23"/>
  <c r="AB68" i="23"/>
  <c r="Z68" i="23"/>
  <c r="X68" i="23"/>
  <c r="V68" i="23"/>
  <c r="T68" i="23"/>
  <c r="R68" i="23"/>
  <c r="P68" i="23"/>
  <c r="N68" i="23"/>
  <c r="L68" i="23"/>
  <c r="J68" i="23"/>
  <c r="H68" i="23"/>
  <c r="AP74" i="23"/>
  <c r="AN74" i="23"/>
  <c r="AJ74" i="23"/>
  <c r="AH74" i="23"/>
  <c r="AF74" i="23"/>
  <c r="AD74" i="23"/>
  <c r="AB74" i="23"/>
  <c r="Z74" i="23"/>
  <c r="X74" i="23"/>
  <c r="V74" i="23"/>
  <c r="T74" i="23"/>
  <c r="R74" i="23"/>
  <c r="P74" i="23"/>
  <c r="N74" i="23"/>
  <c r="L74" i="23"/>
  <c r="J74" i="23"/>
  <c r="H74" i="23"/>
  <c r="AP66" i="23"/>
  <c r="AN66" i="23"/>
  <c r="AJ66" i="23"/>
  <c r="AH66" i="23"/>
  <c r="AF66" i="23"/>
  <c r="AD66" i="23"/>
  <c r="AB66" i="23"/>
  <c r="Z66" i="23"/>
  <c r="X66" i="23"/>
  <c r="V66" i="23"/>
  <c r="T66" i="23"/>
  <c r="R66" i="23"/>
  <c r="P66" i="23"/>
  <c r="N66" i="23"/>
  <c r="L66" i="23"/>
  <c r="J66" i="23"/>
  <c r="H66" i="23"/>
  <c r="AP75" i="23"/>
  <c r="AN75" i="23"/>
  <c r="AJ75" i="23"/>
  <c r="AH75" i="23"/>
  <c r="AF75" i="23"/>
  <c r="AD75" i="23"/>
  <c r="AB75" i="23"/>
  <c r="Z75" i="23"/>
  <c r="X75" i="23"/>
  <c r="V75" i="23"/>
  <c r="T75" i="23"/>
  <c r="R75" i="23"/>
  <c r="P75" i="23"/>
  <c r="N75" i="23"/>
  <c r="L75" i="23"/>
  <c r="J75" i="23"/>
  <c r="H75" i="23"/>
  <c r="E75" i="23"/>
  <c r="AJ122" i="23" l="1"/>
  <c r="AV122" i="23"/>
  <c r="AW122" i="23" s="1"/>
  <c r="P106" i="23"/>
  <c r="AF106" i="23"/>
  <c r="R106" i="23"/>
  <c r="AJ106" i="23"/>
  <c r="V106" i="23"/>
  <c r="AL106" i="23"/>
  <c r="T106" i="23"/>
  <c r="H106" i="23"/>
  <c r="X106" i="23"/>
  <c r="AN106" i="23"/>
  <c r="AH106" i="23"/>
  <c r="J106" i="23"/>
  <c r="Z106" i="23"/>
  <c r="AP106" i="23"/>
  <c r="AB106" i="23"/>
  <c r="L106" i="23"/>
  <c r="AR106" i="23"/>
  <c r="N106" i="23"/>
  <c r="AL105" i="23"/>
  <c r="AR105" i="23"/>
  <c r="AS105" i="23" s="1"/>
  <c r="AQ113" i="23"/>
  <c r="AT113" i="23"/>
  <c r="AV113" i="23" s="1"/>
  <c r="T77" i="23"/>
  <c r="V77" i="23"/>
  <c r="X77" i="23"/>
  <c r="Z77" i="23"/>
  <c r="AB77" i="23"/>
  <c r="AD77" i="23"/>
  <c r="H77" i="23"/>
  <c r="AF77" i="23"/>
  <c r="J77" i="23"/>
  <c r="AH77" i="23"/>
  <c r="L77" i="23"/>
  <c r="AJ77" i="23"/>
  <c r="N77" i="23"/>
  <c r="AL77" i="23"/>
  <c r="P77" i="23"/>
  <c r="AN77" i="23"/>
  <c r="R77" i="23"/>
  <c r="X80" i="23"/>
  <c r="V80" i="23"/>
  <c r="AV80" i="23"/>
  <c r="AW80" i="23" s="1"/>
  <c r="Z80" i="23"/>
  <c r="AB80" i="23"/>
  <c r="AD80" i="23"/>
  <c r="H80" i="23"/>
  <c r="AF80" i="23"/>
  <c r="J80" i="23"/>
  <c r="AH80" i="23"/>
  <c r="L80" i="23"/>
  <c r="AJ80" i="23"/>
  <c r="N80" i="23"/>
  <c r="AL80" i="23"/>
  <c r="P80" i="23"/>
  <c r="AN80" i="23"/>
  <c r="R80" i="23"/>
  <c r="AP80" i="23"/>
  <c r="T80" i="23"/>
  <c r="AL40" i="23"/>
  <c r="AT99" i="23"/>
  <c r="AV99" i="23" s="1"/>
  <c r="AL41" i="23"/>
  <c r="AQ69" i="23"/>
  <c r="AQ74" i="23"/>
  <c r="AQ70" i="23"/>
  <c r="AQ71" i="23"/>
  <c r="AQ93" i="23"/>
  <c r="AQ75" i="23"/>
  <c r="AL99" i="23"/>
  <c r="AL124" i="23"/>
  <c r="AQ73" i="23"/>
  <c r="AL122" i="23"/>
  <c r="AL92" i="23"/>
  <c r="AQ68" i="23"/>
  <c r="AQ66" i="23"/>
  <c r="AL88" i="23"/>
  <c r="AQ36" i="23"/>
  <c r="AQ42" i="23"/>
  <c r="R124" i="23"/>
  <c r="T99" i="23"/>
  <c r="N122" i="23"/>
  <c r="V99" i="23"/>
  <c r="X99" i="23"/>
  <c r="Z99" i="23"/>
  <c r="AB99" i="23"/>
  <c r="AD99" i="23"/>
  <c r="H99" i="23"/>
  <c r="AF99" i="23"/>
  <c r="J99" i="23"/>
  <c r="AH99" i="23"/>
  <c r="L99" i="23"/>
  <c r="AJ99" i="23"/>
  <c r="N99" i="23"/>
  <c r="AN99" i="23"/>
  <c r="P99" i="23"/>
  <c r="AP99" i="23"/>
  <c r="R99" i="23"/>
  <c r="AT119" i="23"/>
  <c r="AV119" i="23" s="1"/>
  <c r="AX119" i="23" s="1"/>
  <c r="AZ119" i="23" s="1"/>
  <c r="BB119" i="23" s="1"/>
  <c r="AV121" i="23"/>
  <c r="AX121" i="23" s="1"/>
  <c r="H124" i="23"/>
  <c r="P124" i="23"/>
  <c r="AP124" i="23"/>
  <c r="AP122" i="23"/>
  <c r="AF124" i="23"/>
  <c r="AN122" i="23"/>
  <c r="P122" i="23"/>
  <c r="T124" i="23"/>
  <c r="V124" i="23"/>
  <c r="AV66" i="23"/>
  <c r="AX66" i="23" s="1"/>
  <c r="Z124" i="23"/>
  <c r="AV128" i="23"/>
  <c r="AX128" i="23" s="1"/>
  <c r="AB124" i="23"/>
  <c r="X124" i="23"/>
  <c r="AD124" i="23"/>
  <c r="AX93" i="23"/>
  <c r="J124" i="23"/>
  <c r="AH124" i="23"/>
  <c r="R122" i="23"/>
  <c r="L124" i="23"/>
  <c r="AJ124" i="23"/>
  <c r="N124" i="23"/>
  <c r="T122" i="23"/>
  <c r="V122" i="23"/>
  <c r="X122" i="23"/>
  <c r="Z122" i="23"/>
  <c r="AB122" i="23"/>
  <c r="AD122" i="23"/>
  <c r="H122" i="23"/>
  <c r="AF122" i="23"/>
  <c r="J122" i="23"/>
  <c r="AH122" i="23"/>
  <c r="L122" i="23"/>
  <c r="AV71" i="23"/>
  <c r="AX71" i="23" s="1"/>
  <c r="AV36" i="23"/>
  <c r="AX36" i="23" s="1"/>
  <c r="AV26" i="23"/>
  <c r="AX26" i="23" s="1"/>
  <c r="AT35" i="23"/>
  <c r="AV82" i="23"/>
  <c r="AT65" i="23"/>
  <c r="AV65" i="23" s="1"/>
  <c r="AV45" i="23"/>
  <c r="AZ75" i="23"/>
  <c r="BB75" i="23" s="1"/>
  <c r="AT63" i="23"/>
  <c r="AT44" i="23"/>
  <c r="AV90" i="23"/>
  <c r="AX90" i="23" s="1"/>
  <c r="AV69" i="23"/>
  <c r="AT74" i="23"/>
  <c r="AT34" i="23"/>
  <c r="AT120" i="23"/>
  <c r="AV120" i="23" s="1"/>
  <c r="AX120" i="23" s="1"/>
  <c r="AT101" i="23"/>
  <c r="AV101" i="23" s="1"/>
  <c r="AT60" i="23"/>
  <c r="AV60" i="23" s="1"/>
  <c r="AT131" i="23"/>
  <c r="AV129" i="23"/>
  <c r="AV33" i="23"/>
  <c r="AT105" i="23" l="1"/>
  <c r="AX113" i="23"/>
  <c r="AZ113" i="23" s="1"/>
  <c r="AS106" i="23"/>
  <c r="AT106" i="23"/>
  <c r="AV106" i="23" s="1"/>
  <c r="AQ106" i="23"/>
  <c r="AQ77" i="23"/>
  <c r="AQ80" i="23"/>
  <c r="AZ77" i="23"/>
  <c r="AX80" i="23"/>
  <c r="AZ80" i="23" s="1"/>
  <c r="AQ99" i="23"/>
  <c r="AQ124" i="23"/>
  <c r="AQ122" i="23"/>
  <c r="AX99" i="23"/>
  <c r="AZ128" i="23"/>
  <c r="BB128" i="23" s="1"/>
  <c r="BD128" i="23" s="1"/>
  <c r="AX122" i="23"/>
  <c r="AZ122" i="23" s="1"/>
  <c r="AZ93" i="23"/>
  <c r="AV74" i="23"/>
  <c r="AX74" i="23" s="1"/>
  <c r="AX101" i="23"/>
  <c r="AZ101" i="23" s="1"/>
  <c r="AZ26" i="23"/>
  <c r="BB26" i="23" s="1"/>
  <c r="BD75" i="23"/>
  <c r="BD119" i="23"/>
  <c r="BF119" i="23" s="1"/>
  <c r="AX129" i="23"/>
  <c r="AZ129" i="23" s="1"/>
  <c r="AX65" i="23"/>
  <c r="AX33" i="23"/>
  <c r="AZ121" i="23"/>
  <c r="AX69" i="23"/>
  <c r="AV63" i="23"/>
  <c r="AZ90" i="23"/>
  <c r="AZ36" i="23"/>
  <c r="AZ120" i="23"/>
  <c r="AV35" i="23"/>
  <c r="AZ71" i="23"/>
  <c r="AX60" i="23"/>
  <c r="AV34" i="23"/>
  <c r="AX34" i="23" s="1"/>
  <c r="AX82" i="23"/>
  <c r="AZ66" i="23"/>
  <c r="AV44" i="23"/>
  <c r="AX44" i="23" s="1"/>
  <c r="AX45" i="23"/>
  <c r="AV131" i="23"/>
  <c r="AZ132" i="23"/>
  <c r="AV105" i="23" l="1"/>
  <c r="AX105" i="23" s="1"/>
  <c r="AZ105" i="23" s="1"/>
  <c r="BB105" i="23" s="1"/>
  <c r="BD105" i="23" s="1"/>
  <c r="AX106" i="23"/>
  <c r="AZ106" i="23" s="1"/>
  <c r="BB113" i="23"/>
  <c r="BD113" i="23" s="1"/>
  <c r="BB77" i="23"/>
  <c r="BB80" i="23"/>
  <c r="BD80" i="23" s="1"/>
  <c r="AZ124" i="23"/>
  <c r="BB124" i="23" s="1"/>
  <c r="AZ99" i="23"/>
  <c r="BD26" i="23"/>
  <c r="BF26" i="23" s="1"/>
  <c r="BJ42" i="23"/>
  <c r="BB101" i="23"/>
  <c r="BD101" i="23" s="1"/>
  <c r="BB93" i="23"/>
  <c r="BF40" i="23"/>
  <c r="BF92" i="23"/>
  <c r="AZ60" i="23"/>
  <c r="AZ82" i="23"/>
  <c r="BB82" i="23" s="1"/>
  <c r="BD82" i="23" s="1"/>
  <c r="BB71" i="23"/>
  <c r="BD71" i="23" s="1"/>
  <c r="BF71" i="23" s="1"/>
  <c r="AZ34" i="23"/>
  <c r="BB121" i="23"/>
  <c r="BD121" i="23" s="1"/>
  <c r="BF128" i="23"/>
  <c r="BH128" i="23" s="1"/>
  <c r="BF75" i="23"/>
  <c r="BH75" i="23" s="1"/>
  <c r="AX131" i="23"/>
  <c r="AZ131" i="23" s="1"/>
  <c r="BH119" i="23"/>
  <c r="BJ119" i="23" s="1"/>
  <c r="BL119" i="23" s="1"/>
  <c r="AZ69" i="23"/>
  <c r="AZ74" i="23"/>
  <c r="AZ44" i="23"/>
  <c r="AX35" i="23"/>
  <c r="BB120" i="23"/>
  <c r="BD120" i="23" s="1"/>
  <c r="AZ33" i="23"/>
  <c r="AZ45" i="23"/>
  <c r="AZ65" i="23"/>
  <c r="BB65" i="23" s="1"/>
  <c r="BB36" i="23"/>
  <c r="BB129" i="23"/>
  <c r="BD129" i="23" s="1"/>
  <c r="BB90" i="23"/>
  <c r="BB66" i="23"/>
  <c r="BD66" i="23" s="1"/>
  <c r="AX63" i="23"/>
  <c r="BB122" i="23"/>
  <c r="BB132" i="23"/>
  <c r="BF105" i="23" l="1"/>
  <c r="BH105" i="23" s="1"/>
  <c r="BB106" i="23"/>
  <c r="BD106" i="23" s="1"/>
  <c r="BF113" i="23"/>
  <c r="BH113" i="23" s="1"/>
  <c r="BJ113" i="23" s="1"/>
  <c r="BD77" i="23"/>
  <c r="BF80" i="23"/>
  <c r="BD124" i="23"/>
  <c r="BF124" i="23" s="1"/>
  <c r="BB99" i="23"/>
  <c r="BD99" i="23" s="1"/>
  <c r="BF99" i="23" s="1"/>
  <c r="BH99" i="23" s="1"/>
  <c r="BD93" i="23"/>
  <c r="BF39" i="23"/>
  <c r="BH71" i="23"/>
  <c r="BJ71" i="23" s="1"/>
  <c r="BD122" i="23"/>
  <c r="BF122" i="23" s="1"/>
  <c r="BJ128" i="23"/>
  <c r="BL128" i="23" s="1"/>
  <c r="BN119" i="23"/>
  <c r="BP119" i="23" s="1"/>
  <c r="BH41" i="23"/>
  <c r="BJ41" i="23" s="1"/>
  <c r="BL41" i="23" s="1"/>
  <c r="BH40" i="23"/>
  <c r="BJ40" i="23" s="1"/>
  <c r="BD73" i="23"/>
  <c r="BF73" i="23" s="1"/>
  <c r="BB60" i="23"/>
  <c r="BF120" i="23"/>
  <c r="BH120" i="23" s="1"/>
  <c r="BB44" i="23"/>
  <c r="BD44" i="23" s="1"/>
  <c r="BB69" i="23"/>
  <c r="BD36" i="23"/>
  <c r="BF36" i="23" s="1"/>
  <c r="BB45" i="23"/>
  <c r="BD45" i="23" s="1"/>
  <c r="AZ63" i="23"/>
  <c r="BD65" i="23"/>
  <c r="BF65" i="23" s="1"/>
  <c r="BH92" i="23"/>
  <c r="BF66" i="23"/>
  <c r="BH66" i="23" s="1"/>
  <c r="AZ35" i="23"/>
  <c r="BB33" i="23"/>
  <c r="BD33" i="23" s="1"/>
  <c r="BB131" i="23"/>
  <c r="BB34" i="23"/>
  <c r="BF129" i="23"/>
  <c r="BF58" i="23"/>
  <c r="BH58" i="23" s="1"/>
  <c r="BL42" i="23"/>
  <c r="BN42" i="23" s="1"/>
  <c r="BP42" i="23" s="1"/>
  <c r="BF101" i="23"/>
  <c r="BH101" i="23" s="1"/>
  <c r="BF82" i="23"/>
  <c r="BH26" i="23"/>
  <c r="BF56" i="23"/>
  <c r="BJ75" i="23"/>
  <c r="BF121" i="23"/>
  <c r="BH121" i="23" s="1"/>
  <c r="BB74" i="23"/>
  <c r="BD74" i="23" s="1"/>
  <c r="BD90" i="23"/>
  <c r="BF90" i="23" s="1"/>
  <c r="BD132" i="23"/>
  <c r="BF132" i="23" s="1"/>
  <c r="BH132" i="23" s="1"/>
  <c r="BJ105" i="23" l="1"/>
  <c r="BL105" i="23" s="1"/>
  <c r="BN105" i="23" s="1"/>
  <c r="BP105" i="23" s="1"/>
  <c r="BF106" i="23"/>
  <c r="BH106" i="23" s="1"/>
  <c r="BL113" i="23"/>
  <c r="BN113" i="23" s="1"/>
  <c r="BF77" i="23"/>
  <c r="BH80" i="23"/>
  <c r="BH124" i="23"/>
  <c r="BJ124" i="23" s="1"/>
  <c r="BJ99" i="23"/>
  <c r="BJ58" i="23"/>
  <c r="BL58" i="23" s="1"/>
  <c r="BL71" i="23"/>
  <c r="BN71" i="23" s="1"/>
  <c r="BF93" i="23"/>
  <c r="BH65" i="23"/>
  <c r="BJ65" i="23" s="1"/>
  <c r="BL65" i="23" s="1"/>
  <c r="BL75" i="23"/>
  <c r="BH73" i="23"/>
  <c r="BD60" i="23"/>
  <c r="BH39" i="23"/>
  <c r="BJ39" i="23" s="1"/>
  <c r="BL40" i="23"/>
  <c r="BN40" i="23" s="1"/>
  <c r="BP40" i="23" s="1"/>
  <c r="BN41" i="23"/>
  <c r="BP41" i="23" s="1"/>
  <c r="BB35" i="23"/>
  <c r="BD35" i="23" s="1"/>
  <c r="BN68" i="23"/>
  <c r="BD69" i="23"/>
  <c r="BF69" i="23" s="1"/>
  <c r="BJ101" i="23"/>
  <c r="BL101" i="23" s="1"/>
  <c r="BF62" i="23"/>
  <c r="BH62" i="23" s="1"/>
  <c r="BH36" i="23"/>
  <c r="BJ36" i="23" s="1"/>
  <c r="BL36" i="23" s="1"/>
  <c r="BF44" i="23"/>
  <c r="BB63" i="23"/>
  <c r="BN128" i="23"/>
  <c r="BP128" i="23" s="1"/>
  <c r="BH122" i="23"/>
  <c r="BJ122" i="23" s="1"/>
  <c r="BJ121" i="23"/>
  <c r="BJ92" i="23"/>
  <c r="BL92" i="23" s="1"/>
  <c r="BN92" i="23" s="1"/>
  <c r="BD131" i="23"/>
  <c r="BH129" i="23"/>
  <c r="BJ129" i="23" s="1"/>
  <c r="BH82" i="23"/>
  <c r="BJ120" i="23"/>
  <c r="BL120" i="23" s="1"/>
  <c r="BH90" i="23"/>
  <c r="BJ90" i="23" s="1"/>
  <c r="BJ66" i="23"/>
  <c r="BF74" i="23"/>
  <c r="BH74" i="23" s="1"/>
  <c r="BF33" i="23"/>
  <c r="BH33" i="23" s="1"/>
  <c r="BF45" i="23"/>
  <c r="BH45" i="23" s="1"/>
  <c r="BJ26" i="23"/>
  <c r="BD34" i="23"/>
  <c r="BF34" i="23" s="1"/>
  <c r="BH56" i="23"/>
  <c r="BJ132" i="23"/>
  <c r="BJ106" i="23" l="1"/>
  <c r="BL106" i="23" s="1"/>
  <c r="BP113" i="23"/>
  <c r="BH77" i="23"/>
  <c r="BJ80" i="23"/>
  <c r="BL99" i="23"/>
  <c r="BN99" i="23" s="1"/>
  <c r="BJ33" i="23"/>
  <c r="BL33" i="23" s="1"/>
  <c r="BN33" i="23" s="1"/>
  <c r="BP33" i="23" s="1"/>
  <c r="BP71" i="23"/>
  <c r="BJ73" i="23"/>
  <c r="BL73" i="23" s="1"/>
  <c r="BN73" i="23" s="1"/>
  <c r="BP73" i="23" s="1"/>
  <c r="BJ62" i="23"/>
  <c r="BL62" i="23" s="1"/>
  <c r="BH93" i="23"/>
  <c r="BJ93" i="23" s="1"/>
  <c r="BN101" i="23"/>
  <c r="BP101" i="23" s="1"/>
  <c r="BN75" i="23"/>
  <c r="BP75" i="23" s="1"/>
  <c r="BH69" i="23"/>
  <c r="BJ69" i="23" s="1"/>
  <c r="BL69" i="23" s="1"/>
  <c r="BF60" i="23"/>
  <c r="BH60" i="23" s="1"/>
  <c r="BP68" i="23"/>
  <c r="BN58" i="23"/>
  <c r="BP58" i="23" s="1"/>
  <c r="BH88" i="23"/>
  <c r="BJ88" i="23" s="1"/>
  <c r="BL39" i="23"/>
  <c r="BL124" i="23"/>
  <c r="BN124" i="23" s="1"/>
  <c r="BP124" i="23" s="1"/>
  <c r="BP92" i="23"/>
  <c r="BH34" i="23"/>
  <c r="BJ34" i="23" s="1"/>
  <c r="BL66" i="23"/>
  <c r="BN66" i="23" s="1"/>
  <c r="BN36" i="23"/>
  <c r="BP36" i="23" s="1"/>
  <c r="BN120" i="23"/>
  <c r="BP120" i="23" s="1"/>
  <c r="BN65" i="23"/>
  <c r="BP65" i="23" s="1"/>
  <c r="BJ82" i="23"/>
  <c r="BL82" i="23" s="1"/>
  <c r="BN82" i="23" s="1"/>
  <c r="BL121" i="23"/>
  <c r="BN121" i="23" s="1"/>
  <c r="BP121" i="23" s="1"/>
  <c r="BL122" i="23"/>
  <c r="BN122" i="23" s="1"/>
  <c r="BL129" i="23"/>
  <c r="BN129" i="23" s="1"/>
  <c r="BP129" i="23" s="1"/>
  <c r="BF131" i="23"/>
  <c r="BH131" i="23" s="1"/>
  <c r="BJ45" i="23"/>
  <c r="BD63" i="23"/>
  <c r="BF35" i="23"/>
  <c r="BL26" i="23"/>
  <c r="BN26" i="23" s="1"/>
  <c r="BJ74" i="23"/>
  <c r="BL74" i="23" s="1"/>
  <c r="BL90" i="23"/>
  <c r="BH44" i="23"/>
  <c r="BF61" i="23"/>
  <c r="BH61" i="23" s="1"/>
  <c r="BJ56" i="23"/>
  <c r="BL56" i="23" s="1"/>
  <c r="BL132" i="23"/>
  <c r="BN132" i="23" s="1"/>
  <c r="BN106" i="23" l="1"/>
  <c r="BP106" i="23" s="1"/>
  <c r="BJ77" i="23"/>
  <c r="BL77" i="23" s="1"/>
  <c r="BL80" i="23"/>
  <c r="BN80" i="23" s="1"/>
  <c r="BP99" i="23"/>
  <c r="BN90" i="23"/>
  <c r="BP90" i="23" s="1"/>
  <c r="BL93" i="23"/>
  <c r="BN93" i="23" s="1"/>
  <c r="BN56" i="23"/>
  <c r="BP56" i="23" s="1"/>
  <c r="BH35" i="23"/>
  <c r="BJ35" i="23" s="1"/>
  <c r="BJ60" i="23"/>
  <c r="BL88" i="23"/>
  <c r="BN88" i="23" s="1"/>
  <c r="BP88" i="23" s="1"/>
  <c r="BN39" i="23"/>
  <c r="BP39" i="23" s="1"/>
  <c r="BL34" i="23"/>
  <c r="BN69" i="23"/>
  <c r="BP69" i="23" s="1"/>
  <c r="BN64" i="23"/>
  <c r="BP64" i="23" s="1"/>
  <c r="BF63" i="23"/>
  <c r="BN62" i="23"/>
  <c r="BP62" i="23" s="1"/>
  <c r="BJ44" i="23"/>
  <c r="BL44" i="23" s="1"/>
  <c r="BN74" i="23"/>
  <c r="BP74" i="23" s="1"/>
  <c r="BP66" i="23"/>
  <c r="BP26" i="23"/>
  <c r="BL45" i="23"/>
  <c r="BN45" i="23" s="1"/>
  <c r="BP82" i="23"/>
  <c r="BP122" i="23"/>
  <c r="BJ131" i="23"/>
  <c r="BL131" i="23" s="1"/>
  <c r="BJ61" i="23"/>
  <c r="BP132" i="23"/>
  <c r="BN77" i="23" l="1"/>
  <c r="BP77" i="23" s="1"/>
  <c r="BP80" i="23"/>
  <c r="BN44" i="23"/>
  <c r="BP44" i="23" s="1"/>
  <c r="BL35" i="23"/>
  <c r="BN35" i="23" s="1"/>
  <c r="BP93" i="23"/>
  <c r="BL60" i="23"/>
  <c r="BN60" i="23" s="1"/>
  <c r="BP60" i="23" s="1"/>
  <c r="BL61" i="23"/>
  <c r="BN61" i="23" s="1"/>
  <c r="BN34" i="23"/>
  <c r="BP34" i="23" s="1"/>
  <c r="BP45" i="23"/>
  <c r="BN131" i="23"/>
  <c r="BP131" i="23" s="1"/>
  <c r="BL70" i="23"/>
  <c r="BN70" i="23" s="1"/>
  <c r="BH63" i="23"/>
  <c r="BJ63" i="23" s="1"/>
  <c r="AP41" i="23"/>
  <c r="AN41" i="23"/>
  <c r="AJ41" i="23"/>
  <c r="AH41" i="23"/>
  <c r="AF41" i="23"/>
  <c r="AD41" i="23"/>
  <c r="AB41" i="23"/>
  <c r="Z41" i="23"/>
  <c r="X41" i="23"/>
  <c r="V41" i="23"/>
  <c r="T41" i="23"/>
  <c r="R41" i="23"/>
  <c r="P41" i="23"/>
  <c r="N41" i="23"/>
  <c r="L41" i="23"/>
  <c r="J41" i="23"/>
  <c r="H41" i="23"/>
  <c r="AP40" i="23"/>
  <c r="AN40" i="23"/>
  <c r="AJ40" i="23"/>
  <c r="AH40" i="23"/>
  <c r="AF40" i="23"/>
  <c r="AD40" i="23"/>
  <c r="AB40" i="23"/>
  <c r="Z40" i="23"/>
  <c r="X40" i="23"/>
  <c r="V40" i="23"/>
  <c r="T40" i="23"/>
  <c r="R40" i="23"/>
  <c r="P40" i="23"/>
  <c r="N40" i="23"/>
  <c r="L40" i="23"/>
  <c r="J40" i="23"/>
  <c r="H40" i="23"/>
  <c r="AP39" i="23"/>
  <c r="AN39" i="23"/>
  <c r="AJ39" i="23"/>
  <c r="AH39" i="23"/>
  <c r="AF39" i="23"/>
  <c r="AD39" i="23"/>
  <c r="AB39" i="23"/>
  <c r="Z39" i="23"/>
  <c r="X39" i="23"/>
  <c r="V39" i="23"/>
  <c r="T39" i="23"/>
  <c r="R39" i="23"/>
  <c r="P39" i="23"/>
  <c r="N39" i="23"/>
  <c r="L39" i="23"/>
  <c r="J39" i="23"/>
  <c r="H39" i="23"/>
  <c r="AQ40" i="23" l="1"/>
  <c r="AQ41" i="23"/>
  <c r="AQ39" i="23"/>
  <c r="BP35" i="23"/>
  <c r="BP70" i="23"/>
  <c r="BL63" i="23"/>
  <c r="BP61" i="23"/>
  <c r="BN63" i="23" l="1"/>
  <c r="BP63" i="23" s="1"/>
  <c r="E35" i="23"/>
  <c r="E65" i="23"/>
  <c r="E119" i="23"/>
  <c r="E120" i="23"/>
  <c r="E131" i="23"/>
  <c r="AP129" i="23"/>
  <c r="AN129" i="23"/>
  <c r="AJ129" i="23"/>
  <c r="AH129" i="23"/>
  <c r="AF129" i="23"/>
  <c r="AD129" i="23"/>
  <c r="AB129" i="23"/>
  <c r="Z129" i="23"/>
  <c r="X129" i="23"/>
  <c r="V129" i="23"/>
  <c r="T129" i="23"/>
  <c r="R129" i="23"/>
  <c r="P129" i="23"/>
  <c r="N129" i="23"/>
  <c r="L129" i="23"/>
  <c r="J129" i="23"/>
  <c r="H129" i="23"/>
  <c r="AP44" i="23"/>
  <c r="AN44" i="23"/>
  <c r="AJ44" i="23"/>
  <c r="AH44" i="23"/>
  <c r="AF44" i="23"/>
  <c r="AD44" i="23"/>
  <c r="AB44" i="23"/>
  <c r="Z44" i="23"/>
  <c r="X44" i="23"/>
  <c r="V44" i="23"/>
  <c r="T44" i="23"/>
  <c r="R44" i="23"/>
  <c r="P44" i="23"/>
  <c r="N44" i="23"/>
  <c r="L44" i="23"/>
  <c r="J44" i="23"/>
  <c r="H44" i="23"/>
  <c r="AP35" i="23"/>
  <c r="AN35" i="23"/>
  <c r="AJ35" i="23"/>
  <c r="AH35" i="23"/>
  <c r="AF35" i="23"/>
  <c r="AD35" i="23"/>
  <c r="AB35" i="23"/>
  <c r="Z35" i="23"/>
  <c r="X35" i="23"/>
  <c r="V35" i="23"/>
  <c r="T35" i="23"/>
  <c r="R35" i="23"/>
  <c r="P35" i="23"/>
  <c r="N35" i="23"/>
  <c r="L35" i="23"/>
  <c r="J35" i="23"/>
  <c r="H35" i="23"/>
  <c r="AP34" i="23"/>
  <c r="AN34" i="23"/>
  <c r="AJ34" i="23"/>
  <c r="AH34" i="23"/>
  <c r="AF34" i="23"/>
  <c r="AD34" i="23"/>
  <c r="AB34" i="23"/>
  <c r="Z34" i="23"/>
  <c r="X34" i="23"/>
  <c r="V34" i="23"/>
  <c r="T34" i="23"/>
  <c r="R34" i="23"/>
  <c r="P34" i="23"/>
  <c r="N34" i="23"/>
  <c r="L34" i="23"/>
  <c r="J34" i="23"/>
  <c r="H34" i="23"/>
  <c r="E34" i="23"/>
  <c r="AP33" i="23"/>
  <c r="AN33" i="23"/>
  <c r="AJ33" i="23"/>
  <c r="AH33" i="23"/>
  <c r="AF33" i="23"/>
  <c r="AD33" i="23"/>
  <c r="AB33" i="23"/>
  <c r="Z33" i="23"/>
  <c r="X33" i="23"/>
  <c r="V33" i="23"/>
  <c r="T33" i="23"/>
  <c r="R33" i="23"/>
  <c r="P33" i="23"/>
  <c r="N33" i="23"/>
  <c r="L33" i="23"/>
  <c r="J33" i="23"/>
  <c r="H33" i="23"/>
  <c r="AP65" i="23"/>
  <c r="AN65" i="23"/>
  <c r="AJ65" i="23"/>
  <c r="AH65" i="23"/>
  <c r="AF65" i="23"/>
  <c r="AD65" i="23"/>
  <c r="AB65" i="23"/>
  <c r="Z65" i="23"/>
  <c r="X65" i="23"/>
  <c r="V65" i="23"/>
  <c r="T65" i="23"/>
  <c r="R65" i="23"/>
  <c r="P65" i="23"/>
  <c r="N65" i="23"/>
  <c r="L65" i="23"/>
  <c r="J65" i="23"/>
  <c r="H65" i="23"/>
  <c r="AP64" i="23"/>
  <c r="AN64" i="23"/>
  <c r="AJ64" i="23"/>
  <c r="AH64" i="23"/>
  <c r="AF64" i="23"/>
  <c r="AD64" i="23"/>
  <c r="AB64" i="23"/>
  <c r="Z64" i="23"/>
  <c r="X64" i="23"/>
  <c r="V64" i="23"/>
  <c r="T64" i="23"/>
  <c r="R64" i="23"/>
  <c r="P64" i="23"/>
  <c r="N64" i="23"/>
  <c r="L64" i="23"/>
  <c r="J64" i="23"/>
  <c r="H64" i="23"/>
  <c r="AP63" i="23"/>
  <c r="AN63" i="23"/>
  <c r="AJ63" i="23"/>
  <c r="AH63" i="23"/>
  <c r="AF63" i="23"/>
  <c r="AD63" i="23"/>
  <c r="AB63" i="23"/>
  <c r="Z63" i="23"/>
  <c r="X63" i="23"/>
  <c r="V63" i="23"/>
  <c r="T63" i="23"/>
  <c r="R63" i="23"/>
  <c r="P63" i="23"/>
  <c r="N63" i="23"/>
  <c r="L63" i="23"/>
  <c r="J63" i="23"/>
  <c r="H63" i="23"/>
  <c r="AP62" i="23"/>
  <c r="AN62" i="23"/>
  <c r="AJ62" i="23"/>
  <c r="AH62" i="23"/>
  <c r="AF62" i="23"/>
  <c r="AD62" i="23"/>
  <c r="AB62" i="23"/>
  <c r="Z62" i="23"/>
  <c r="X62" i="23"/>
  <c r="V62" i="23"/>
  <c r="T62" i="23"/>
  <c r="R62" i="23"/>
  <c r="P62" i="23"/>
  <c r="N62" i="23"/>
  <c r="L62" i="23"/>
  <c r="J62" i="23"/>
  <c r="H62" i="23"/>
  <c r="AP61" i="23"/>
  <c r="AN61" i="23"/>
  <c r="AJ61" i="23"/>
  <c r="AH61" i="23"/>
  <c r="AF61" i="23"/>
  <c r="AD61" i="23"/>
  <c r="AB61" i="23"/>
  <c r="Z61" i="23"/>
  <c r="X61" i="23"/>
  <c r="V61" i="23"/>
  <c r="T61" i="23"/>
  <c r="R61" i="23"/>
  <c r="P61" i="23"/>
  <c r="N61" i="23"/>
  <c r="L61" i="23"/>
  <c r="J61" i="23"/>
  <c r="H61" i="23"/>
  <c r="AP60" i="23"/>
  <c r="AN60" i="23"/>
  <c r="AJ60" i="23"/>
  <c r="AH60" i="23"/>
  <c r="AF60" i="23"/>
  <c r="AD60" i="23"/>
  <c r="AB60" i="23"/>
  <c r="Z60" i="23"/>
  <c r="X60" i="23"/>
  <c r="V60" i="23"/>
  <c r="T60" i="23"/>
  <c r="R60" i="23"/>
  <c r="P60" i="23"/>
  <c r="N60" i="23"/>
  <c r="L60" i="23"/>
  <c r="J60" i="23"/>
  <c r="H60" i="23"/>
  <c r="AP58" i="23"/>
  <c r="AN58" i="23"/>
  <c r="AJ58" i="23"/>
  <c r="AH58" i="23"/>
  <c r="AF58" i="23"/>
  <c r="AD58" i="23"/>
  <c r="AB58" i="23"/>
  <c r="Z58" i="23"/>
  <c r="X58" i="23"/>
  <c r="V58" i="23"/>
  <c r="T58" i="23"/>
  <c r="R58" i="23"/>
  <c r="P58" i="23"/>
  <c r="N58" i="23"/>
  <c r="L58" i="23"/>
  <c r="J58" i="23"/>
  <c r="H58" i="23"/>
  <c r="AP56" i="23"/>
  <c r="AN56" i="23"/>
  <c r="AJ56" i="23"/>
  <c r="AH56" i="23"/>
  <c r="AF56" i="23"/>
  <c r="AD56" i="23"/>
  <c r="AB56" i="23"/>
  <c r="Z56" i="23"/>
  <c r="X56" i="23"/>
  <c r="V56" i="23"/>
  <c r="T56" i="23"/>
  <c r="R56" i="23"/>
  <c r="P56" i="23"/>
  <c r="N56" i="23"/>
  <c r="L56" i="23"/>
  <c r="J56" i="23"/>
  <c r="H56" i="23"/>
  <c r="AP105" i="23"/>
  <c r="AN105" i="23"/>
  <c r="AJ105" i="23"/>
  <c r="AH105" i="23"/>
  <c r="AF105" i="23"/>
  <c r="AD105" i="23"/>
  <c r="AB105" i="23"/>
  <c r="Z105" i="23"/>
  <c r="X105" i="23"/>
  <c r="V105" i="23"/>
  <c r="T105" i="23"/>
  <c r="R105" i="23"/>
  <c r="P105" i="23"/>
  <c r="N105" i="23"/>
  <c r="L105" i="23"/>
  <c r="J105" i="23"/>
  <c r="H105" i="23"/>
  <c r="AP101" i="23"/>
  <c r="AN101" i="23"/>
  <c r="AJ101" i="23"/>
  <c r="AH101" i="23"/>
  <c r="AF101" i="23"/>
  <c r="AD101" i="23"/>
  <c r="AB101" i="23"/>
  <c r="Z101" i="23"/>
  <c r="X101" i="23"/>
  <c r="V101" i="23"/>
  <c r="T101" i="23"/>
  <c r="R101" i="23"/>
  <c r="P101" i="23"/>
  <c r="N101" i="23"/>
  <c r="L101" i="23"/>
  <c r="J101" i="23"/>
  <c r="H101" i="23"/>
  <c r="AP92" i="23"/>
  <c r="AN92" i="23"/>
  <c r="AJ92" i="23"/>
  <c r="AH92" i="23"/>
  <c r="AF92" i="23"/>
  <c r="AD92" i="23"/>
  <c r="AB92" i="23"/>
  <c r="Z92" i="23"/>
  <c r="X92" i="23"/>
  <c r="V92" i="23"/>
  <c r="T92" i="23"/>
  <c r="R92" i="23"/>
  <c r="P92" i="23"/>
  <c r="N92" i="23"/>
  <c r="L92" i="23"/>
  <c r="J92" i="23"/>
  <c r="H92" i="23"/>
  <c r="AP90" i="23"/>
  <c r="AN90" i="23"/>
  <c r="AJ90" i="23"/>
  <c r="AH90" i="23"/>
  <c r="AF90" i="23"/>
  <c r="AD90" i="23"/>
  <c r="AB90" i="23"/>
  <c r="Z90" i="23"/>
  <c r="X90" i="23"/>
  <c r="V90" i="23"/>
  <c r="T90" i="23"/>
  <c r="R90" i="23"/>
  <c r="P90" i="23"/>
  <c r="N90" i="23"/>
  <c r="L90" i="23"/>
  <c r="J90" i="23"/>
  <c r="H90" i="23"/>
  <c r="E90" i="23"/>
  <c r="AP88" i="23"/>
  <c r="AN88" i="23"/>
  <c r="AJ88" i="23"/>
  <c r="AH88" i="23"/>
  <c r="AF88" i="23"/>
  <c r="AD88" i="23"/>
  <c r="AB88" i="23"/>
  <c r="Z88" i="23"/>
  <c r="X88" i="23"/>
  <c r="V88" i="23"/>
  <c r="T88" i="23"/>
  <c r="R88" i="23"/>
  <c r="P88" i="23"/>
  <c r="N88" i="23"/>
  <c r="L88" i="23"/>
  <c r="J88" i="23"/>
  <c r="H88" i="23"/>
  <c r="H128" i="23"/>
  <c r="J128" i="23"/>
  <c r="L128" i="23"/>
  <c r="N128" i="23"/>
  <c r="P128" i="23"/>
  <c r="R128" i="23"/>
  <c r="T128" i="23"/>
  <c r="V128" i="23"/>
  <c r="X128" i="23"/>
  <c r="Z128" i="23"/>
  <c r="AB128" i="23"/>
  <c r="AD128" i="23"/>
  <c r="AF128" i="23"/>
  <c r="AH128" i="23"/>
  <c r="AJ128" i="23"/>
  <c r="AN128" i="23"/>
  <c r="AP128" i="23"/>
  <c r="AP121" i="23"/>
  <c r="AN121" i="23"/>
  <c r="AJ121" i="23"/>
  <c r="AH121" i="23"/>
  <c r="AF121" i="23"/>
  <c r="AD121" i="23"/>
  <c r="AB121" i="23"/>
  <c r="Z121" i="23"/>
  <c r="X121" i="23"/>
  <c r="V121" i="23"/>
  <c r="T121" i="23"/>
  <c r="R121" i="23"/>
  <c r="P121" i="23"/>
  <c r="N121" i="23"/>
  <c r="L121" i="23"/>
  <c r="J121" i="23"/>
  <c r="H121" i="23"/>
  <c r="E121" i="23"/>
  <c r="AP120" i="23"/>
  <c r="AN120" i="23"/>
  <c r="AJ120" i="23"/>
  <c r="AH120" i="23"/>
  <c r="AF120" i="23"/>
  <c r="AD120" i="23"/>
  <c r="AB120" i="23"/>
  <c r="Z120" i="23"/>
  <c r="X120" i="23"/>
  <c r="V120" i="23"/>
  <c r="T120" i="23"/>
  <c r="R120" i="23"/>
  <c r="P120" i="23"/>
  <c r="N120" i="23"/>
  <c r="L120" i="23"/>
  <c r="J120" i="23"/>
  <c r="H120" i="23"/>
  <c r="AP119" i="23"/>
  <c r="AN119" i="23"/>
  <c r="AJ119" i="23"/>
  <c r="AH119" i="23"/>
  <c r="AF119" i="23"/>
  <c r="AD119" i="23"/>
  <c r="AB119" i="23"/>
  <c r="Z119" i="23"/>
  <c r="X119" i="23"/>
  <c r="V119" i="23"/>
  <c r="T119" i="23"/>
  <c r="R119" i="23"/>
  <c r="P119" i="23"/>
  <c r="N119" i="23"/>
  <c r="L119" i="23"/>
  <c r="J119" i="23"/>
  <c r="H119" i="23"/>
  <c r="AN131" i="23"/>
  <c r="AJ131" i="23"/>
  <c r="AH131" i="23"/>
  <c r="AF131" i="23"/>
  <c r="AD131" i="23"/>
  <c r="AB131" i="23"/>
  <c r="Z131" i="23"/>
  <c r="X131" i="23"/>
  <c r="V131" i="23"/>
  <c r="T131" i="23"/>
  <c r="R131" i="23"/>
  <c r="P131" i="23"/>
  <c r="N131" i="23"/>
  <c r="L131" i="23"/>
  <c r="J131" i="23"/>
  <c r="H131" i="23"/>
  <c r="R26" i="23"/>
  <c r="R45" i="23"/>
  <c r="R82" i="23"/>
  <c r="R132" i="23"/>
  <c r="AP26" i="23"/>
  <c r="AP45" i="23"/>
  <c r="AP82" i="23"/>
  <c r="AN26" i="23"/>
  <c r="AN45" i="23"/>
  <c r="AN82" i="23"/>
  <c r="AJ26" i="23"/>
  <c r="AJ45" i="23"/>
  <c r="AJ82" i="23"/>
  <c r="AH26" i="23"/>
  <c r="AH45" i="23"/>
  <c r="AH82" i="23"/>
  <c r="AF26" i="23"/>
  <c r="AF45" i="23"/>
  <c r="AF82" i="23"/>
  <c r="AD26" i="23"/>
  <c r="AD45" i="23"/>
  <c r="AD82" i="23"/>
  <c r="AB26" i="23"/>
  <c r="AB45" i="23"/>
  <c r="AB82" i="23"/>
  <c r="Z26" i="23"/>
  <c r="Z45" i="23"/>
  <c r="Z82" i="23"/>
  <c r="X26" i="23"/>
  <c r="X45" i="23"/>
  <c r="X82" i="23"/>
  <c r="V26" i="23"/>
  <c r="V45" i="23"/>
  <c r="V82" i="23"/>
  <c r="T26" i="23"/>
  <c r="T45" i="23"/>
  <c r="T82" i="23"/>
  <c r="P26" i="23"/>
  <c r="P45" i="23"/>
  <c r="P82" i="23"/>
  <c r="N26" i="23"/>
  <c r="N45" i="23"/>
  <c r="N82" i="23"/>
  <c r="H26" i="23"/>
  <c r="H45" i="23"/>
  <c r="H82" i="23"/>
  <c r="AP132" i="23"/>
  <c r="AN132" i="23"/>
  <c r="AJ132" i="23"/>
  <c r="AH132" i="23"/>
  <c r="AF132" i="23"/>
  <c r="AD132" i="23"/>
  <c r="AB132" i="23"/>
  <c r="Z132" i="23"/>
  <c r="X132" i="23"/>
  <c r="V132" i="23"/>
  <c r="T132" i="23"/>
  <c r="P132" i="23"/>
  <c r="N132" i="23"/>
  <c r="AX81" i="23" l="1"/>
  <c r="AQ33" i="23"/>
  <c r="AQ101" i="23"/>
  <c r="AQ88" i="23"/>
  <c r="AQ129" i="23"/>
  <c r="AQ44" i="23"/>
  <c r="AQ128" i="23"/>
  <c r="AQ61" i="23"/>
  <c r="AQ34" i="23"/>
  <c r="AQ63" i="23"/>
  <c r="AQ120" i="23"/>
  <c r="AQ65" i="23"/>
  <c r="AQ119" i="23"/>
  <c r="AQ121" i="23"/>
  <c r="AQ60" i="23"/>
  <c r="AQ92" i="23"/>
  <c r="AQ58" i="23"/>
  <c r="AQ131" i="23"/>
  <c r="AQ105" i="23"/>
  <c r="AQ56" i="23"/>
  <c r="AQ64" i="23"/>
  <c r="AQ90" i="23"/>
  <c r="AQ62" i="23"/>
  <c r="AQ35" i="23"/>
  <c r="AM171" i="23"/>
  <c r="AN168" i="23"/>
  <c r="AN137" i="23"/>
  <c r="AN136" i="23"/>
  <c r="AN135" i="23"/>
  <c r="AN134" i="23"/>
  <c r="AN18" i="23"/>
  <c r="AO171" i="23"/>
  <c r="BJ195" i="22"/>
  <c r="BK195" i="22"/>
  <c r="BJ37" i="22"/>
  <c r="L26" i="23"/>
  <c r="L45" i="23"/>
  <c r="L82" i="23"/>
  <c r="J26" i="23"/>
  <c r="J45" i="23"/>
  <c r="J82" i="23"/>
  <c r="J132" i="23"/>
  <c r="AE171" i="23"/>
  <c r="I171" i="23"/>
  <c r="AQ170" i="23"/>
  <c r="AQ169" i="23"/>
  <c r="AJ168" i="23"/>
  <c r="AD168" i="23"/>
  <c r="J168" i="23"/>
  <c r="H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AL149" i="23" s="1"/>
  <c r="D148" i="23"/>
  <c r="D147" i="23"/>
  <c r="AL147" i="23" s="1"/>
  <c r="D146" i="23"/>
  <c r="D145" i="23"/>
  <c r="D144" i="23"/>
  <c r="D143" i="23"/>
  <c r="D142" i="23"/>
  <c r="D141" i="23"/>
  <c r="D140" i="23"/>
  <c r="D139" i="23"/>
  <c r="D138" i="23"/>
  <c r="AJ137" i="23"/>
  <c r="AD137" i="23"/>
  <c r="Z137" i="23"/>
  <c r="X137" i="23"/>
  <c r="V137" i="23"/>
  <c r="R137" i="23"/>
  <c r="P137" i="23"/>
  <c r="AF137" i="23" s="1"/>
  <c r="N137" i="23"/>
  <c r="L137" i="23"/>
  <c r="H137" i="23"/>
  <c r="D137" i="23"/>
  <c r="AJ136" i="23"/>
  <c r="AD136" i="23"/>
  <c r="Z136" i="23"/>
  <c r="X136" i="23"/>
  <c r="V136" i="23"/>
  <c r="R136" i="23"/>
  <c r="P136" i="23"/>
  <c r="AF136" i="23" s="1"/>
  <c r="N136" i="23"/>
  <c r="L136" i="23"/>
  <c r="J136" i="23" s="1"/>
  <c r="H136" i="23"/>
  <c r="D136" i="23"/>
  <c r="AJ135" i="23"/>
  <c r="AD135" i="23"/>
  <c r="Z135" i="23"/>
  <c r="X135" i="23"/>
  <c r="V135" i="23"/>
  <c r="R135" i="23"/>
  <c r="P135" i="23"/>
  <c r="AF135" i="23" s="1"/>
  <c r="N135" i="23"/>
  <c r="L135" i="23"/>
  <c r="AB135" i="23" s="1"/>
  <c r="H135" i="23"/>
  <c r="D135" i="23"/>
  <c r="AJ134" i="23"/>
  <c r="AD134" i="23"/>
  <c r="Z134" i="23"/>
  <c r="X134" i="23"/>
  <c r="V134" i="23"/>
  <c r="R134" i="23"/>
  <c r="P134" i="23"/>
  <c r="AF134" i="23" s="1"/>
  <c r="N134" i="23"/>
  <c r="L134" i="23"/>
  <c r="AB134" i="23" s="1"/>
  <c r="H134" i="23"/>
  <c r="D134" i="23"/>
  <c r="AQ133" i="23"/>
  <c r="L132" i="23"/>
  <c r="H132" i="23"/>
  <c r="AG171" i="23"/>
  <c r="BE174" i="23"/>
  <c r="BM174" i="23"/>
  <c r="BI174" i="23"/>
  <c r="M171" i="23"/>
  <c r="D24" i="23"/>
  <c r="D22" i="23"/>
  <c r="D19" i="23"/>
  <c r="AJ18" i="23"/>
  <c r="AD18" i="23"/>
  <c r="AB18" i="23"/>
  <c r="Z18" i="23"/>
  <c r="X18" i="23"/>
  <c r="V18" i="23"/>
  <c r="T18" i="23"/>
  <c r="R18" i="23"/>
  <c r="P18" i="23"/>
  <c r="N18" i="23"/>
  <c r="L18" i="23"/>
  <c r="J18" i="23"/>
  <c r="AF18" i="23" s="1"/>
  <c r="H18" i="23"/>
  <c r="D17" i="23"/>
  <c r="D16" i="23"/>
  <c r="D49" i="22"/>
  <c r="AM49" i="22" s="1"/>
  <c r="BH51" i="22"/>
  <c r="BG51" i="22" s="1"/>
  <c r="D34" i="22"/>
  <c r="BH34" i="22"/>
  <c r="BG34" i="22" s="1"/>
  <c r="BH35" i="22"/>
  <c r="BG35" i="22" s="1"/>
  <c r="D35" i="22"/>
  <c r="BH63" i="22"/>
  <c r="BG63" i="22" s="1"/>
  <c r="D93" i="22"/>
  <c r="E93" i="22" s="1"/>
  <c r="E94" i="22"/>
  <c r="D136" i="22"/>
  <c r="E136" i="22" s="1"/>
  <c r="BG67" i="22"/>
  <c r="BH88" i="22"/>
  <c r="BG88" i="22"/>
  <c r="P90" i="20"/>
  <c r="AB90" i="20"/>
  <c r="D90" i="20"/>
  <c r="BG61" i="22"/>
  <c r="BG62" i="22"/>
  <c r="BG54" i="22"/>
  <c r="BH102" i="22"/>
  <c r="BG102" i="22" s="1"/>
  <c r="C102" i="22"/>
  <c r="BG101" i="22"/>
  <c r="Z37" i="22"/>
  <c r="R37" i="22"/>
  <c r="N37" i="22"/>
  <c r="L37" i="22"/>
  <c r="J37" i="22"/>
  <c r="C37" i="22"/>
  <c r="V38" i="22"/>
  <c r="V37" i="22" s="1"/>
  <c r="T38" i="22"/>
  <c r="T37" i="22" s="1"/>
  <c r="V39" i="22"/>
  <c r="T39" i="22"/>
  <c r="D95" i="22"/>
  <c r="AM95" i="22"/>
  <c r="AI95" i="22"/>
  <c r="AG95" i="22"/>
  <c r="AE95" i="22"/>
  <c r="AC95" i="22"/>
  <c r="AA95" i="22"/>
  <c r="Y95" i="22"/>
  <c r="W95" i="22"/>
  <c r="U95" i="22"/>
  <c r="S95" i="22"/>
  <c r="Q95" i="22"/>
  <c r="O95" i="22"/>
  <c r="M95" i="22"/>
  <c r="K95" i="22"/>
  <c r="I95" i="22"/>
  <c r="G95" i="22"/>
  <c r="D96" i="22"/>
  <c r="E96" i="22" s="1"/>
  <c r="N101" i="22"/>
  <c r="AH101" i="22"/>
  <c r="P97" i="22"/>
  <c r="Q97" i="22" s="1"/>
  <c r="AH97" i="22"/>
  <c r="AI97" i="22" s="1"/>
  <c r="D97" i="22"/>
  <c r="AG97" i="22"/>
  <c r="AE97" i="22"/>
  <c r="AC97" i="22"/>
  <c r="AA97" i="22"/>
  <c r="Y97" i="22"/>
  <c r="W97" i="22"/>
  <c r="U97" i="22"/>
  <c r="S97" i="22"/>
  <c r="O97" i="22"/>
  <c r="M97" i="22"/>
  <c r="K97" i="22"/>
  <c r="I97" i="22"/>
  <c r="G97" i="22"/>
  <c r="AI49" i="22"/>
  <c r="AG49" i="22"/>
  <c r="AE49" i="22"/>
  <c r="AC49" i="22"/>
  <c r="AA49" i="22"/>
  <c r="Y49" i="22"/>
  <c r="W49" i="22"/>
  <c r="U49" i="22"/>
  <c r="S49" i="22"/>
  <c r="Q49" i="22"/>
  <c r="O49" i="22"/>
  <c r="M49" i="22"/>
  <c r="K49" i="22"/>
  <c r="I49" i="22"/>
  <c r="G49" i="22"/>
  <c r="AM98" i="22"/>
  <c r="AI98" i="22"/>
  <c r="AG98" i="22"/>
  <c r="AE98" i="22"/>
  <c r="AC98" i="22"/>
  <c r="AA98" i="22"/>
  <c r="Y98" i="22"/>
  <c r="W98" i="22"/>
  <c r="U98" i="22"/>
  <c r="S98" i="22"/>
  <c r="Q98" i="22"/>
  <c r="O98" i="22"/>
  <c r="M98" i="22"/>
  <c r="K98" i="22"/>
  <c r="I98" i="22"/>
  <c r="G98" i="22"/>
  <c r="AM50" i="22"/>
  <c r="AI50" i="22"/>
  <c r="AG50" i="22"/>
  <c r="AE50" i="22"/>
  <c r="AC50" i="22"/>
  <c r="AA50" i="22"/>
  <c r="Y50" i="22"/>
  <c r="W50" i="22"/>
  <c r="U50" i="22"/>
  <c r="S50" i="22"/>
  <c r="Q50" i="22"/>
  <c r="O50" i="22"/>
  <c r="M50" i="22"/>
  <c r="K50" i="22"/>
  <c r="I50" i="22"/>
  <c r="G50" i="22"/>
  <c r="BE138" i="22"/>
  <c r="D51" i="22"/>
  <c r="E51" i="22" s="1"/>
  <c r="BF40" i="22"/>
  <c r="BE62" i="22"/>
  <c r="J99" i="22"/>
  <c r="D99" i="22"/>
  <c r="E99" i="22" s="1"/>
  <c r="BE17" i="22"/>
  <c r="BE16" i="22"/>
  <c r="BE15" i="22"/>
  <c r="BE14" i="22"/>
  <c r="BE12" i="22"/>
  <c r="BE11" i="22"/>
  <c r="BE10" i="22"/>
  <c r="BE9" i="22"/>
  <c r="BE40" i="22"/>
  <c r="BB40" i="22"/>
  <c r="BE61" i="22"/>
  <c r="C33" i="22"/>
  <c r="C143" i="22"/>
  <c r="BD143" i="22"/>
  <c r="BC143" i="22" s="1"/>
  <c r="BC61" i="22"/>
  <c r="BD138" i="22"/>
  <c r="BC138" i="22" s="1"/>
  <c r="BD40" i="22"/>
  <c r="BC40" i="22" s="1"/>
  <c r="D68" i="22"/>
  <c r="BC68" i="22"/>
  <c r="L66" i="22"/>
  <c r="D66" i="22"/>
  <c r="C66" i="22" s="1"/>
  <c r="BD66" i="22"/>
  <c r="BC66" i="22" s="1"/>
  <c r="BD67" i="22"/>
  <c r="BC67" i="22" s="1"/>
  <c r="BD34" i="22"/>
  <c r="BC34" i="22" s="1"/>
  <c r="BC33" i="22"/>
  <c r="BC35" i="22"/>
  <c r="BC83" i="22"/>
  <c r="D100" i="22"/>
  <c r="AM100" i="22"/>
  <c r="AI100" i="22"/>
  <c r="AG100" i="22"/>
  <c r="AE100" i="22"/>
  <c r="AC100" i="22"/>
  <c r="AA100" i="22"/>
  <c r="Y100" i="22"/>
  <c r="W100" i="22"/>
  <c r="U100" i="22"/>
  <c r="S100" i="22"/>
  <c r="Q100" i="22"/>
  <c r="O100" i="22"/>
  <c r="M100" i="22"/>
  <c r="K100" i="22"/>
  <c r="I100" i="22"/>
  <c r="G100" i="22"/>
  <c r="BC107" i="22"/>
  <c r="AM52" i="22"/>
  <c r="AI52" i="22"/>
  <c r="AG52" i="22"/>
  <c r="AE52" i="22"/>
  <c r="AC52" i="22"/>
  <c r="AA52" i="22"/>
  <c r="Y52" i="22"/>
  <c r="W52" i="22"/>
  <c r="U52" i="22"/>
  <c r="S52" i="22"/>
  <c r="Q52" i="22"/>
  <c r="O52" i="22"/>
  <c r="M52" i="22"/>
  <c r="K52" i="22"/>
  <c r="I52" i="22"/>
  <c r="G52" i="22"/>
  <c r="D101" i="22"/>
  <c r="E101" i="22" s="1"/>
  <c r="D31" i="22"/>
  <c r="AM28" i="22"/>
  <c r="AI28" i="22"/>
  <c r="AG28" i="22"/>
  <c r="AE28" i="22"/>
  <c r="AC28" i="22"/>
  <c r="AA28" i="22"/>
  <c r="Y28" i="22"/>
  <c r="W28" i="22"/>
  <c r="U28" i="22"/>
  <c r="S28" i="22"/>
  <c r="Q28" i="22"/>
  <c r="O28" i="22"/>
  <c r="M28" i="22"/>
  <c r="K28" i="22"/>
  <c r="I28" i="22"/>
  <c r="G28" i="22"/>
  <c r="D57" i="22"/>
  <c r="D56" i="22"/>
  <c r="C137" i="22"/>
  <c r="D137" i="22" s="1"/>
  <c r="E137" i="22" s="1"/>
  <c r="U54" i="22"/>
  <c r="AI55" i="22"/>
  <c r="AG55" i="22"/>
  <c r="AE55" i="22"/>
  <c r="AC55" i="22"/>
  <c r="AA55" i="22"/>
  <c r="Y55" i="22"/>
  <c r="W55" i="22"/>
  <c r="U55" i="22"/>
  <c r="S55" i="22"/>
  <c r="Q55" i="22"/>
  <c r="O55" i="22"/>
  <c r="M55" i="22"/>
  <c r="K55" i="22"/>
  <c r="I55" i="22"/>
  <c r="G55" i="22"/>
  <c r="AI56" i="22"/>
  <c r="AG56" i="22"/>
  <c r="AE56" i="22"/>
  <c r="AC56" i="22"/>
  <c r="AA56" i="22"/>
  <c r="Y56" i="22"/>
  <c r="W56" i="22"/>
  <c r="U56" i="22"/>
  <c r="S56" i="22"/>
  <c r="Q56" i="22"/>
  <c r="O56" i="22"/>
  <c r="M56" i="22"/>
  <c r="K56" i="22"/>
  <c r="I56" i="22"/>
  <c r="G56" i="22"/>
  <c r="AI57" i="22"/>
  <c r="AG57" i="22"/>
  <c r="AE57" i="22"/>
  <c r="AC57" i="22"/>
  <c r="AA57" i="22"/>
  <c r="Y57" i="22"/>
  <c r="W57" i="22"/>
  <c r="U57" i="22"/>
  <c r="S57" i="22"/>
  <c r="Q57" i="22"/>
  <c r="O57" i="22"/>
  <c r="M57" i="22"/>
  <c r="K57" i="22"/>
  <c r="I57" i="22"/>
  <c r="G57" i="22"/>
  <c r="D83" i="22"/>
  <c r="E83" i="22" s="1"/>
  <c r="AM82" i="22"/>
  <c r="AO82" i="22" s="1"/>
  <c r="AI82" i="22"/>
  <c r="AG82" i="22"/>
  <c r="AE82" i="22"/>
  <c r="AC82" i="22"/>
  <c r="AA82" i="22"/>
  <c r="Y82" i="22"/>
  <c r="W82" i="22"/>
  <c r="U82" i="22"/>
  <c r="S82" i="22"/>
  <c r="Q82" i="22"/>
  <c r="O82" i="22"/>
  <c r="M82" i="22"/>
  <c r="K82" i="22"/>
  <c r="I82" i="22"/>
  <c r="G82" i="22"/>
  <c r="AZ81" i="23" l="1"/>
  <c r="BB81" i="23" s="1"/>
  <c r="AQ82" i="23"/>
  <c r="AQ26" i="23"/>
  <c r="AQ45" i="23"/>
  <c r="AQ132" i="23"/>
  <c r="E158" i="23"/>
  <c r="AR158" i="23" s="1"/>
  <c r="AL158" i="23"/>
  <c r="E155" i="23"/>
  <c r="AR155" i="23" s="1"/>
  <c r="AT155" i="23" s="1"/>
  <c r="AL155" i="23"/>
  <c r="T144" i="23"/>
  <c r="AL144" i="23"/>
  <c r="T161" i="23"/>
  <c r="AL161" i="23"/>
  <c r="E146" i="23"/>
  <c r="F146" i="23" s="1"/>
  <c r="AN146" i="23" s="1"/>
  <c r="AL146" i="23"/>
  <c r="E159" i="23"/>
  <c r="AR159" i="23" s="1"/>
  <c r="AL159" i="23"/>
  <c r="E148" i="23"/>
  <c r="F148" i="23" s="1"/>
  <c r="AN148" i="23" s="1"/>
  <c r="AL148" i="23"/>
  <c r="E160" i="23"/>
  <c r="F160" i="23" s="1"/>
  <c r="AN160" i="23" s="1"/>
  <c r="AL160" i="23"/>
  <c r="T138" i="23"/>
  <c r="AL138" i="23"/>
  <c r="E150" i="23"/>
  <c r="AR150" i="23" s="1"/>
  <c r="AL150" i="23"/>
  <c r="E162" i="23"/>
  <c r="AR162" i="23" s="1"/>
  <c r="AL162" i="23"/>
  <c r="E143" i="23"/>
  <c r="F143" i="23" s="1"/>
  <c r="AN143" i="23" s="1"/>
  <c r="AL143" i="23"/>
  <c r="E167" i="23"/>
  <c r="F167" i="23" s="1"/>
  <c r="AN167" i="23" s="1"/>
  <c r="AL167" i="23"/>
  <c r="T156" i="23"/>
  <c r="AL156" i="23"/>
  <c r="T145" i="23"/>
  <c r="AL145" i="23"/>
  <c r="T157" i="23"/>
  <c r="AL157" i="23"/>
  <c r="T137" i="23"/>
  <c r="AL137" i="23"/>
  <c r="E139" i="23"/>
  <c r="AR139" i="23" s="1"/>
  <c r="AT139" i="23" s="1"/>
  <c r="AL139" i="23"/>
  <c r="T151" i="23"/>
  <c r="AL151" i="23"/>
  <c r="E163" i="23"/>
  <c r="F163" i="23" s="1"/>
  <c r="AL163" i="23"/>
  <c r="E136" i="23"/>
  <c r="AR136" i="23" s="1"/>
  <c r="AL136" i="23"/>
  <c r="T140" i="23"/>
  <c r="AL140" i="23"/>
  <c r="T152" i="23"/>
  <c r="AL152" i="23"/>
  <c r="T164" i="23"/>
  <c r="AL164" i="23"/>
  <c r="T135" i="23"/>
  <c r="AL135" i="23"/>
  <c r="T141" i="23"/>
  <c r="AL141" i="23"/>
  <c r="T153" i="23"/>
  <c r="AL153" i="23"/>
  <c r="T165" i="23"/>
  <c r="AL165" i="23"/>
  <c r="E134" i="23"/>
  <c r="AL134" i="23"/>
  <c r="E142" i="23"/>
  <c r="F142" i="23" s="1"/>
  <c r="N142" i="23" s="1"/>
  <c r="AL142" i="23"/>
  <c r="T154" i="23"/>
  <c r="AL154" i="23"/>
  <c r="T166" i="23"/>
  <c r="AL166" i="23"/>
  <c r="AH18" i="23"/>
  <c r="AH137" i="23"/>
  <c r="AH136" i="23"/>
  <c r="AH134" i="23"/>
  <c r="AH168" i="23"/>
  <c r="AQ168" i="23" s="1"/>
  <c r="AH135" i="23"/>
  <c r="AP134" i="23"/>
  <c r="AP135" i="23"/>
  <c r="AP18" i="23"/>
  <c r="AP136" i="23"/>
  <c r="AP168" i="23"/>
  <c r="AP137" i="23"/>
  <c r="W93" i="22"/>
  <c r="O93" i="22"/>
  <c r="M93" i="22"/>
  <c r="K93" i="22"/>
  <c r="AG93" i="22"/>
  <c r="AE93" i="22"/>
  <c r="AC93" i="22"/>
  <c r="U93" i="22"/>
  <c r="G93" i="22"/>
  <c r="S93" i="22"/>
  <c r="Q93" i="22"/>
  <c r="AI93" i="22"/>
  <c r="AJ93" i="22" s="1"/>
  <c r="I93" i="22"/>
  <c r="Y93" i="22"/>
  <c r="AA93" i="22"/>
  <c r="T163" i="23"/>
  <c r="J134" i="23"/>
  <c r="J135" i="23"/>
  <c r="T148" i="23"/>
  <c r="T139" i="23"/>
  <c r="T160" i="23"/>
  <c r="T134" i="23"/>
  <c r="T142" i="23"/>
  <c r="E166" i="23"/>
  <c r="AR166" i="23" s="1"/>
  <c r="T159" i="23"/>
  <c r="E145" i="23"/>
  <c r="AR145" i="23" s="1"/>
  <c r="E157" i="23"/>
  <c r="F157" i="23" s="1"/>
  <c r="E137" i="23"/>
  <c r="AR137" i="23" s="1"/>
  <c r="E164" i="23"/>
  <c r="AR164" i="23" s="1"/>
  <c r="T158" i="23"/>
  <c r="T150" i="23"/>
  <c r="E156" i="23"/>
  <c r="AR156" i="23" s="1"/>
  <c r="E154" i="23"/>
  <c r="F154" i="23" s="1"/>
  <c r="E140" i="23"/>
  <c r="F140" i="23" s="1"/>
  <c r="AN140" i="23" s="1"/>
  <c r="T146" i="23"/>
  <c r="E161" i="23"/>
  <c r="F161" i="23" s="1"/>
  <c r="AN161" i="23" s="1"/>
  <c r="E144" i="23"/>
  <c r="T136" i="23"/>
  <c r="E165" i="23"/>
  <c r="F165" i="23" s="1"/>
  <c r="E151" i="23"/>
  <c r="T167" i="23"/>
  <c r="T143" i="23"/>
  <c r="E138" i="23"/>
  <c r="AR138" i="23" s="1"/>
  <c r="AT138" i="23" s="1"/>
  <c r="E135" i="23"/>
  <c r="AR135" i="23" s="1"/>
  <c r="T155" i="23"/>
  <c r="Q171" i="23"/>
  <c r="W171" i="23"/>
  <c r="O171" i="23"/>
  <c r="BC174" i="23"/>
  <c r="AQ18" i="23"/>
  <c r="AS174" i="23"/>
  <c r="AS179" i="23" s="1"/>
  <c r="E141" i="23"/>
  <c r="S171" i="23"/>
  <c r="AW174" i="23"/>
  <c r="E153" i="23"/>
  <c r="BG174" i="23"/>
  <c r="AA171" i="23"/>
  <c r="BO174" i="23"/>
  <c r="AC171" i="23"/>
  <c r="AI171" i="23"/>
  <c r="AY174" i="23"/>
  <c r="Y171" i="23"/>
  <c r="AB136" i="23"/>
  <c r="E147" i="23"/>
  <c r="T147" i="23"/>
  <c r="BA174" i="23"/>
  <c r="BK174" i="23"/>
  <c r="T162" i="23"/>
  <c r="T149" i="23"/>
  <c r="E149" i="23"/>
  <c r="U171" i="23"/>
  <c r="K171" i="23"/>
  <c r="J137" i="23"/>
  <c r="AB137" i="23"/>
  <c r="E152" i="23"/>
  <c r="K94" i="22"/>
  <c r="AI94" i="22"/>
  <c r="M94" i="22"/>
  <c r="O94" i="22"/>
  <c r="Q94" i="22"/>
  <c r="S94" i="22"/>
  <c r="U94" i="22"/>
  <c r="W94" i="22"/>
  <c r="Y94" i="22"/>
  <c r="AA94" i="22"/>
  <c r="AC94" i="22"/>
  <c r="G94" i="22"/>
  <c r="AE94" i="22"/>
  <c r="I94" i="22"/>
  <c r="AG94" i="22"/>
  <c r="AJ95" i="22"/>
  <c r="BI136" i="22"/>
  <c r="O136" i="22"/>
  <c r="M136" i="22"/>
  <c r="AI136" i="22"/>
  <c r="K136" i="22"/>
  <c r="AG136" i="22"/>
  <c r="I136" i="22"/>
  <c r="AE136" i="22"/>
  <c r="G136" i="22"/>
  <c r="AC136" i="22"/>
  <c r="AA136" i="22"/>
  <c r="Y136" i="22"/>
  <c r="W136" i="22"/>
  <c r="U136" i="22"/>
  <c r="S136" i="22"/>
  <c r="Q136" i="22"/>
  <c r="Q96" i="22"/>
  <c r="S96" i="22"/>
  <c r="U96" i="22"/>
  <c r="W96" i="22"/>
  <c r="Y96" i="22"/>
  <c r="AA96" i="22"/>
  <c r="AC96" i="22"/>
  <c r="G96" i="22"/>
  <c r="AE96" i="22"/>
  <c r="AG96" i="22"/>
  <c r="K96" i="22"/>
  <c r="AI96" i="22"/>
  <c r="M96" i="22"/>
  <c r="I96" i="22"/>
  <c r="O96" i="22"/>
  <c r="U101" i="22"/>
  <c r="AA101" i="22"/>
  <c r="Y101" i="22"/>
  <c r="W101" i="22"/>
  <c r="AC101" i="22"/>
  <c r="G101" i="22"/>
  <c r="AE101" i="22"/>
  <c r="I101" i="22"/>
  <c r="AG101" i="22"/>
  <c r="K101" i="22"/>
  <c r="AI101" i="22"/>
  <c r="M101" i="22"/>
  <c r="O101" i="22"/>
  <c r="Q101" i="22"/>
  <c r="S101" i="22"/>
  <c r="AJ97" i="22"/>
  <c r="AJ49" i="22"/>
  <c r="AO49" i="22"/>
  <c r="AQ49" i="22" s="1"/>
  <c r="AS49" i="22" s="1"/>
  <c r="AJ98" i="22"/>
  <c r="AJ50" i="22"/>
  <c r="AO98" i="22"/>
  <c r="AQ98" i="22" s="1"/>
  <c r="O99" i="22"/>
  <c r="AI99" i="22"/>
  <c r="I99" i="22"/>
  <c r="AG99" i="22"/>
  <c r="G99" i="22"/>
  <c r="U99" i="22"/>
  <c r="AE99" i="22"/>
  <c r="AC99" i="22"/>
  <c r="S99" i="22"/>
  <c r="Q99" i="22"/>
  <c r="AA99" i="22"/>
  <c r="Y99" i="22"/>
  <c r="W99" i="22"/>
  <c r="K99" i="22"/>
  <c r="M99" i="22"/>
  <c r="AI51" i="22"/>
  <c r="M51" i="22"/>
  <c r="AE51" i="22"/>
  <c r="O51" i="22"/>
  <c r="AO50" i="22"/>
  <c r="AQ50" i="22" s="1"/>
  <c r="Q51" i="22"/>
  <c r="S51" i="22"/>
  <c r="U51" i="22"/>
  <c r="W51" i="22"/>
  <c r="Y51" i="22"/>
  <c r="AA51" i="22"/>
  <c r="AC51" i="22"/>
  <c r="G51" i="22"/>
  <c r="I51" i="22"/>
  <c r="AG51" i="22"/>
  <c r="K51" i="22"/>
  <c r="AJ100" i="22"/>
  <c r="AJ52" i="22"/>
  <c r="AO52" i="22"/>
  <c r="AJ28" i="22"/>
  <c r="AO28" i="22"/>
  <c r="S137" i="22"/>
  <c r="AA137" i="22"/>
  <c r="Y137" i="22"/>
  <c r="W137" i="22"/>
  <c r="U137" i="22"/>
  <c r="Q137" i="22"/>
  <c r="M137" i="22"/>
  <c r="K137" i="22"/>
  <c r="AI137" i="22"/>
  <c r="I137" i="22"/>
  <c r="AG137" i="22"/>
  <c r="G137" i="22"/>
  <c r="O137" i="22"/>
  <c r="AE137" i="22"/>
  <c r="AC137" i="22"/>
  <c r="AI54" i="22"/>
  <c r="K54" i="22"/>
  <c r="M54" i="22"/>
  <c r="S54" i="22"/>
  <c r="W54" i="22"/>
  <c r="Y54" i="22"/>
  <c r="AJ55" i="22"/>
  <c r="AA54" i="22"/>
  <c r="AC54" i="22"/>
  <c r="G54" i="22"/>
  <c r="AE54" i="22"/>
  <c r="I54" i="22"/>
  <c r="AG54" i="22"/>
  <c r="O54" i="22"/>
  <c r="Q54" i="22"/>
  <c r="AJ56" i="22"/>
  <c r="AJ57" i="22"/>
  <c r="AJ82" i="22"/>
  <c r="AQ82" i="22"/>
  <c r="AR134" i="23" l="1"/>
  <c r="AT134" i="23" s="1"/>
  <c r="E171" i="23"/>
  <c r="BD81" i="23"/>
  <c r="BF81" i="23" s="1"/>
  <c r="BH81" i="23" s="1"/>
  <c r="H160" i="23"/>
  <c r="AH160" i="23" s="1"/>
  <c r="Z160" i="23"/>
  <c r="R160" i="23"/>
  <c r="AR146" i="23"/>
  <c r="AT146" i="23" s="1"/>
  <c r="N148" i="23"/>
  <c r="F155" i="23"/>
  <c r="AN155" i="23" s="1"/>
  <c r="AR160" i="23"/>
  <c r="AT160" i="23" s="1"/>
  <c r="H143" i="23"/>
  <c r="AP143" i="23" s="1"/>
  <c r="V142" i="23"/>
  <c r="X143" i="23"/>
  <c r="Z143" i="23"/>
  <c r="AD143" i="23"/>
  <c r="L160" i="23"/>
  <c r="AB160" i="23" s="1"/>
  <c r="F150" i="23"/>
  <c r="AN150" i="23" s="1"/>
  <c r="N160" i="23"/>
  <c r="AD160" i="23"/>
  <c r="X142" i="23"/>
  <c r="AJ160" i="23"/>
  <c r="AJ142" i="23"/>
  <c r="P160" i="23"/>
  <c r="AF160" i="23" s="1"/>
  <c r="AR163" i="23"/>
  <c r="AT163" i="23" s="1"/>
  <c r="AD148" i="23"/>
  <c r="P148" i="23"/>
  <c r="AF148" i="23" s="1"/>
  <c r="F158" i="23"/>
  <c r="AN158" i="23" s="1"/>
  <c r="R148" i="23"/>
  <c r="AR148" i="23"/>
  <c r="AT148" i="23" s="1"/>
  <c r="AV148" i="23" s="1"/>
  <c r="AR167" i="23"/>
  <c r="AT167" i="23" s="1"/>
  <c r="X148" i="23"/>
  <c r="AR143" i="23"/>
  <c r="AT143" i="23" s="1"/>
  <c r="H142" i="23"/>
  <c r="AH142" i="23" s="1"/>
  <c r="F162" i="23"/>
  <c r="AN162" i="23" s="1"/>
  <c r="H148" i="23"/>
  <c r="AH148" i="23" s="1"/>
  <c r="Z142" i="23"/>
  <c r="F159" i="23"/>
  <c r="AN159" i="23" s="1"/>
  <c r="Z148" i="23"/>
  <c r="V160" i="23"/>
  <c r="AT159" i="23"/>
  <c r="AV159" i="23" s="1"/>
  <c r="N143" i="23"/>
  <c r="X160" i="23"/>
  <c r="P143" i="23"/>
  <c r="AF143" i="23" s="1"/>
  <c r="AD142" i="23"/>
  <c r="V148" i="23"/>
  <c r="L142" i="23"/>
  <c r="J142" i="23" s="1"/>
  <c r="AR142" i="23"/>
  <c r="AT142" i="23" s="1"/>
  <c r="V143" i="23"/>
  <c r="F139" i="23"/>
  <c r="N139" i="23" s="1"/>
  <c r="AJ148" i="23"/>
  <c r="AJ143" i="23"/>
  <c r="R142" i="23"/>
  <c r="L148" i="23"/>
  <c r="AB148" i="23" s="1"/>
  <c r="R143" i="23"/>
  <c r="P142" i="23"/>
  <c r="AF142" i="23" s="1"/>
  <c r="L143" i="23"/>
  <c r="J143" i="23" s="1"/>
  <c r="AN142" i="23"/>
  <c r="AQ135" i="23"/>
  <c r="AD165" i="23"/>
  <c r="AN165" i="23"/>
  <c r="X157" i="23"/>
  <c r="AN157" i="23"/>
  <c r="AD163" i="23"/>
  <c r="AN163" i="23"/>
  <c r="Z154" i="23"/>
  <c r="AN154" i="23"/>
  <c r="X163" i="23"/>
  <c r="AR161" i="23"/>
  <c r="AT161" i="23" s="1"/>
  <c r="AV161" i="23" s="1"/>
  <c r="AR140" i="23"/>
  <c r="AT140" i="23" s="1"/>
  <c r="AV140" i="23" s="1"/>
  <c r="AX140" i="23" s="1"/>
  <c r="AQ134" i="23"/>
  <c r="F166" i="23"/>
  <c r="F156" i="23"/>
  <c r="P163" i="23"/>
  <c r="AF163" i="23" s="1"/>
  <c r="R163" i="23"/>
  <c r="N163" i="23"/>
  <c r="Z163" i="23"/>
  <c r="L163" i="23"/>
  <c r="AB163" i="23" s="1"/>
  <c r="H163" i="23"/>
  <c r="V163" i="23"/>
  <c r="AJ163" i="23"/>
  <c r="AV139" i="23"/>
  <c r="AX139" i="23" s="1"/>
  <c r="AZ139" i="23" s="1"/>
  <c r="AJ157" i="23"/>
  <c r="AD154" i="23"/>
  <c r="L154" i="23"/>
  <c r="AB154" i="23" s="1"/>
  <c r="F145" i="23"/>
  <c r="P154" i="23"/>
  <c r="AF154" i="23" s="1"/>
  <c r="AQ136" i="23"/>
  <c r="AR154" i="23"/>
  <c r="AT154" i="23" s="1"/>
  <c r="AV154" i="23" s="1"/>
  <c r="F138" i="23"/>
  <c r="N157" i="23"/>
  <c r="N154" i="23"/>
  <c r="AT135" i="23"/>
  <c r="AV135" i="23" s="1"/>
  <c r="AX135" i="23" s="1"/>
  <c r="AD157" i="23"/>
  <c r="H154" i="23"/>
  <c r="Z165" i="23"/>
  <c r="V165" i="23"/>
  <c r="AR151" i="23"/>
  <c r="AT151" i="23" s="1"/>
  <c r="F151" i="23"/>
  <c r="AN151" i="23" s="1"/>
  <c r="V157" i="23"/>
  <c r="F144" i="23"/>
  <c r="AN144" i="23" s="1"/>
  <c r="AR144" i="23"/>
  <c r="L165" i="23"/>
  <c r="J165" i="23" s="1"/>
  <c r="AR165" i="23"/>
  <c r="AT165" i="23" s="1"/>
  <c r="AV165" i="23" s="1"/>
  <c r="N165" i="23"/>
  <c r="L157" i="23"/>
  <c r="J157" i="23" s="1"/>
  <c r="P165" i="23"/>
  <c r="AF165" i="23" s="1"/>
  <c r="P157" i="23"/>
  <c r="AF157" i="23" s="1"/>
  <c r="AT164" i="23"/>
  <c r="H165" i="23"/>
  <c r="F164" i="23"/>
  <c r="AR157" i="23"/>
  <c r="AT157" i="23" s="1"/>
  <c r="R165" i="23"/>
  <c r="H157" i="23"/>
  <c r="AJ154" i="23"/>
  <c r="R154" i="23"/>
  <c r="X154" i="23"/>
  <c r="V154" i="23"/>
  <c r="R157" i="23"/>
  <c r="Z157" i="23"/>
  <c r="X165" i="23"/>
  <c r="AJ165" i="23"/>
  <c r="AQ137" i="23"/>
  <c r="P140" i="23"/>
  <c r="AF140" i="23" s="1"/>
  <c r="Z140" i="23"/>
  <c r="X140" i="23"/>
  <c r="R140" i="23"/>
  <c r="H140" i="23"/>
  <c r="AJ140" i="23"/>
  <c r="AD140" i="23"/>
  <c r="V140" i="23"/>
  <c r="N140" i="23"/>
  <c r="L140" i="23"/>
  <c r="AV155" i="23"/>
  <c r="AX155" i="23" s="1"/>
  <c r="AV138" i="23"/>
  <c r="AX138" i="23" s="1"/>
  <c r="AT137" i="23"/>
  <c r="AT145" i="23"/>
  <c r="AT166" i="23"/>
  <c r="AV166" i="23" s="1"/>
  <c r="AT162" i="23"/>
  <c r="F147" i="23"/>
  <c r="AN147" i="23" s="1"/>
  <c r="AR147" i="23"/>
  <c r="AT147" i="23" s="1"/>
  <c r="P146" i="23"/>
  <c r="AF146" i="23" s="1"/>
  <c r="L146" i="23"/>
  <c r="H146" i="23"/>
  <c r="AD146" i="23"/>
  <c r="N146" i="23"/>
  <c r="AJ146" i="23"/>
  <c r="Z146" i="23"/>
  <c r="V146" i="23"/>
  <c r="R146" i="23"/>
  <c r="X146" i="23"/>
  <c r="P161" i="23"/>
  <c r="AF161" i="23" s="1"/>
  <c r="R161" i="23"/>
  <c r="N161" i="23"/>
  <c r="L161" i="23"/>
  <c r="H161" i="23"/>
  <c r="V161" i="23"/>
  <c r="AJ161" i="23"/>
  <c r="Z161" i="23"/>
  <c r="AD161" i="23"/>
  <c r="X161" i="23"/>
  <c r="AR141" i="23"/>
  <c r="F141" i="23"/>
  <c r="AN141" i="23" s="1"/>
  <c r="AT156" i="23"/>
  <c r="AT150" i="23"/>
  <c r="AR149" i="23"/>
  <c r="AT149" i="23" s="1"/>
  <c r="F149" i="23"/>
  <c r="AN149" i="23" s="1"/>
  <c r="AT158" i="23"/>
  <c r="AR153" i="23"/>
  <c r="F153" i="23"/>
  <c r="AN153" i="23" s="1"/>
  <c r="P167" i="23"/>
  <c r="AF167" i="23" s="1"/>
  <c r="AD167" i="23"/>
  <c r="Z167" i="23"/>
  <c r="X167" i="23"/>
  <c r="V167" i="23"/>
  <c r="N167" i="23"/>
  <c r="AJ167" i="23"/>
  <c r="R167" i="23"/>
  <c r="L167" i="23"/>
  <c r="H167" i="23"/>
  <c r="AT136" i="23"/>
  <c r="AR152" i="23"/>
  <c r="AT152" i="23" s="1"/>
  <c r="F152" i="23"/>
  <c r="AN152" i="23" s="1"/>
  <c r="AJ94" i="22"/>
  <c r="AJ136" i="22"/>
  <c r="AJ96" i="22"/>
  <c r="AJ101" i="22"/>
  <c r="AU49" i="22"/>
  <c r="AW49" i="22" s="1"/>
  <c r="AS50" i="22"/>
  <c r="AU50" i="22" s="1"/>
  <c r="AS98" i="22"/>
  <c r="AJ99" i="22"/>
  <c r="AJ51" i="22"/>
  <c r="AQ52" i="22"/>
  <c r="AJ137" i="22"/>
  <c r="AQ28" i="22"/>
  <c r="AJ54" i="22"/>
  <c r="AS82" i="22"/>
  <c r="AV134" i="23" l="1"/>
  <c r="AX134" i="23" s="1"/>
  <c r="BJ81" i="23"/>
  <c r="AP160" i="23"/>
  <c r="N155" i="23"/>
  <c r="V155" i="23"/>
  <c r="AD155" i="23"/>
  <c r="P155" i="23"/>
  <c r="AF155" i="23" s="1"/>
  <c r="AJ155" i="23"/>
  <c r="Z155" i="23"/>
  <c r="H155" i="23"/>
  <c r="AP155" i="23" s="1"/>
  <c r="L155" i="23"/>
  <c r="J155" i="23" s="1"/>
  <c r="X155" i="23"/>
  <c r="R155" i="23"/>
  <c r="AV160" i="23"/>
  <c r="AX160" i="23" s="1"/>
  <c r="AZ160" i="23" s="1"/>
  <c r="AV146" i="23"/>
  <c r="AX146" i="23" s="1"/>
  <c r="AZ146" i="23" s="1"/>
  <c r="R139" i="23"/>
  <c r="AH143" i="23"/>
  <c r="P139" i="23"/>
  <c r="AF139" i="23" s="1"/>
  <c r="P159" i="23"/>
  <c r="AF159" i="23" s="1"/>
  <c r="AD158" i="23"/>
  <c r="N158" i="23"/>
  <c r="H159" i="23"/>
  <c r="AP159" i="23" s="1"/>
  <c r="J160" i="23"/>
  <c r="AQ160" i="23" s="1"/>
  <c r="Z158" i="23"/>
  <c r="AV163" i="23"/>
  <c r="AX163" i="23" s="1"/>
  <c r="AZ163" i="23" s="1"/>
  <c r="R150" i="23"/>
  <c r="L158" i="23"/>
  <c r="J158" i="23" s="1"/>
  <c r="Z150" i="23"/>
  <c r="P158" i="23"/>
  <c r="AF158" i="23" s="1"/>
  <c r="N159" i="23"/>
  <c r="X162" i="23"/>
  <c r="AD150" i="23"/>
  <c r="H158" i="23"/>
  <c r="AH158" i="23" s="1"/>
  <c r="R162" i="23"/>
  <c r="AJ150" i="23"/>
  <c r="Z139" i="23"/>
  <c r="H150" i="23"/>
  <c r="AP150" i="23" s="1"/>
  <c r="V158" i="23"/>
  <c r="AJ159" i="23"/>
  <c r="J148" i="23"/>
  <c r="AQ148" i="23" s="1"/>
  <c r="P150" i="23"/>
  <c r="AF150" i="23" s="1"/>
  <c r="V150" i="23"/>
  <c r="AJ158" i="23"/>
  <c r="N150" i="23"/>
  <c r="AX159" i="23"/>
  <c r="AZ159" i="23" s="1"/>
  <c r="BB159" i="23" s="1"/>
  <c r="X158" i="23"/>
  <c r="L150" i="23"/>
  <c r="J150" i="23" s="1"/>
  <c r="AP148" i="23"/>
  <c r="R158" i="23"/>
  <c r="X150" i="23"/>
  <c r="AB143" i="23"/>
  <c r="Z159" i="23"/>
  <c r="X159" i="23"/>
  <c r="X139" i="23"/>
  <c r="R159" i="23"/>
  <c r="N162" i="23"/>
  <c r="V162" i="23"/>
  <c r="AN139" i="23"/>
  <c r="Z162" i="23"/>
  <c r="P162" i="23"/>
  <c r="AF162" i="23" s="1"/>
  <c r="H139" i="23"/>
  <c r="AP139" i="23" s="1"/>
  <c r="AD162" i="23"/>
  <c r="V159" i="23"/>
  <c r="H162" i="23"/>
  <c r="AP162" i="23" s="1"/>
  <c r="AD139" i="23"/>
  <c r="V139" i="23"/>
  <c r="AB142" i="23"/>
  <c r="AQ142" i="23" s="1"/>
  <c r="AD159" i="23"/>
  <c r="AJ162" i="23"/>
  <c r="L139" i="23"/>
  <c r="J139" i="23" s="1"/>
  <c r="AJ139" i="23"/>
  <c r="AP142" i="23"/>
  <c r="L159" i="23"/>
  <c r="AB159" i="23" s="1"/>
  <c r="L162" i="23"/>
  <c r="J162" i="23" s="1"/>
  <c r="AJ156" i="23"/>
  <c r="AN156" i="23"/>
  <c r="P138" i="23"/>
  <c r="AF138" i="23" s="1"/>
  <c r="AN138" i="23"/>
  <c r="H166" i="23"/>
  <c r="AH166" i="23" s="1"/>
  <c r="AN166" i="23"/>
  <c r="AD164" i="23"/>
  <c r="AN164" i="23"/>
  <c r="AD145" i="23"/>
  <c r="AN145" i="23"/>
  <c r="AH167" i="23"/>
  <c r="AP167" i="23"/>
  <c r="AH140" i="23"/>
  <c r="AP140" i="23"/>
  <c r="AH163" i="23"/>
  <c r="AP163" i="23"/>
  <c r="AH146" i="23"/>
  <c r="AP146" i="23"/>
  <c r="AH165" i="23"/>
  <c r="AP165" i="23"/>
  <c r="AH157" i="23"/>
  <c r="AP157" i="23"/>
  <c r="AH161" i="23"/>
  <c r="AP161" i="23"/>
  <c r="AH154" i="23"/>
  <c r="AP154" i="23"/>
  <c r="N166" i="23"/>
  <c r="AD166" i="23"/>
  <c r="V156" i="23"/>
  <c r="AD156" i="23"/>
  <c r="R166" i="23"/>
  <c r="AJ166" i="23"/>
  <c r="Z166" i="23"/>
  <c r="X166" i="23"/>
  <c r="P166" i="23"/>
  <c r="AF166" i="23" s="1"/>
  <c r="J154" i="23"/>
  <c r="P156" i="23"/>
  <c r="AF156" i="23" s="1"/>
  <c r="L166" i="23"/>
  <c r="J166" i="23" s="1"/>
  <c r="N156" i="23"/>
  <c r="V166" i="23"/>
  <c r="L164" i="23"/>
  <c r="J164" i="23" s="1"/>
  <c r="X145" i="23"/>
  <c r="J163" i="23"/>
  <c r="AZ140" i="23"/>
  <c r="BB140" i="23" s="1"/>
  <c r="BD140" i="23" s="1"/>
  <c r="BF140" i="23" s="1"/>
  <c r="L156" i="23"/>
  <c r="AB156" i="23" s="1"/>
  <c r="X156" i="23"/>
  <c r="Z156" i="23"/>
  <c r="AJ145" i="23"/>
  <c r="H156" i="23"/>
  <c r="R156" i="23"/>
  <c r="N164" i="23"/>
  <c r="N145" i="23"/>
  <c r="R164" i="23"/>
  <c r="V164" i="23"/>
  <c r="L145" i="23"/>
  <c r="J145" i="23" s="1"/>
  <c r="P145" i="23"/>
  <c r="AF145" i="23" s="1"/>
  <c r="X164" i="23"/>
  <c r="H145" i="23"/>
  <c r="Z145" i="23"/>
  <c r="R145" i="23"/>
  <c r="R138" i="23"/>
  <c r="X138" i="23"/>
  <c r="AJ138" i="23"/>
  <c r="L138" i="23"/>
  <c r="J138" i="23" s="1"/>
  <c r="V145" i="23"/>
  <c r="AX154" i="23"/>
  <c r="AZ154" i="23" s="1"/>
  <c r="AB157" i="23"/>
  <c r="AD138" i="23"/>
  <c r="H138" i="23"/>
  <c r="N138" i="23"/>
  <c r="AJ164" i="23"/>
  <c r="Z138" i="23"/>
  <c r="H164" i="23"/>
  <c r="V138" i="23"/>
  <c r="AX165" i="23"/>
  <c r="AZ165" i="23" s="1"/>
  <c r="BB165" i="23" s="1"/>
  <c r="AZ138" i="23"/>
  <c r="BB138" i="23" s="1"/>
  <c r="BD138" i="23" s="1"/>
  <c r="Z164" i="23"/>
  <c r="AR173" i="23"/>
  <c r="AR178" i="23" s="1"/>
  <c r="P164" i="23"/>
  <c r="AF164" i="23" s="1"/>
  <c r="AV151" i="23"/>
  <c r="AX151" i="23" s="1"/>
  <c r="AT144" i="23"/>
  <c r="AB165" i="23"/>
  <c r="AV164" i="23"/>
  <c r="AX164" i="23" s="1"/>
  <c r="AJ144" i="23"/>
  <c r="V144" i="23"/>
  <c r="N144" i="23"/>
  <c r="L144" i="23"/>
  <c r="P144" i="23"/>
  <c r="AF144" i="23" s="1"/>
  <c r="AD144" i="23"/>
  <c r="H144" i="23"/>
  <c r="R144" i="23"/>
  <c r="X144" i="23"/>
  <c r="Z144" i="23"/>
  <c r="AV147" i="23"/>
  <c r="L151" i="23"/>
  <c r="R151" i="23"/>
  <c r="P151" i="23"/>
  <c r="AF151" i="23" s="1"/>
  <c r="N151" i="23"/>
  <c r="V151" i="23"/>
  <c r="AJ151" i="23"/>
  <c r="Z151" i="23"/>
  <c r="X151" i="23"/>
  <c r="H151" i="23"/>
  <c r="AD151" i="23"/>
  <c r="AX148" i="23"/>
  <c r="AZ148" i="23" s="1"/>
  <c r="AX166" i="23"/>
  <c r="AZ166" i="23" s="1"/>
  <c r="P152" i="23"/>
  <c r="AF152" i="23" s="1"/>
  <c r="Z152" i="23"/>
  <c r="X152" i="23"/>
  <c r="R152" i="23"/>
  <c r="AD152" i="23"/>
  <c r="V152" i="23"/>
  <c r="AJ152" i="23"/>
  <c r="L152" i="23"/>
  <c r="N152" i="23"/>
  <c r="H152" i="23"/>
  <c r="J161" i="23"/>
  <c r="AB161" i="23"/>
  <c r="AV167" i="23"/>
  <c r="AX161" i="23"/>
  <c r="AV145" i="23"/>
  <c r="BB139" i="23"/>
  <c r="BD139" i="23" s="1"/>
  <c r="AV152" i="23"/>
  <c r="J146" i="23"/>
  <c r="AB146" i="23"/>
  <c r="AV143" i="23"/>
  <c r="R147" i="23"/>
  <c r="X147" i="23"/>
  <c r="Z147" i="23"/>
  <c r="AJ147" i="23"/>
  <c r="H147" i="23"/>
  <c r="AD147" i="23"/>
  <c r="V147" i="23"/>
  <c r="L147" i="23"/>
  <c r="P147" i="23"/>
  <c r="AF147" i="23" s="1"/>
  <c r="N147" i="23"/>
  <c r="AV150" i="23"/>
  <c r="AV162" i="23"/>
  <c r="J140" i="23"/>
  <c r="AB140" i="23"/>
  <c r="R153" i="23"/>
  <c r="X153" i="23"/>
  <c r="P153" i="23"/>
  <c r="AF153" i="23" s="1"/>
  <c r="L153" i="23"/>
  <c r="V153" i="23"/>
  <c r="Z153" i="23"/>
  <c r="N153" i="23"/>
  <c r="AD153" i="23"/>
  <c r="AJ153" i="23"/>
  <c r="H153" i="23"/>
  <c r="AV149" i="23"/>
  <c r="AZ135" i="23"/>
  <c r="R141" i="23"/>
  <c r="X141" i="23"/>
  <c r="P141" i="23"/>
  <c r="AF141" i="23" s="1"/>
  <c r="L141" i="23"/>
  <c r="AD141" i="23"/>
  <c r="Z141" i="23"/>
  <c r="V141" i="23"/>
  <c r="AJ141" i="23"/>
  <c r="N141" i="23"/>
  <c r="H141" i="23"/>
  <c r="AZ155" i="23"/>
  <c r="AV137" i="23"/>
  <c r="AX137" i="23" s="1"/>
  <c r="AV158" i="23"/>
  <c r="AT153" i="23"/>
  <c r="AV153" i="23" s="1"/>
  <c r="AX153" i="23" s="1"/>
  <c r="AT141" i="23"/>
  <c r="AV156" i="23"/>
  <c r="AV142" i="23"/>
  <c r="AX142" i="23" s="1"/>
  <c r="P149" i="23"/>
  <c r="AF149" i="23" s="1"/>
  <c r="R149" i="23"/>
  <c r="L149" i="23"/>
  <c r="H149" i="23"/>
  <c r="V149" i="23"/>
  <c r="X149" i="23"/>
  <c r="N149" i="23"/>
  <c r="AJ149" i="23"/>
  <c r="AD149" i="23"/>
  <c r="Z149" i="23"/>
  <c r="AV157" i="23"/>
  <c r="AX157" i="23" s="1"/>
  <c r="J167" i="23"/>
  <c r="AB167" i="23"/>
  <c r="AV136" i="23"/>
  <c r="AY49" i="22"/>
  <c r="AU98" i="22"/>
  <c r="AW98" i="22" s="1"/>
  <c r="AW50" i="22"/>
  <c r="AY50" i="22"/>
  <c r="AS52" i="22"/>
  <c r="AS28" i="22"/>
  <c r="AU28" i="22" s="1"/>
  <c r="AU82" i="22"/>
  <c r="AW82" i="22" s="1"/>
  <c r="AY82" i="22" s="1"/>
  <c r="BL81" i="23" l="1"/>
  <c r="BN81" i="23" s="1"/>
  <c r="AB155" i="23"/>
  <c r="AH155" i="23"/>
  <c r="AH159" i="23"/>
  <c r="BB146" i="23"/>
  <c r="BD146" i="23" s="1"/>
  <c r="BB160" i="23"/>
  <c r="BD160" i="23" s="1"/>
  <c r="BF160" i="23" s="1"/>
  <c r="BH160" i="23" s="1"/>
  <c r="AQ143" i="23"/>
  <c r="BB163" i="23"/>
  <c r="BD163" i="23" s="1"/>
  <c r="AP158" i="23"/>
  <c r="AH139" i="23"/>
  <c r="AH150" i="23"/>
  <c r="AB158" i="23"/>
  <c r="AQ158" i="23" s="1"/>
  <c r="AB139" i="23"/>
  <c r="AB150" i="23"/>
  <c r="J159" i="23"/>
  <c r="AH162" i="23"/>
  <c r="AB162" i="23"/>
  <c r="AP166" i="23"/>
  <c r="AQ165" i="23"/>
  <c r="AQ163" i="23"/>
  <c r="AQ154" i="23"/>
  <c r="AH138" i="23"/>
  <c r="AP138" i="23"/>
  <c r="AH152" i="23"/>
  <c r="AP152" i="23"/>
  <c r="AH151" i="23"/>
  <c r="AP151" i="23"/>
  <c r="AH144" i="23"/>
  <c r="AP144" i="23"/>
  <c r="AH156" i="23"/>
  <c r="AP156" i="23"/>
  <c r="AH149" i="23"/>
  <c r="AP149" i="23"/>
  <c r="AH145" i="23"/>
  <c r="AP145" i="23"/>
  <c r="AH141" i="23"/>
  <c r="AP141" i="23"/>
  <c r="AH164" i="23"/>
  <c r="AP164" i="23"/>
  <c r="AQ157" i="23"/>
  <c r="AH153" i="23"/>
  <c r="AP153" i="23"/>
  <c r="AH147" i="23"/>
  <c r="AP147" i="23"/>
  <c r="AB166" i="23"/>
  <c r="AQ166" i="23" s="1"/>
  <c r="J156" i="23"/>
  <c r="AB164" i="23"/>
  <c r="AB145" i="23"/>
  <c r="AQ161" i="23"/>
  <c r="BB154" i="23"/>
  <c r="BD154" i="23" s="1"/>
  <c r="BF154" i="23" s="1"/>
  <c r="AB138" i="23"/>
  <c r="AQ167" i="23"/>
  <c r="AQ146" i="23"/>
  <c r="AX147" i="23"/>
  <c r="AZ147" i="23" s="1"/>
  <c r="BB147" i="23" s="1"/>
  <c r="BD147" i="23" s="1"/>
  <c r="AZ164" i="23"/>
  <c r="BB164" i="23" s="1"/>
  <c r="AZ151" i="23"/>
  <c r="BB151" i="23" s="1"/>
  <c r="AQ140" i="23"/>
  <c r="BD159" i="23"/>
  <c r="BF159" i="23" s="1"/>
  <c r="AB144" i="23"/>
  <c r="J144" i="23"/>
  <c r="J151" i="23"/>
  <c r="AB151" i="23"/>
  <c r="AX167" i="23"/>
  <c r="AZ167" i="23" s="1"/>
  <c r="AV144" i="23"/>
  <c r="AX144" i="23" s="1"/>
  <c r="BD165" i="23"/>
  <c r="BF165" i="23" s="1"/>
  <c r="BB166" i="23"/>
  <c r="BD166" i="23" s="1"/>
  <c r="BF166" i="23" s="1"/>
  <c r="AZ142" i="23"/>
  <c r="BB142" i="23" s="1"/>
  <c r="AX145" i="23"/>
  <c r="J152" i="23"/>
  <c r="AB152" i="23"/>
  <c r="AX156" i="23"/>
  <c r="AZ156" i="23" s="1"/>
  <c r="AB147" i="23"/>
  <c r="J147" i="23"/>
  <c r="J153" i="23"/>
  <c r="AB153" i="23"/>
  <c r="AZ153" i="23"/>
  <c r="BB153" i="23" s="1"/>
  <c r="BB155" i="23"/>
  <c r="BD155" i="23" s="1"/>
  <c r="AV141" i="23"/>
  <c r="AX150" i="23"/>
  <c r="J141" i="23"/>
  <c r="AB141" i="23"/>
  <c r="BF138" i="23"/>
  <c r="BH140" i="23"/>
  <c r="BJ140" i="23" s="1"/>
  <c r="AZ157" i="23"/>
  <c r="AZ161" i="23"/>
  <c r="AX158" i="23"/>
  <c r="J149" i="23"/>
  <c r="AB149" i="23"/>
  <c r="AZ134" i="23"/>
  <c r="AZ137" i="23"/>
  <c r="BB137" i="23" s="1"/>
  <c r="BD137" i="23" s="1"/>
  <c r="AX143" i="23"/>
  <c r="BB148" i="23"/>
  <c r="BD148" i="23" s="1"/>
  <c r="AX136" i="23"/>
  <c r="AZ136" i="23" s="1"/>
  <c r="BB136" i="23" s="1"/>
  <c r="BF139" i="23"/>
  <c r="BH139" i="23" s="1"/>
  <c r="AX149" i="23"/>
  <c r="AZ149" i="23" s="1"/>
  <c r="AX162" i="23"/>
  <c r="BB135" i="23"/>
  <c r="BD135" i="23" s="1"/>
  <c r="AX152" i="23"/>
  <c r="BG94" i="22"/>
  <c r="BI94" i="22" s="1"/>
  <c r="BA49" i="22"/>
  <c r="BC49" i="22" s="1"/>
  <c r="BA50" i="22"/>
  <c r="BC50" i="22" s="1"/>
  <c r="BE50" i="22" s="1"/>
  <c r="AY98" i="22"/>
  <c r="AU52" i="22"/>
  <c r="AW28" i="22"/>
  <c r="BA82" i="22"/>
  <c r="BC82" i="22" s="1"/>
  <c r="BP81" i="23" l="1"/>
  <c r="AQ155" i="23"/>
  <c r="BF146" i="23"/>
  <c r="BH146" i="23" s="1"/>
  <c r="BJ146" i="23" s="1"/>
  <c r="AQ159" i="23"/>
  <c r="AQ162" i="23"/>
  <c r="BF163" i="23"/>
  <c r="BH163" i="23" s="1"/>
  <c r="BJ163" i="23" s="1"/>
  <c r="BL163" i="23" s="1"/>
  <c r="AQ139" i="23"/>
  <c r="AQ150" i="23"/>
  <c r="AQ156" i="23"/>
  <c r="AQ138" i="23"/>
  <c r="AQ164" i="23"/>
  <c r="AQ145" i="23"/>
  <c r="AQ153" i="23"/>
  <c r="AQ151" i="23"/>
  <c r="AQ149" i="23"/>
  <c r="BB157" i="23"/>
  <c r="BD157" i="23" s="1"/>
  <c r="BF157" i="23" s="1"/>
  <c r="BH157" i="23" s="1"/>
  <c r="BJ160" i="23"/>
  <c r="BL160" i="23" s="1"/>
  <c r="BN160" i="23" s="1"/>
  <c r="BP160" i="23" s="1"/>
  <c r="AQ152" i="23"/>
  <c r="AZ144" i="23"/>
  <c r="BB144" i="23" s="1"/>
  <c r="BD164" i="23"/>
  <c r="BF164" i="23" s="1"/>
  <c r="AQ141" i="23"/>
  <c r="AQ144" i="23"/>
  <c r="BD151" i="23"/>
  <c r="BF151" i="23" s="1"/>
  <c r="BH151" i="23" s="1"/>
  <c r="BB167" i="23"/>
  <c r="BD167" i="23" s="1"/>
  <c r="BF167" i="23" s="1"/>
  <c r="BH159" i="23"/>
  <c r="AQ147" i="23"/>
  <c r="AZ162" i="23"/>
  <c r="BL140" i="23"/>
  <c r="BN140" i="23" s="1"/>
  <c r="BP140" i="23" s="1"/>
  <c r="BH166" i="23"/>
  <c r="BJ166" i="23" s="1"/>
  <c r="BD153" i="23"/>
  <c r="BD136" i="23"/>
  <c r="AZ143" i="23"/>
  <c r="AZ152" i="23"/>
  <c r="BB152" i="23" s="1"/>
  <c r="BH138" i="23"/>
  <c r="BH165" i="23"/>
  <c r="BJ165" i="23" s="1"/>
  <c r="AZ145" i="23"/>
  <c r="BB156" i="23"/>
  <c r="BD156" i="23" s="1"/>
  <c r="BF156" i="23" s="1"/>
  <c r="BF135" i="23"/>
  <c r="AZ158" i="23"/>
  <c r="BB134" i="23"/>
  <c r="BD134" i="23" s="1"/>
  <c r="AZ150" i="23"/>
  <c r="BB150" i="23" s="1"/>
  <c r="BH154" i="23"/>
  <c r="BB149" i="23"/>
  <c r="BJ139" i="23"/>
  <c r="BL139" i="23" s="1"/>
  <c r="BF147" i="23"/>
  <c r="BH147" i="23" s="1"/>
  <c r="BF148" i="23"/>
  <c r="AX141" i="23"/>
  <c r="AZ141" i="23" s="1"/>
  <c r="BB161" i="23"/>
  <c r="BD142" i="23"/>
  <c r="BF142" i="23" s="1"/>
  <c r="BF137" i="23"/>
  <c r="BF155" i="23"/>
  <c r="BH155" i="23" s="1"/>
  <c r="BE49" i="22"/>
  <c r="BG49" i="22" s="1"/>
  <c r="BA98" i="22"/>
  <c r="BG50" i="22"/>
  <c r="BI50" i="22" s="1"/>
  <c r="BI100" i="22"/>
  <c r="AY28" i="22"/>
  <c r="BA28" i="22" s="1"/>
  <c r="AW52" i="22"/>
  <c r="BI101" i="22"/>
  <c r="BI55" i="22"/>
  <c r="BI56" i="22"/>
  <c r="BE82" i="22"/>
  <c r="BG82" i="22" s="1"/>
  <c r="BD144" i="23" l="1"/>
  <c r="BF144" i="23" s="1"/>
  <c r="BD161" i="23"/>
  <c r="BF161" i="23" s="1"/>
  <c r="BH161" i="23" s="1"/>
  <c r="BJ161" i="23" s="1"/>
  <c r="BN139" i="23"/>
  <c r="BP139" i="23" s="1"/>
  <c r="BL146" i="23"/>
  <c r="BN146" i="23" s="1"/>
  <c r="BP146" i="23" s="1"/>
  <c r="BJ155" i="23"/>
  <c r="BL155" i="23" s="1"/>
  <c r="BN155" i="23" s="1"/>
  <c r="BP155" i="23" s="1"/>
  <c r="BB162" i="23"/>
  <c r="BD162" i="23" s="1"/>
  <c r="BH167" i="23"/>
  <c r="BJ167" i="23" s="1"/>
  <c r="BL167" i="23" s="1"/>
  <c r="BJ159" i="23"/>
  <c r="BL159" i="23" s="1"/>
  <c r="BJ151" i="23"/>
  <c r="BL151" i="23" s="1"/>
  <c r="BD150" i="23"/>
  <c r="BF150" i="23" s="1"/>
  <c r="BH156" i="23"/>
  <c r="BJ156" i="23" s="1"/>
  <c r="BL156" i="23" s="1"/>
  <c r="BH142" i="23"/>
  <c r="BL165" i="23"/>
  <c r="BN165" i="23" s="1"/>
  <c r="BP165" i="23" s="1"/>
  <c r="BH164" i="23"/>
  <c r="BJ164" i="23" s="1"/>
  <c r="BL164" i="23" s="1"/>
  <c r="BN163" i="23"/>
  <c r="BP163" i="23" s="1"/>
  <c r="BJ147" i="23"/>
  <c r="BL147" i="23" s="1"/>
  <c r="BF134" i="23"/>
  <c r="BD152" i="23"/>
  <c r="BJ157" i="23"/>
  <c r="BL157" i="23" s="1"/>
  <c r="BB158" i="23"/>
  <c r="BD158" i="23" s="1"/>
  <c r="BF136" i="23"/>
  <c r="BD149" i="23"/>
  <c r="BF149" i="23" s="1"/>
  <c r="BH149" i="23" s="1"/>
  <c r="BH135" i="23"/>
  <c r="BJ135" i="23" s="1"/>
  <c r="BL135" i="23" s="1"/>
  <c r="BN135" i="23" s="1"/>
  <c r="BL166" i="23"/>
  <c r="BB145" i="23"/>
  <c r="BB143" i="23"/>
  <c r="BD143" i="23" s="1"/>
  <c r="BF153" i="23"/>
  <c r="BJ138" i="23"/>
  <c r="BL138" i="23" s="1"/>
  <c r="BJ154" i="23"/>
  <c r="BL154" i="23" s="1"/>
  <c r="BH137" i="23"/>
  <c r="BB141" i="23"/>
  <c r="BD141" i="23" s="1"/>
  <c r="BH148" i="23"/>
  <c r="BG93" i="22"/>
  <c r="BI93" i="22" s="1"/>
  <c r="BI49" i="22"/>
  <c r="BI95" i="22"/>
  <c r="BC98" i="22"/>
  <c r="BE98" i="22" s="1"/>
  <c r="BG99" i="22"/>
  <c r="BC28" i="22"/>
  <c r="BE28" i="22" s="1"/>
  <c r="BG28" i="22" s="1"/>
  <c r="BI28" i="22" s="1"/>
  <c r="AY52" i="22"/>
  <c r="BA52" i="22" s="1"/>
  <c r="BI57" i="22"/>
  <c r="BI82" i="22"/>
  <c r="BN151" i="23" l="1"/>
  <c r="BP151" i="23" s="1"/>
  <c r="BH150" i="23"/>
  <c r="BJ150" i="23" s="1"/>
  <c r="BL150" i="23" s="1"/>
  <c r="BF162" i="23"/>
  <c r="BL161" i="23"/>
  <c r="BN161" i="23" s="1"/>
  <c r="BP161" i="23" s="1"/>
  <c r="BN159" i="23"/>
  <c r="BP159" i="23" s="1"/>
  <c r="BH144" i="23"/>
  <c r="BJ142" i="23"/>
  <c r="BN154" i="23"/>
  <c r="BP154" i="23" s="1"/>
  <c r="BH134" i="23"/>
  <c r="BJ134" i="23" s="1"/>
  <c r="BL134" i="23" s="1"/>
  <c r="BN156" i="23"/>
  <c r="BP156" i="23" s="1"/>
  <c r="BF158" i="23"/>
  <c r="BP135" i="23"/>
  <c r="BN147" i="23"/>
  <c r="BP147" i="23" s="1"/>
  <c r="BN164" i="23"/>
  <c r="BP164" i="23" s="1"/>
  <c r="BN138" i="23"/>
  <c r="BP138" i="23" s="1"/>
  <c r="BJ137" i="23"/>
  <c r="BL137" i="23" s="1"/>
  <c r="BN157" i="23"/>
  <c r="BP157" i="23" s="1"/>
  <c r="BH153" i="23"/>
  <c r="BJ153" i="23" s="1"/>
  <c r="BH136" i="23"/>
  <c r="BN166" i="23"/>
  <c r="BP166" i="23" s="1"/>
  <c r="BF152" i="23"/>
  <c r="BJ148" i="23"/>
  <c r="BL148" i="23" s="1"/>
  <c r="BN167" i="23"/>
  <c r="BP167" i="23" s="1"/>
  <c r="BJ149" i="23"/>
  <c r="BD145" i="23"/>
  <c r="BF141" i="23"/>
  <c r="BF143" i="23"/>
  <c r="BI96" i="22"/>
  <c r="BG98" i="22"/>
  <c r="BI98" i="22" s="1"/>
  <c r="BI97" i="22"/>
  <c r="BI99" i="22"/>
  <c r="BI51" i="22"/>
  <c r="BC52" i="22"/>
  <c r="BI137" i="22"/>
  <c r="BI54" i="22"/>
  <c r="D78" i="23" s="1"/>
  <c r="F78" i="23" l="1"/>
  <c r="BH162" i="23"/>
  <c r="BL142" i="23"/>
  <c r="BN142" i="23" s="1"/>
  <c r="BP142" i="23" s="1"/>
  <c r="BN134" i="23"/>
  <c r="BP134" i="23" s="1"/>
  <c r="BH152" i="23"/>
  <c r="BJ152" i="23" s="1"/>
  <c r="BJ144" i="23"/>
  <c r="BL153" i="23"/>
  <c r="BN153" i="23" s="1"/>
  <c r="BL149" i="23"/>
  <c r="BN149" i="23" s="1"/>
  <c r="BH143" i="23"/>
  <c r="BJ143" i="23" s="1"/>
  <c r="BN148" i="23"/>
  <c r="BP148" i="23" s="1"/>
  <c r="BH158" i="23"/>
  <c r="BJ158" i="23" s="1"/>
  <c r="BH141" i="23"/>
  <c r="BJ141" i="23" s="1"/>
  <c r="BJ136" i="23"/>
  <c r="BL136" i="23" s="1"/>
  <c r="BN136" i="23" s="1"/>
  <c r="BN150" i="23"/>
  <c r="BP150" i="23" s="1"/>
  <c r="BN137" i="23"/>
  <c r="BP137" i="23" s="1"/>
  <c r="BF145" i="23"/>
  <c r="BE52" i="22"/>
  <c r="AF78" i="23" l="1"/>
  <c r="AN78" i="23"/>
  <c r="AH78" i="23"/>
  <c r="V78" i="23"/>
  <c r="N78" i="23"/>
  <c r="AD78" i="23"/>
  <c r="J78" i="23"/>
  <c r="R78" i="23"/>
  <c r="AB78" i="23"/>
  <c r="T78" i="23"/>
  <c r="L78" i="23"/>
  <c r="X78" i="23"/>
  <c r="AJ78" i="23"/>
  <c r="AP78" i="23"/>
  <c r="AL78" i="23"/>
  <c r="P78" i="23"/>
  <c r="Z78" i="23"/>
  <c r="BJ162" i="23"/>
  <c r="BL141" i="23"/>
  <c r="BN141" i="23" s="1"/>
  <c r="BP141" i="23" s="1"/>
  <c r="BL152" i="23"/>
  <c r="BN152" i="23" s="1"/>
  <c r="BP152" i="23" s="1"/>
  <c r="BH145" i="23"/>
  <c r="BJ145" i="23" s="1"/>
  <c r="BP153" i="23"/>
  <c r="BL144" i="23"/>
  <c r="BN144" i="23" s="1"/>
  <c r="BP149" i="23"/>
  <c r="BP136" i="23"/>
  <c r="BL143" i="23"/>
  <c r="BN143" i="23" s="1"/>
  <c r="BP143" i="23" s="1"/>
  <c r="BL158" i="23"/>
  <c r="BN158" i="23" s="1"/>
  <c r="BG52" i="22"/>
  <c r="BI52" i="22" s="1"/>
  <c r="H78" i="23" l="1"/>
  <c r="AQ78" i="23" s="1"/>
  <c r="G171" i="23"/>
  <c r="BL162" i="23"/>
  <c r="BN162" i="23" s="1"/>
  <c r="BP158" i="23"/>
  <c r="BL145" i="23"/>
  <c r="BN145" i="23" s="1"/>
  <c r="BP144" i="23"/>
  <c r="AO30" i="22"/>
  <c r="AQ30" i="22" s="1"/>
  <c r="AS30" i="22" s="1"/>
  <c r="AI30" i="22"/>
  <c r="AG30" i="22"/>
  <c r="AE30" i="22"/>
  <c r="AC30" i="22"/>
  <c r="AA30" i="22"/>
  <c r="Y30" i="22"/>
  <c r="W30" i="22"/>
  <c r="U30" i="22"/>
  <c r="S30" i="22"/>
  <c r="Q30" i="22"/>
  <c r="O30" i="22"/>
  <c r="M30" i="22"/>
  <c r="K30" i="22"/>
  <c r="I30" i="22"/>
  <c r="G30" i="22"/>
  <c r="AI29" i="22"/>
  <c r="AG29" i="22"/>
  <c r="AE29" i="22"/>
  <c r="AC29" i="22"/>
  <c r="AA29" i="22"/>
  <c r="Y29" i="22"/>
  <c r="W29" i="22"/>
  <c r="U29" i="22"/>
  <c r="S29" i="22"/>
  <c r="Q29" i="22"/>
  <c r="O29" i="22"/>
  <c r="M29" i="22"/>
  <c r="K29" i="22"/>
  <c r="I29" i="22"/>
  <c r="G29" i="22"/>
  <c r="BI29" i="22"/>
  <c r="D113" i="22"/>
  <c r="C113" i="22" s="1"/>
  <c r="BA107" i="22"/>
  <c r="BA67" i="22"/>
  <c r="BA66" i="22"/>
  <c r="BA34" i="22"/>
  <c r="BA35" i="22"/>
  <c r="BA103" i="22"/>
  <c r="BA40" i="22"/>
  <c r="N40" i="22"/>
  <c r="D153" i="22"/>
  <c r="D154" i="22"/>
  <c r="D84" i="22"/>
  <c r="AI58" i="22"/>
  <c r="AG58" i="22"/>
  <c r="AE58" i="22"/>
  <c r="AC58" i="22"/>
  <c r="AA58" i="22"/>
  <c r="Y58" i="22"/>
  <c r="W58" i="22"/>
  <c r="U58" i="22"/>
  <c r="S58" i="22"/>
  <c r="Q58" i="22"/>
  <c r="O58" i="22"/>
  <c r="M58" i="22"/>
  <c r="K58" i="22"/>
  <c r="I58" i="22"/>
  <c r="G58" i="22"/>
  <c r="D102" i="22"/>
  <c r="AM102" i="22"/>
  <c r="AI102" i="22"/>
  <c r="AG102" i="22"/>
  <c r="AE102" i="22"/>
  <c r="AC102" i="22"/>
  <c r="AA102" i="22"/>
  <c r="Y102" i="22"/>
  <c r="W102" i="22"/>
  <c r="U102" i="22"/>
  <c r="S102" i="22"/>
  <c r="Q102" i="22"/>
  <c r="O102" i="22"/>
  <c r="M102" i="22"/>
  <c r="K102" i="22"/>
  <c r="I102" i="22"/>
  <c r="G102" i="22"/>
  <c r="AM148" i="22"/>
  <c r="AI148" i="22"/>
  <c r="AG148" i="22"/>
  <c r="AE148" i="22"/>
  <c r="AC148" i="22"/>
  <c r="AA148" i="22"/>
  <c r="Y148" i="22"/>
  <c r="W148" i="22"/>
  <c r="U148" i="22"/>
  <c r="S148" i="22"/>
  <c r="Q148" i="22"/>
  <c r="O148" i="22"/>
  <c r="M148" i="22"/>
  <c r="K148" i="22"/>
  <c r="I148" i="22"/>
  <c r="G148" i="22"/>
  <c r="D32" i="22"/>
  <c r="AI59" i="22"/>
  <c r="AG59" i="22"/>
  <c r="AE59" i="22"/>
  <c r="AC59" i="22"/>
  <c r="AA59" i="22"/>
  <c r="Y59" i="22"/>
  <c r="W59" i="22"/>
  <c r="U59" i="22"/>
  <c r="S59" i="22"/>
  <c r="Q59" i="22"/>
  <c r="O59" i="22"/>
  <c r="M59" i="22"/>
  <c r="K59" i="22"/>
  <c r="I59" i="22"/>
  <c r="G59" i="22"/>
  <c r="D60" i="22"/>
  <c r="AI60" i="22"/>
  <c r="AG60" i="22"/>
  <c r="AE60" i="22"/>
  <c r="AC60" i="22"/>
  <c r="AA60" i="22"/>
  <c r="Y60" i="22"/>
  <c r="W60" i="22"/>
  <c r="U60" i="22"/>
  <c r="S60" i="22"/>
  <c r="Q60" i="22"/>
  <c r="O60" i="22"/>
  <c r="M60" i="22"/>
  <c r="K60" i="22"/>
  <c r="I60" i="22"/>
  <c r="G60" i="22"/>
  <c r="C65" i="22"/>
  <c r="D65" i="22" s="1"/>
  <c r="E65" i="22" s="1"/>
  <c r="AZ65" i="22"/>
  <c r="AY65" i="22" s="1"/>
  <c r="T61" i="22"/>
  <c r="L61" i="22"/>
  <c r="J61" i="22"/>
  <c r="AH61" i="22"/>
  <c r="N61" i="22"/>
  <c r="D61" i="22"/>
  <c r="E61" i="22" s="1"/>
  <c r="AZ66" i="22"/>
  <c r="AM48" i="22"/>
  <c r="AI48" i="22"/>
  <c r="AG48" i="22"/>
  <c r="AE48" i="22"/>
  <c r="AC48" i="22"/>
  <c r="AA48" i="22"/>
  <c r="Y48" i="22"/>
  <c r="W48" i="22"/>
  <c r="U48" i="22"/>
  <c r="S48" i="22"/>
  <c r="Q48" i="22"/>
  <c r="O48" i="22"/>
  <c r="M48" i="22"/>
  <c r="K48" i="22"/>
  <c r="I48" i="22"/>
  <c r="G48" i="22"/>
  <c r="AZ118" i="22"/>
  <c r="C110" i="22"/>
  <c r="D110" i="22" s="1"/>
  <c r="AY110" i="22"/>
  <c r="AZ110" i="22" s="1"/>
  <c r="AY106" i="22"/>
  <c r="AY68" i="22"/>
  <c r="AY67" i="22"/>
  <c r="AY35" i="22"/>
  <c r="AY40" i="22"/>
  <c r="AY33" i="22"/>
  <c r="AY34" i="22"/>
  <c r="BI34" i="22" s="1"/>
  <c r="D62" i="22"/>
  <c r="D63" i="22"/>
  <c r="AI62" i="22"/>
  <c r="AG62" i="22"/>
  <c r="AE62" i="22"/>
  <c r="AC62" i="22"/>
  <c r="AA62" i="22"/>
  <c r="Y62" i="22"/>
  <c r="W62" i="22"/>
  <c r="U62" i="22"/>
  <c r="S62" i="22"/>
  <c r="Q62" i="22"/>
  <c r="O62" i="22"/>
  <c r="M62" i="22"/>
  <c r="K62" i="22"/>
  <c r="I62" i="22"/>
  <c r="G62" i="22"/>
  <c r="J65" i="22"/>
  <c r="AX65" i="22"/>
  <c r="AW65" i="22" s="1"/>
  <c r="AW143" i="22"/>
  <c r="AW35" i="22"/>
  <c r="AW40" i="22"/>
  <c r="AW33" i="22"/>
  <c r="AW67" i="22"/>
  <c r="AW68" i="22"/>
  <c r="V138" i="22"/>
  <c r="T138" i="22"/>
  <c r="P138" i="22"/>
  <c r="C138" i="22"/>
  <c r="D138" i="22" s="1"/>
  <c r="E138" i="22" s="1"/>
  <c r="D77" i="22"/>
  <c r="D143" i="22"/>
  <c r="E143" i="22" s="1"/>
  <c r="AF110" i="22"/>
  <c r="AB110" i="22"/>
  <c r="D104" i="22"/>
  <c r="E104" i="22" s="1"/>
  <c r="AI104" i="22" s="1"/>
  <c r="E105" i="22"/>
  <c r="Q105" i="22" s="1"/>
  <c r="D103" i="22"/>
  <c r="E103" i="22" s="1"/>
  <c r="C88" i="20"/>
  <c r="AV87" i="22"/>
  <c r="AU87" i="22" s="1"/>
  <c r="C87" i="22"/>
  <c r="AM135" i="22"/>
  <c r="AM63" i="22"/>
  <c r="AI63" i="22"/>
  <c r="AG63" i="22"/>
  <c r="AE63" i="22"/>
  <c r="AC63" i="22"/>
  <c r="AA63" i="22"/>
  <c r="Y63" i="22"/>
  <c r="W63" i="22"/>
  <c r="U63" i="22"/>
  <c r="S63" i="22"/>
  <c r="Q63" i="22"/>
  <c r="O63" i="22"/>
  <c r="M63" i="22"/>
  <c r="K63" i="22"/>
  <c r="I63" i="22"/>
  <c r="G63" i="22"/>
  <c r="AM92" i="22"/>
  <c r="AI92" i="22"/>
  <c r="AG92" i="22"/>
  <c r="AE92" i="22"/>
  <c r="AC92" i="22"/>
  <c r="AA92" i="22"/>
  <c r="Y92" i="22"/>
  <c r="W92" i="22"/>
  <c r="U92" i="22"/>
  <c r="S92" i="22"/>
  <c r="Q92" i="22"/>
  <c r="O92" i="22"/>
  <c r="M92" i="22"/>
  <c r="K92" i="22"/>
  <c r="I92" i="22"/>
  <c r="G92" i="22"/>
  <c r="AM43" i="22"/>
  <c r="AM42" i="22"/>
  <c r="AM41" i="22"/>
  <c r="AM25" i="22"/>
  <c r="AM26" i="22"/>
  <c r="AM27" i="22"/>
  <c r="AM31" i="22"/>
  <c r="AM32" i="22"/>
  <c r="AM36" i="22"/>
  <c r="AM24" i="22"/>
  <c r="AM23" i="22"/>
  <c r="AV153" i="22"/>
  <c r="AU153" i="22" s="1"/>
  <c r="D106" i="22"/>
  <c r="E106" i="22" s="1"/>
  <c r="E139" i="22"/>
  <c r="AG107" i="22"/>
  <c r="AE107" i="22"/>
  <c r="I107" i="22"/>
  <c r="G107" i="22"/>
  <c r="V107" i="22"/>
  <c r="W107" i="22" s="1"/>
  <c r="E140" i="22"/>
  <c r="AU140" i="22"/>
  <c r="AU77" i="22"/>
  <c r="AU35" i="22"/>
  <c r="AU33" i="22"/>
  <c r="AU40" i="22"/>
  <c r="AU125" i="22"/>
  <c r="AU67" i="22"/>
  <c r="E118" i="22"/>
  <c r="Y118" i="22" s="1"/>
  <c r="AJ118" i="22" s="1"/>
  <c r="T66" i="22"/>
  <c r="E66" i="22"/>
  <c r="E34" i="22"/>
  <c r="C34" i="22"/>
  <c r="C77" i="22"/>
  <c r="D39" i="22"/>
  <c r="E39" i="22" s="1"/>
  <c r="D38" i="22"/>
  <c r="E38" i="22" s="1"/>
  <c r="D37" i="22"/>
  <c r="E37" i="22" s="1"/>
  <c r="V34" i="22"/>
  <c r="T34" i="22"/>
  <c r="N34" i="22"/>
  <c r="AJ108" i="22"/>
  <c r="U107" i="22"/>
  <c r="AI109" i="22"/>
  <c r="AG109" i="22"/>
  <c r="AE109" i="22"/>
  <c r="AC109" i="22"/>
  <c r="AA109" i="22"/>
  <c r="Y109" i="22"/>
  <c r="W109" i="22"/>
  <c r="U109" i="22"/>
  <c r="S109" i="22"/>
  <c r="Q109" i="22"/>
  <c r="O109" i="22"/>
  <c r="M109" i="22"/>
  <c r="K109" i="22"/>
  <c r="I109" i="22"/>
  <c r="G109" i="22"/>
  <c r="AS14" i="22"/>
  <c r="AT16" i="22"/>
  <c r="AS16" i="22" s="1"/>
  <c r="AZ78" i="23" l="1"/>
  <c r="BP162" i="23"/>
  <c r="BP145" i="23"/>
  <c r="BG107" i="22"/>
  <c r="AJ30" i="22"/>
  <c r="AU30" i="22"/>
  <c r="AW30" i="22" s="1"/>
  <c r="AJ29" i="22"/>
  <c r="AJ58" i="22"/>
  <c r="AJ102" i="22"/>
  <c r="AJ148" i="22"/>
  <c r="AC103" i="22"/>
  <c r="K103" i="22"/>
  <c r="I103" i="22"/>
  <c r="G103" i="22"/>
  <c r="AO148" i="22"/>
  <c r="AJ59" i="22"/>
  <c r="AJ60" i="22"/>
  <c r="W138" i="22"/>
  <c r="AG103" i="22"/>
  <c r="M103" i="22"/>
  <c r="AE103" i="22"/>
  <c r="AI103" i="22"/>
  <c r="O103" i="22"/>
  <c r="Q103" i="22"/>
  <c r="S103" i="22"/>
  <c r="U103" i="22"/>
  <c r="W103" i="22"/>
  <c r="Y103" i="22"/>
  <c r="AA103" i="22"/>
  <c r="Q61" i="22"/>
  <c r="Y61" i="22"/>
  <c r="S61" i="22"/>
  <c r="W61" i="22"/>
  <c r="AJ48" i="22"/>
  <c r="U61" i="22"/>
  <c r="AA61" i="22"/>
  <c r="AC61" i="22"/>
  <c r="G61" i="22"/>
  <c r="AE61" i="22"/>
  <c r="I61" i="22"/>
  <c r="AG61" i="22"/>
  <c r="K61" i="22"/>
  <c r="AI61" i="22"/>
  <c r="M61" i="22"/>
  <c r="O61" i="22"/>
  <c r="AO48" i="22"/>
  <c r="Q138" i="22"/>
  <c r="S138" i="22"/>
  <c r="AG138" i="22"/>
  <c r="AE138" i="22"/>
  <c r="AC138" i="22"/>
  <c r="AA138" i="22"/>
  <c r="I138" i="22"/>
  <c r="Y138" i="22"/>
  <c r="G138" i="22"/>
  <c r="U138" i="22"/>
  <c r="AJ62" i="22"/>
  <c r="K138" i="22"/>
  <c r="AI138" i="22"/>
  <c r="M138" i="22"/>
  <c r="O138" i="22"/>
  <c r="AI105" i="22"/>
  <c r="M105" i="22"/>
  <c r="G104" i="22"/>
  <c r="I104" i="22"/>
  <c r="Y104" i="22"/>
  <c r="K104" i="22"/>
  <c r="AA104" i="22"/>
  <c r="AC104" i="22"/>
  <c r="W104" i="22"/>
  <c r="M104" i="22"/>
  <c r="O104" i="22"/>
  <c r="AE104" i="22"/>
  <c r="U104" i="22"/>
  <c r="Q104" i="22"/>
  <c r="AG104" i="22"/>
  <c r="S104" i="22"/>
  <c r="AJ63" i="22"/>
  <c r="AO92" i="22"/>
  <c r="AQ92" i="22" s="1"/>
  <c r="AS92" i="22" s="1"/>
  <c r="AJ92" i="22"/>
  <c r="AI106" i="22"/>
  <c r="AA106" i="22"/>
  <c r="Y106" i="22"/>
  <c r="W106" i="22"/>
  <c r="S106" i="22"/>
  <c r="Q106" i="22"/>
  <c r="O106" i="22"/>
  <c r="G106" i="22"/>
  <c r="M106" i="22"/>
  <c r="I106" i="22"/>
  <c r="K106" i="22"/>
  <c r="U106" i="22"/>
  <c r="AG106" i="22"/>
  <c r="AC106" i="22"/>
  <c r="AE106" i="22"/>
  <c r="AJ107" i="22"/>
  <c r="AJ109" i="22"/>
  <c r="BB78" i="23" l="1"/>
  <c r="BD78" i="23" s="1"/>
  <c r="BF78" i="23" s="1"/>
  <c r="AJ105" i="22"/>
  <c r="AQ148" i="22"/>
  <c r="AS148" i="22" s="1"/>
  <c r="AY30" i="22"/>
  <c r="BA30" i="22" s="1"/>
  <c r="BC30" i="22" s="1"/>
  <c r="AQ48" i="22"/>
  <c r="AS48" i="22" s="1"/>
  <c r="AU48" i="22" s="1"/>
  <c r="AJ103" i="22"/>
  <c r="AJ61" i="22"/>
  <c r="AJ138" i="22"/>
  <c r="AJ104" i="22"/>
  <c r="AJ106" i="22"/>
  <c r="AU92" i="22"/>
  <c r="AW92" i="22" s="1"/>
  <c r="AS109" i="22"/>
  <c r="BH78" i="23" l="1"/>
  <c r="BJ78" i="23" s="1"/>
  <c r="AU148" i="22"/>
  <c r="AW148" i="22" s="1"/>
  <c r="BE30" i="22"/>
  <c r="AW48" i="22"/>
  <c r="AY48" i="22" s="1"/>
  <c r="AY92" i="22"/>
  <c r="BA92" i="22" s="1"/>
  <c r="AU109" i="22"/>
  <c r="AW109" i="22" s="1"/>
  <c r="BL78" i="23" l="1"/>
  <c r="BN78" i="23" s="1"/>
  <c r="BP78" i="23" s="1"/>
  <c r="AY148" i="22"/>
  <c r="BA148" i="22" s="1"/>
  <c r="BC148" i="22" s="1"/>
  <c r="BG30" i="22"/>
  <c r="BI30" i="22" s="1"/>
  <c r="BA48" i="22"/>
  <c r="BC48" i="22" s="1"/>
  <c r="BG138" i="22"/>
  <c r="BI138" i="22" s="1"/>
  <c r="BC92" i="22"/>
  <c r="AY109" i="22"/>
  <c r="BA109" i="22" s="1"/>
  <c r="AT75" i="22"/>
  <c r="D37" i="20"/>
  <c r="C45" i="22"/>
  <c r="AT45" i="22"/>
  <c r="AS45" i="22" s="1"/>
  <c r="E149" i="22"/>
  <c r="Y149" i="22" s="1"/>
  <c r="E110" i="22"/>
  <c r="AI110" i="22" s="1"/>
  <c r="AS68" i="22"/>
  <c r="AS67" i="22"/>
  <c r="AS33" i="22"/>
  <c r="AS40" i="22"/>
  <c r="E111" i="22"/>
  <c r="O111" i="22" s="1"/>
  <c r="N75" i="22"/>
  <c r="C75" i="22"/>
  <c r="D75" i="22"/>
  <c r="E75" i="22" s="1"/>
  <c r="E112" i="22"/>
  <c r="I112" i="22" s="1"/>
  <c r="AJ64" i="22"/>
  <c r="K65" i="22"/>
  <c r="L67" i="22"/>
  <c r="E67" i="22"/>
  <c r="AG67" i="22" s="1"/>
  <c r="AB35" i="22"/>
  <c r="L35" i="22"/>
  <c r="P35" i="22"/>
  <c r="E35" i="22"/>
  <c r="AI36" i="22" s="1"/>
  <c r="AQ115" i="22"/>
  <c r="AQ71" i="22"/>
  <c r="AQ40" i="22"/>
  <c r="AR84" i="22"/>
  <c r="AQ84" i="22" s="1"/>
  <c r="AQ126" i="22"/>
  <c r="AQ125" i="22"/>
  <c r="D125" i="22"/>
  <c r="E125" i="22" s="1"/>
  <c r="AQ77" i="22"/>
  <c r="AQ75" i="22"/>
  <c r="AQ153" i="22"/>
  <c r="D142" i="22"/>
  <c r="AO119" i="22"/>
  <c r="AR45" i="22"/>
  <c r="AQ45" i="22" s="1"/>
  <c r="P84" i="22"/>
  <c r="E84" i="22"/>
  <c r="O84" i="22" s="1"/>
  <c r="T68" i="22"/>
  <c r="U68" i="22" s="1"/>
  <c r="T71" i="22"/>
  <c r="AB115" i="22"/>
  <c r="E115" i="22"/>
  <c r="D115" i="22"/>
  <c r="C115" i="22"/>
  <c r="AI114" i="22"/>
  <c r="AG114" i="22"/>
  <c r="AE114" i="22"/>
  <c r="AC114" i="22"/>
  <c r="AA114" i="22"/>
  <c r="Y114" i="22"/>
  <c r="W114" i="22"/>
  <c r="U114" i="22"/>
  <c r="S114" i="22"/>
  <c r="Q114" i="22"/>
  <c r="O114" i="22"/>
  <c r="M114" i="22"/>
  <c r="K114" i="22"/>
  <c r="I114" i="22"/>
  <c r="G114" i="22"/>
  <c r="AI113" i="22"/>
  <c r="AG113" i="22"/>
  <c r="AE113" i="22"/>
  <c r="AC113" i="22"/>
  <c r="AA113" i="22"/>
  <c r="Y113" i="22"/>
  <c r="W113" i="22"/>
  <c r="U113" i="22"/>
  <c r="S113" i="22"/>
  <c r="Q113" i="22"/>
  <c r="O113" i="22"/>
  <c r="M113" i="22"/>
  <c r="K113" i="22"/>
  <c r="I113" i="22"/>
  <c r="G113" i="22"/>
  <c r="E116" i="22"/>
  <c r="AI116" i="22" s="1"/>
  <c r="AN18" i="22"/>
  <c r="AM18" i="22" s="1"/>
  <c r="D46" i="22"/>
  <c r="E46" i="22" s="1"/>
  <c r="O46" i="22" s="1"/>
  <c r="AP46" i="22"/>
  <c r="AP45" i="22"/>
  <c r="AO143" i="22"/>
  <c r="AI119" i="22"/>
  <c r="AG119" i="22"/>
  <c r="AE119" i="22"/>
  <c r="AC119" i="22"/>
  <c r="AA119" i="22"/>
  <c r="Y119" i="22"/>
  <c r="W119" i="22"/>
  <c r="U119" i="22"/>
  <c r="S119" i="22"/>
  <c r="Q119" i="22"/>
  <c r="O119" i="22"/>
  <c r="M119" i="22"/>
  <c r="K119" i="22"/>
  <c r="I119" i="22"/>
  <c r="G119" i="22"/>
  <c r="AO40" i="22"/>
  <c r="AO150" i="22"/>
  <c r="AI124" i="22"/>
  <c r="AG124" i="22"/>
  <c r="AE124" i="22"/>
  <c r="AC124" i="22"/>
  <c r="AA124" i="22"/>
  <c r="Y124" i="22"/>
  <c r="W124" i="22"/>
  <c r="U124" i="22"/>
  <c r="S124" i="22"/>
  <c r="Q124" i="22"/>
  <c r="O124" i="22"/>
  <c r="M124" i="22"/>
  <c r="K124" i="22"/>
  <c r="I124" i="22"/>
  <c r="G124" i="22"/>
  <c r="AO75" i="22"/>
  <c r="AC117" i="22"/>
  <c r="X117" i="22"/>
  <c r="Y117" i="22" s="1"/>
  <c r="Q120" i="22"/>
  <c r="AJ120" i="22" s="1"/>
  <c r="AN84" i="22"/>
  <c r="AM84" i="22" s="1"/>
  <c r="AM153" i="22"/>
  <c r="C123" i="22"/>
  <c r="E123" i="22"/>
  <c r="AM75" i="22"/>
  <c r="AM71" i="22"/>
  <c r="N71" i="22"/>
  <c r="C71" i="22"/>
  <c r="E71" i="22" s="1"/>
  <c r="AG71" i="22" s="1"/>
  <c r="AM45" i="22"/>
  <c r="AM40" i="22"/>
  <c r="AM127" i="22"/>
  <c r="AO127" i="22" s="1"/>
  <c r="AQ127" i="22" s="1"/>
  <c r="AS127" i="22" s="1"/>
  <c r="AR41" i="20"/>
  <c r="D129" i="22"/>
  <c r="AM129" i="22" s="1"/>
  <c r="AO129" i="22" s="1"/>
  <c r="AC126" i="22"/>
  <c r="AI128" i="22"/>
  <c r="AG128" i="22"/>
  <c r="AE128" i="22"/>
  <c r="AC128" i="22"/>
  <c r="AA128" i="22"/>
  <c r="Y128" i="22"/>
  <c r="W128" i="22"/>
  <c r="U128" i="22"/>
  <c r="S128" i="22"/>
  <c r="Q128" i="22"/>
  <c r="O128" i="22"/>
  <c r="M128" i="22"/>
  <c r="K128" i="22"/>
  <c r="I128" i="22"/>
  <c r="G128" i="22"/>
  <c r="D79" i="22"/>
  <c r="E79" i="22" s="1"/>
  <c r="AA79" i="22" s="1"/>
  <c r="AL79" i="22"/>
  <c r="AK79" i="22" s="1"/>
  <c r="AK78" i="22"/>
  <c r="V33" i="22"/>
  <c r="T33" i="22"/>
  <c r="E33" i="22"/>
  <c r="AC33" i="22" s="1"/>
  <c r="AK128" i="22"/>
  <c r="AM128" i="22" s="1"/>
  <c r="AI126" i="22"/>
  <c r="AG126" i="22"/>
  <c r="AE126" i="22"/>
  <c r="AA126" i="22"/>
  <c r="Y126" i="22"/>
  <c r="W126" i="22"/>
  <c r="U126" i="22"/>
  <c r="S126" i="22"/>
  <c r="Q126" i="22"/>
  <c r="O126" i="22"/>
  <c r="M126" i="22"/>
  <c r="I126" i="22"/>
  <c r="G126" i="22"/>
  <c r="AK76" i="22"/>
  <c r="D130" i="22"/>
  <c r="AL130" i="22"/>
  <c r="E37" i="20"/>
  <c r="AL45" i="22"/>
  <c r="AK45" i="22" s="1"/>
  <c r="AK20" i="22"/>
  <c r="AK69" i="22"/>
  <c r="AH153" i="22"/>
  <c r="AL44" i="22"/>
  <c r="AK44" i="22" s="1"/>
  <c r="AK86" i="22"/>
  <c r="AL87" i="22"/>
  <c r="AK87" i="22" s="1"/>
  <c r="E40" i="22"/>
  <c r="G40" i="22" s="1"/>
  <c r="AK40" i="22"/>
  <c r="AK84" i="22"/>
  <c r="AG24" i="22"/>
  <c r="AG25" i="22"/>
  <c r="AG26" i="22"/>
  <c r="AG27" i="22"/>
  <c r="AG31" i="22"/>
  <c r="AG32" i="22"/>
  <c r="AG34" i="22"/>
  <c r="AG36" i="22"/>
  <c r="AG37" i="22"/>
  <c r="AG38" i="22"/>
  <c r="AG39" i="22"/>
  <c r="AG41" i="22"/>
  <c r="AG42" i="22"/>
  <c r="AG43" i="22"/>
  <c r="AG47" i="22"/>
  <c r="AG65" i="22"/>
  <c r="AG66" i="22"/>
  <c r="AG68" i="22"/>
  <c r="AG70" i="22"/>
  <c r="AG72" i="22"/>
  <c r="AG73" i="22"/>
  <c r="AG74" i="22"/>
  <c r="AG76" i="22"/>
  <c r="AG78" i="22"/>
  <c r="AG80" i="22"/>
  <c r="AG81" i="22"/>
  <c r="AG83" i="22"/>
  <c r="AG85" i="22"/>
  <c r="AG89" i="22"/>
  <c r="AG90" i="22"/>
  <c r="AG91" i="22"/>
  <c r="AG127" i="22"/>
  <c r="AG129" i="22"/>
  <c r="AG130" i="22"/>
  <c r="AG131" i="22"/>
  <c r="AG132" i="22"/>
  <c r="AG133" i="22"/>
  <c r="AG134" i="22"/>
  <c r="AG135" i="22"/>
  <c r="AG139" i="22"/>
  <c r="AG140" i="22"/>
  <c r="AG141" i="22"/>
  <c r="AG143" i="22"/>
  <c r="AG145" i="22"/>
  <c r="AG146" i="22"/>
  <c r="AG147" i="22"/>
  <c r="AG150" i="22"/>
  <c r="AG151" i="22"/>
  <c r="AG152" i="22"/>
  <c r="AG154" i="22"/>
  <c r="AG155" i="22"/>
  <c r="AG23" i="22"/>
  <c r="AE24" i="22"/>
  <c r="AE25" i="22"/>
  <c r="AE26" i="22"/>
  <c r="AE27" i="22"/>
  <c r="AE31" i="22"/>
  <c r="AE32" i="22"/>
  <c r="AE34" i="22"/>
  <c r="AE36" i="22"/>
  <c r="AE37" i="22"/>
  <c r="AE38" i="22"/>
  <c r="AE39" i="22"/>
  <c r="AE41" i="22"/>
  <c r="AE42" i="22"/>
  <c r="AE43" i="22"/>
  <c r="AE47" i="22"/>
  <c r="AE65" i="22"/>
  <c r="AE66" i="22"/>
  <c r="AE68" i="22"/>
  <c r="AE70" i="22"/>
  <c r="AE72" i="22"/>
  <c r="AE73" i="22"/>
  <c r="AE74" i="22"/>
  <c r="AE76" i="22"/>
  <c r="AE78" i="22"/>
  <c r="AE80" i="22"/>
  <c r="AE81" i="22"/>
  <c r="AE83" i="22"/>
  <c r="AE85" i="22"/>
  <c r="AE89" i="22"/>
  <c r="AE90" i="22"/>
  <c r="AE91" i="22"/>
  <c r="AE127" i="22"/>
  <c r="AE129" i="22"/>
  <c r="AE130" i="22"/>
  <c r="AE131" i="22"/>
  <c r="AE132" i="22"/>
  <c r="AE133" i="22"/>
  <c r="AE134" i="22"/>
  <c r="AE135" i="22"/>
  <c r="AE139" i="22"/>
  <c r="AE140" i="22"/>
  <c r="AE141" i="22"/>
  <c r="AE143" i="22"/>
  <c r="AE145" i="22"/>
  <c r="AE146" i="22"/>
  <c r="AE147" i="22"/>
  <c r="AE150" i="22"/>
  <c r="AE151" i="22"/>
  <c r="AE152" i="22"/>
  <c r="AE154" i="22"/>
  <c r="AE155" i="22"/>
  <c r="AE23" i="22"/>
  <c r="AJ156" i="22"/>
  <c r="AJ192" i="22"/>
  <c r="AJ193" i="22"/>
  <c r="L84" i="22"/>
  <c r="G85" i="22"/>
  <c r="I85" i="22"/>
  <c r="K85" i="22"/>
  <c r="M85" i="22"/>
  <c r="O85" i="22"/>
  <c r="Q85" i="22"/>
  <c r="S85" i="22"/>
  <c r="U85" i="22"/>
  <c r="W85" i="22"/>
  <c r="Y85" i="22"/>
  <c r="AA85" i="22"/>
  <c r="AC85" i="22"/>
  <c r="AI85" i="22"/>
  <c r="AK77" i="22"/>
  <c r="AD194" i="22"/>
  <c r="AF194" i="22"/>
  <c r="BH204" i="22"/>
  <c r="BF204" i="22"/>
  <c r="BD204" i="22"/>
  <c r="BB204" i="22"/>
  <c r="AZ204" i="22"/>
  <c r="AX204" i="22"/>
  <c r="AV204" i="22"/>
  <c r="AT204" i="22"/>
  <c r="AR204" i="22"/>
  <c r="AP204" i="22"/>
  <c r="AN204" i="22"/>
  <c r="AL204" i="22"/>
  <c r="AT203" i="22"/>
  <c r="AR203" i="22"/>
  <c r="AP203" i="22"/>
  <c r="AN203" i="22"/>
  <c r="AL203" i="22"/>
  <c r="BH199" i="22"/>
  <c r="BF199" i="22"/>
  <c r="BD199" i="22"/>
  <c r="BB199" i="22"/>
  <c r="AZ199" i="22"/>
  <c r="AX199" i="22"/>
  <c r="AV199" i="22"/>
  <c r="AT199" i="22"/>
  <c r="AR199" i="22"/>
  <c r="AP199" i="22"/>
  <c r="AN199" i="22"/>
  <c r="AL199" i="22"/>
  <c r="BH198" i="22"/>
  <c r="BF198" i="22"/>
  <c r="BD198" i="22"/>
  <c r="BB198" i="22"/>
  <c r="AZ198" i="22"/>
  <c r="AX198" i="22"/>
  <c r="AT198" i="22"/>
  <c r="AR198" i="22"/>
  <c r="AP198" i="22"/>
  <c r="AN198" i="22"/>
  <c r="AL198" i="22"/>
  <c r="AO42" i="22"/>
  <c r="AQ42" i="22" s="1"/>
  <c r="AS42" i="22" s="1"/>
  <c r="AO43" i="22"/>
  <c r="AM47" i="22"/>
  <c r="AO47" i="22" s="1"/>
  <c r="AM73" i="22"/>
  <c r="AO73" i="22" s="1"/>
  <c r="AM80" i="22"/>
  <c r="AO80" i="22" s="1"/>
  <c r="AM81" i="22"/>
  <c r="AM91" i="22"/>
  <c r="AO91" i="22" s="1"/>
  <c r="AM131" i="22"/>
  <c r="AM133" i="22"/>
  <c r="AO133" i="22" s="1"/>
  <c r="AM134" i="22"/>
  <c r="AO134" i="22" s="1"/>
  <c r="AQ134" i="22" s="1"/>
  <c r="AO135" i="22"/>
  <c r="AM147" i="22"/>
  <c r="AO147" i="22" s="1"/>
  <c r="AM151" i="22"/>
  <c r="D76" i="22"/>
  <c r="D69" i="22"/>
  <c r="AI129" i="22"/>
  <c r="AC129" i="22"/>
  <c r="AA129" i="22"/>
  <c r="Y129" i="22"/>
  <c r="W129" i="22"/>
  <c r="U129" i="22"/>
  <c r="S129" i="22"/>
  <c r="Q129" i="22"/>
  <c r="O129" i="22"/>
  <c r="M129" i="22"/>
  <c r="K129" i="22"/>
  <c r="I129" i="22"/>
  <c r="G129" i="22"/>
  <c r="E44" i="22"/>
  <c r="AG44" i="22" s="1"/>
  <c r="AI23" i="20"/>
  <c r="E65" i="20"/>
  <c r="D78" i="22"/>
  <c r="D144" i="22"/>
  <c r="D145" i="22"/>
  <c r="AM145" i="22" s="1"/>
  <c r="AO145" i="22" s="1"/>
  <c r="D146" i="22"/>
  <c r="AM146" i="22" s="1"/>
  <c r="AM154" i="22"/>
  <c r="AO154" i="22" s="1"/>
  <c r="E55" i="20"/>
  <c r="E40" i="20"/>
  <c r="AN205" i="22"/>
  <c r="AL205" i="22"/>
  <c r="AI191" i="22"/>
  <c r="AC191" i="22"/>
  <c r="I191" i="22"/>
  <c r="G191" i="22"/>
  <c r="AG191" i="22" s="1"/>
  <c r="C190" i="22"/>
  <c r="D190" i="22" s="1"/>
  <c r="C189" i="22"/>
  <c r="D189" i="22" s="1"/>
  <c r="C188" i="22"/>
  <c r="D188" i="22" s="1"/>
  <c r="E188" i="22" s="1"/>
  <c r="U188" i="22" s="1"/>
  <c r="C187" i="22"/>
  <c r="D187" i="22" s="1"/>
  <c r="C186" i="22"/>
  <c r="S186" i="22" s="1"/>
  <c r="C185" i="22"/>
  <c r="S185" i="22" s="1"/>
  <c r="C184" i="22"/>
  <c r="S184" i="22" s="1"/>
  <c r="C183" i="22"/>
  <c r="S183" i="22" s="1"/>
  <c r="C182" i="22"/>
  <c r="D182" i="22" s="1"/>
  <c r="C181" i="22"/>
  <c r="S181" i="22" s="1"/>
  <c r="C180" i="22"/>
  <c r="D180" i="22" s="1"/>
  <c r="AK180" i="22" s="1"/>
  <c r="C179" i="22"/>
  <c r="S179" i="22" s="1"/>
  <c r="C178" i="22"/>
  <c r="D178" i="22" s="1"/>
  <c r="E178" i="22" s="1"/>
  <c r="C177" i="22"/>
  <c r="D177" i="22" s="1"/>
  <c r="C176" i="22"/>
  <c r="S176" i="22" s="1"/>
  <c r="C175" i="22"/>
  <c r="S175" i="22" s="1"/>
  <c r="C174" i="22"/>
  <c r="D174" i="22" s="1"/>
  <c r="C173" i="22"/>
  <c r="D173" i="22" s="1"/>
  <c r="C172" i="22"/>
  <c r="D172" i="22" s="1"/>
  <c r="C171" i="22"/>
  <c r="D171" i="22" s="1"/>
  <c r="C170" i="22"/>
  <c r="S170" i="22" s="1"/>
  <c r="C169" i="22"/>
  <c r="S169" i="22" s="1"/>
  <c r="C168" i="22"/>
  <c r="S168" i="22" s="1"/>
  <c r="C167" i="22"/>
  <c r="S167" i="22" s="1"/>
  <c r="C166" i="22"/>
  <c r="S166" i="22" s="1"/>
  <c r="C165" i="22"/>
  <c r="S165" i="22" s="1"/>
  <c r="C164" i="22"/>
  <c r="D164" i="22" s="1"/>
  <c r="C163" i="22"/>
  <c r="D163" i="22" s="1"/>
  <c r="C162" i="22"/>
  <c r="S162" i="22" s="1"/>
  <c r="C161" i="22"/>
  <c r="S161" i="22" s="1"/>
  <c r="AI160" i="22"/>
  <c r="AC160" i="22"/>
  <c r="Y160" i="22"/>
  <c r="W160" i="22"/>
  <c r="U160" i="22"/>
  <c r="Q160" i="22"/>
  <c r="O160" i="22"/>
  <c r="AE160" i="22" s="1"/>
  <c r="M160" i="22"/>
  <c r="K160" i="22"/>
  <c r="AA160" i="22" s="1"/>
  <c r="G160" i="22"/>
  <c r="AG160" i="22" s="1"/>
  <c r="C160" i="22"/>
  <c r="D160" i="22" s="1"/>
  <c r="AI159" i="22"/>
  <c r="AC159" i="22"/>
  <c r="Y159" i="22"/>
  <c r="W159" i="22"/>
  <c r="U159" i="22"/>
  <c r="Q159" i="22"/>
  <c r="O159" i="22"/>
  <c r="AE159" i="22" s="1"/>
  <c r="M159" i="22"/>
  <c r="K159" i="22"/>
  <c r="AA159" i="22" s="1"/>
  <c r="G159" i="22"/>
  <c r="AG159" i="22" s="1"/>
  <c r="C159" i="22"/>
  <c r="D159" i="22" s="1"/>
  <c r="AI158" i="22"/>
  <c r="AC158" i="22"/>
  <c r="Y158" i="22"/>
  <c r="W158" i="22"/>
  <c r="U158" i="22"/>
  <c r="Q158" i="22"/>
  <c r="O158" i="22"/>
  <c r="AE158" i="22" s="1"/>
  <c r="M158" i="22"/>
  <c r="K158" i="22"/>
  <c r="AA158" i="22" s="1"/>
  <c r="G158" i="22"/>
  <c r="AG158" i="22" s="1"/>
  <c r="C158" i="22"/>
  <c r="D158" i="22" s="1"/>
  <c r="AK158" i="22" s="1"/>
  <c r="AI157" i="22"/>
  <c r="AC157" i="22"/>
  <c r="Y157" i="22"/>
  <c r="W157" i="22"/>
  <c r="U157" i="22"/>
  <c r="Q157" i="22"/>
  <c r="O157" i="22"/>
  <c r="AE157" i="22" s="1"/>
  <c r="M157" i="22"/>
  <c r="K157" i="22"/>
  <c r="AA157" i="22" s="1"/>
  <c r="G157" i="22"/>
  <c r="AG157" i="22" s="1"/>
  <c r="C157" i="22"/>
  <c r="D157" i="22" s="1"/>
  <c r="AI155" i="22"/>
  <c r="AC155" i="22"/>
  <c r="AA155" i="22"/>
  <c r="Y155" i="22"/>
  <c r="W155" i="22"/>
  <c r="U155" i="22"/>
  <c r="S155" i="22"/>
  <c r="Q155" i="22"/>
  <c r="O155" i="22"/>
  <c r="M155" i="22"/>
  <c r="K155" i="22"/>
  <c r="I155" i="22"/>
  <c r="G155" i="22"/>
  <c r="C155" i="22"/>
  <c r="D155" i="22" s="1"/>
  <c r="AM155" i="22" s="1"/>
  <c r="AI154" i="22"/>
  <c r="AC154" i="22"/>
  <c r="AA154" i="22"/>
  <c r="Y154" i="22"/>
  <c r="W154" i="22"/>
  <c r="U154" i="22"/>
  <c r="S154" i="22"/>
  <c r="Q154" i="22"/>
  <c r="O154" i="22"/>
  <c r="M154" i="22"/>
  <c r="K154" i="22"/>
  <c r="I154" i="22"/>
  <c r="G154" i="22"/>
  <c r="AI152" i="22"/>
  <c r="AC152" i="22"/>
  <c r="AA152" i="22"/>
  <c r="Y152" i="22"/>
  <c r="W152" i="22"/>
  <c r="U152" i="22"/>
  <c r="S152" i="22"/>
  <c r="Q152" i="22"/>
  <c r="O152" i="22"/>
  <c r="M152" i="22"/>
  <c r="K152" i="22"/>
  <c r="I152" i="22"/>
  <c r="G152" i="22"/>
  <c r="AI151" i="22"/>
  <c r="AC151" i="22"/>
  <c r="AA151" i="22"/>
  <c r="Y151" i="22"/>
  <c r="W151" i="22"/>
  <c r="U151" i="22"/>
  <c r="S151" i="22"/>
  <c r="Q151" i="22"/>
  <c r="O151" i="22"/>
  <c r="M151" i="22"/>
  <c r="K151" i="22"/>
  <c r="I151" i="22"/>
  <c r="G151" i="22"/>
  <c r="AI150" i="22"/>
  <c r="AC150" i="22"/>
  <c r="AA150" i="22"/>
  <c r="Y150" i="22"/>
  <c r="W150" i="22"/>
  <c r="U150" i="22"/>
  <c r="S150" i="22"/>
  <c r="Q150" i="22"/>
  <c r="O150" i="22"/>
  <c r="M150" i="22"/>
  <c r="K150" i="22"/>
  <c r="I150" i="22"/>
  <c r="G150" i="22"/>
  <c r="M147" i="22"/>
  <c r="K147" i="22"/>
  <c r="I147" i="22"/>
  <c r="G147" i="22"/>
  <c r="AI146" i="22"/>
  <c r="AC146" i="22"/>
  <c r="AA146" i="22"/>
  <c r="Y146" i="22"/>
  <c r="W146" i="22"/>
  <c r="U146" i="22"/>
  <c r="S146" i="22"/>
  <c r="Q146" i="22"/>
  <c r="O146" i="22"/>
  <c r="M146" i="22"/>
  <c r="K146" i="22"/>
  <c r="I146" i="22"/>
  <c r="G146" i="22"/>
  <c r="C146" i="22"/>
  <c r="AI145" i="22"/>
  <c r="AC145" i="22"/>
  <c r="AA145" i="22"/>
  <c r="Y145" i="22"/>
  <c r="W145" i="22"/>
  <c r="U145" i="22"/>
  <c r="S145" i="22"/>
  <c r="Q145" i="22"/>
  <c r="O145" i="22"/>
  <c r="M145" i="22"/>
  <c r="K145" i="22"/>
  <c r="I145" i="22"/>
  <c r="G145" i="22"/>
  <c r="C145" i="22"/>
  <c r="C144" i="22"/>
  <c r="AI143" i="22"/>
  <c r="AC143" i="22"/>
  <c r="AA143" i="22"/>
  <c r="Y143" i="22"/>
  <c r="W143" i="22"/>
  <c r="U143" i="22"/>
  <c r="S143" i="22"/>
  <c r="Q143" i="22"/>
  <c r="O143" i="22"/>
  <c r="M143" i="22"/>
  <c r="K143" i="22"/>
  <c r="I143" i="22"/>
  <c r="G143" i="22"/>
  <c r="AI141" i="22"/>
  <c r="AC141" i="22"/>
  <c r="AA141" i="22"/>
  <c r="Y141" i="22"/>
  <c r="W141" i="22"/>
  <c r="U141" i="22"/>
  <c r="S141" i="22"/>
  <c r="Q141" i="22"/>
  <c r="O141" i="22"/>
  <c r="M141" i="22"/>
  <c r="K141" i="22"/>
  <c r="I141" i="22"/>
  <c r="G141" i="22"/>
  <c r="AI140" i="22"/>
  <c r="AC140" i="22"/>
  <c r="AA140" i="22"/>
  <c r="Y140" i="22"/>
  <c r="W140" i="22"/>
  <c r="U140" i="22"/>
  <c r="S140" i="22"/>
  <c r="Q140" i="22"/>
  <c r="O140" i="22"/>
  <c r="M140" i="22"/>
  <c r="K140" i="22"/>
  <c r="I140" i="22"/>
  <c r="G140" i="22"/>
  <c r="AI139" i="22"/>
  <c r="AC139" i="22"/>
  <c r="AA139" i="22"/>
  <c r="Y139" i="22"/>
  <c r="W139" i="22"/>
  <c r="U139" i="22"/>
  <c r="S139" i="22"/>
  <c r="Q139" i="22"/>
  <c r="O139" i="22"/>
  <c r="M139" i="22"/>
  <c r="K139" i="22"/>
  <c r="I139" i="22"/>
  <c r="G139" i="22"/>
  <c r="AI135" i="22"/>
  <c r="AC135" i="22"/>
  <c r="AA135" i="22"/>
  <c r="Y135" i="22"/>
  <c r="W135" i="22"/>
  <c r="U135" i="22"/>
  <c r="S135" i="22"/>
  <c r="Q135" i="22"/>
  <c r="O135" i="22"/>
  <c r="M135" i="22"/>
  <c r="K135" i="22"/>
  <c r="I135" i="22"/>
  <c r="G135" i="22"/>
  <c r="M134" i="22"/>
  <c r="K134" i="22"/>
  <c r="I134" i="22"/>
  <c r="G134" i="22"/>
  <c r="AI133" i="22"/>
  <c r="AC133" i="22"/>
  <c r="AA133" i="22"/>
  <c r="Y133" i="22"/>
  <c r="W133" i="22"/>
  <c r="U133" i="22"/>
  <c r="S133" i="22"/>
  <c r="Q133" i="22"/>
  <c r="O133" i="22"/>
  <c r="M133" i="22"/>
  <c r="K133" i="22"/>
  <c r="I133" i="22"/>
  <c r="G133" i="22"/>
  <c r="AI132" i="22"/>
  <c r="AC132" i="22"/>
  <c r="AA132" i="22"/>
  <c r="Y132" i="22"/>
  <c r="W132" i="22"/>
  <c r="U132" i="22"/>
  <c r="S132" i="22"/>
  <c r="Q132" i="22"/>
  <c r="O132" i="22"/>
  <c r="M132" i="22"/>
  <c r="K132" i="22"/>
  <c r="I132" i="22"/>
  <c r="G132" i="22"/>
  <c r="C132" i="22"/>
  <c r="AI131" i="22"/>
  <c r="AC131" i="22"/>
  <c r="AA131" i="22"/>
  <c r="Y131" i="22"/>
  <c r="W131" i="22"/>
  <c r="U131" i="22"/>
  <c r="S131" i="22"/>
  <c r="Q131" i="22"/>
  <c r="O131" i="22"/>
  <c r="M131" i="22"/>
  <c r="K131" i="22"/>
  <c r="I131" i="22"/>
  <c r="G131" i="22"/>
  <c r="M91" i="22"/>
  <c r="K91" i="22"/>
  <c r="I91" i="22"/>
  <c r="G91" i="22"/>
  <c r="AI90" i="22"/>
  <c r="AC90" i="22"/>
  <c r="AA90" i="22"/>
  <c r="Y90" i="22"/>
  <c r="W90" i="22"/>
  <c r="U90" i="22"/>
  <c r="S90" i="22"/>
  <c r="Q90" i="22"/>
  <c r="O90" i="22"/>
  <c r="M90" i="22"/>
  <c r="K90" i="22"/>
  <c r="I90" i="22"/>
  <c r="G90" i="22"/>
  <c r="AI89" i="22"/>
  <c r="AC89" i="22"/>
  <c r="AA89" i="22"/>
  <c r="Y89" i="22"/>
  <c r="W89" i="22"/>
  <c r="U89" i="22"/>
  <c r="S89" i="22"/>
  <c r="Q89" i="22"/>
  <c r="O89" i="22"/>
  <c r="M89" i="22"/>
  <c r="K89" i="22"/>
  <c r="I89" i="22"/>
  <c r="G89" i="22"/>
  <c r="P88" i="22"/>
  <c r="L88" i="22"/>
  <c r="T87" i="22"/>
  <c r="L87" i="22"/>
  <c r="D86" i="22"/>
  <c r="AI83" i="22"/>
  <c r="AC83" i="22"/>
  <c r="AA83" i="22"/>
  <c r="Y83" i="22"/>
  <c r="W83" i="22"/>
  <c r="U83" i="22"/>
  <c r="S83" i="22"/>
  <c r="Q83" i="22"/>
  <c r="O83" i="22"/>
  <c r="M83" i="22"/>
  <c r="K83" i="22"/>
  <c r="I83" i="22"/>
  <c r="G83" i="22"/>
  <c r="O81" i="22"/>
  <c r="M81" i="22"/>
  <c r="K81" i="22"/>
  <c r="I81" i="22"/>
  <c r="G81" i="22"/>
  <c r="AI80" i="22"/>
  <c r="AC80" i="22"/>
  <c r="AA80" i="22"/>
  <c r="Y80" i="22"/>
  <c r="W80" i="22"/>
  <c r="U80" i="22"/>
  <c r="S80" i="22"/>
  <c r="Q80" i="22"/>
  <c r="O80" i="22"/>
  <c r="M80" i="22"/>
  <c r="K80" i="22"/>
  <c r="I80" i="22"/>
  <c r="G80" i="22"/>
  <c r="V79" i="22"/>
  <c r="T79" i="22"/>
  <c r="R79" i="22"/>
  <c r="P79" i="22"/>
  <c r="N79" i="22"/>
  <c r="L79" i="22"/>
  <c r="J79" i="22"/>
  <c r="F79" i="22"/>
  <c r="C79" i="22"/>
  <c r="AI78" i="22"/>
  <c r="AC78" i="22"/>
  <c r="AA78" i="22"/>
  <c r="Y78" i="22"/>
  <c r="W78" i="22"/>
  <c r="U78" i="22"/>
  <c r="S78" i="22"/>
  <c r="Q78" i="22"/>
  <c r="O78" i="22"/>
  <c r="M78" i="22"/>
  <c r="K78" i="22"/>
  <c r="I78" i="22"/>
  <c r="G78" i="22"/>
  <c r="R77" i="22"/>
  <c r="P77" i="22"/>
  <c r="N77" i="22"/>
  <c r="L77" i="22"/>
  <c r="J77" i="22"/>
  <c r="E77" i="22"/>
  <c r="G77" i="22" s="1"/>
  <c r="AI76" i="22"/>
  <c r="AC76" i="22"/>
  <c r="AA76" i="22"/>
  <c r="Y76" i="22"/>
  <c r="V76" i="22"/>
  <c r="W76" i="22" s="1"/>
  <c r="U76" i="22"/>
  <c r="S76" i="22"/>
  <c r="Q76" i="22"/>
  <c r="O76" i="22"/>
  <c r="M76" i="22"/>
  <c r="K76" i="22"/>
  <c r="I76" i="22"/>
  <c r="G76" i="22"/>
  <c r="R75" i="22"/>
  <c r="AI74" i="22"/>
  <c r="AC74" i="22"/>
  <c r="AA74" i="22"/>
  <c r="Y74" i="22"/>
  <c r="W74" i="22"/>
  <c r="U74" i="22"/>
  <c r="S74" i="22"/>
  <c r="Q74" i="22"/>
  <c r="O74" i="22"/>
  <c r="M74" i="22"/>
  <c r="K74" i="22"/>
  <c r="I74" i="22"/>
  <c r="G74" i="22"/>
  <c r="AI73" i="22"/>
  <c r="AC73" i="22"/>
  <c r="AA73" i="22"/>
  <c r="Y73" i="22"/>
  <c r="W73" i="22"/>
  <c r="U73" i="22"/>
  <c r="S73" i="22"/>
  <c r="Q73" i="22"/>
  <c r="O73" i="22"/>
  <c r="M73" i="22"/>
  <c r="K73" i="22"/>
  <c r="I73" i="22"/>
  <c r="G73" i="22"/>
  <c r="AI72" i="22"/>
  <c r="AC72" i="22"/>
  <c r="AA72" i="22"/>
  <c r="Y72" i="22"/>
  <c r="W72" i="22"/>
  <c r="U72" i="22"/>
  <c r="S72" i="22"/>
  <c r="Q72" i="22"/>
  <c r="O72" i="22"/>
  <c r="M72" i="22"/>
  <c r="K72" i="22"/>
  <c r="I72" i="22"/>
  <c r="G72" i="22"/>
  <c r="AI70" i="22"/>
  <c r="AC70" i="22"/>
  <c r="AA70" i="22"/>
  <c r="Y70" i="22"/>
  <c r="W70" i="22"/>
  <c r="U70" i="22"/>
  <c r="Q70" i="22"/>
  <c r="O70" i="22"/>
  <c r="M70" i="22"/>
  <c r="K70" i="22"/>
  <c r="I70" i="22"/>
  <c r="G70" i="22"/>
  <c r="AH69" i="22"/>
  <c r="T69" i="22"/>
  <c r="AI68" i="22"/>
  <c r="AC68" i="22"/>
  <c r="AA68" i="22"/>
  <c r="Y68" i="22"/>
  <c r="W68" i="22"/>
  <c r="S68" i="22"/>
  <c r="Q68" i="22"/>
  <c r="O68" i="22"/>
  <c r="M68" i="22"/>
  <c r="K68" i="22"/>
  <c r="I68" i="22"/>
  <c r="G68" i="22"/>
  <c r="AI66" i="22"/>
  <c r="AC66" i="22"/>
  <c r="AA66" i="22"/>
  <c r="Y66" i="22"/>
  <c r="W66" i="22"/>
  <c r="U66" i="22"/>
  <c r="S66" i="22"/>
  <c r="Q66" i="22"/>
  <c r="O66" i="22"/>
  <c r="M66" i="22"/>
  <c r="K66" i="22"/>
  <c r="I66" i="22"/>
  <c r="G66" i="22"/>
  <c r="AI65" i="22"/>
  <c r="AC65" i="22"/>
  <c r="AA65" i="22"/>
  <c r="Y65" i="22"/>
  <c r="W65" i="22"/>
  <c r="U65" i="22"/>
  <c r="S65" i="22"/>
  <c r="Q65" i="22"/>
  <c r="O65" i="22"/>
  <c r="M65" i="22"/>
  <c r="I65" i="22"/>
  <c r="G65" i="22"/>
  <c r="M47" i="22"/>
  <c r="K47" i="22"/>
  <c r="I47" i="22"/>
  <c r="G47" i="22"/>
  <c r="Z194" i="22"/>
  <c r="V45" i="22"/>
  <c r="AI43" i="22"/>
  <c r="AC43" i="22"/>
  <c r="AA43" i="22"/>
  <c r="Y43" i="22"/>
  <c r="W43" i="22"/>
  <c r="U43" i="22"/>
  <c r="S43" i="22"/>
  <c r="Q43" i="22"/>
  <c r="O43" i="22"/>
  <c r="M43" i="22"/>
  <c r="K43" i="22"/>
  <c r="I43" i="22"/>
  <c r="G43" i="22"/>
  <c r="AI41" i="22"/>
  <c r="AC41" i="22"/>
  <c r="AA41" i="22"/>
  <c r="Y41" i="22"/>
  <c r="W41" i="22"/>
  <c r="U41" i="22"/>
  <c r="S41" i="22"/>
  <c r="Q41" i="22"/>
  <c r="O41" i="22"/>
  <c r="M41" i="22"/>
  <c r="K41" i="22"/>
  <c r="I41" i="22"/>
  <c r="G41" i="22"/>
  <c r="AH40" i="22"/>
  <c r="V40" i="22"/>
  <c r="T40" i="22"/>
  <c r="P40" i="22"/>
  <c r="AI39" i="22"/>
  <c r="AC39" i="22"/>
  <c r="AA39" i="22"/>
  <c r="Y39" i="22"/>
  <c r="W39" i="22"/>
  <c r="U39" i="22"/>
  <c r="S39" i="22"/>
  <c r="Q39" i="22"/>
  <c r="O39" i="22"/>
  <c r="M39" i="22"/>
  <c r="K39" i="22"/>
  <c r="I39" i="22"/>
  <c r="G39" i="22"/>
  <c r="AI38" i="22"/>
  <c r="AC38" i="22"/>
  <c r="AA38" i="22"/>
  <c r="Y38" i="22"/>
  <c r="W38" i="22"/>
  <c r="U38" i="22"/>
  <c r="S38" i="22"/>
  <c r="Q38" i="22"/>
  <c r="O38" i="22"/>
  <c r="M38" i="22"/>
  <c r="K38" i="22"/>
  <c r="I38" i="22"/>
  <c r="G38" i="22"/>
  <c r="AI37" i="22"/>
  <c r="AC37" i="22"/>
  <c r="AA37" i="22"/>
  <c r="Y37" i="22"/>
  <c r="W37" i="22"/>
  <c r="U37" i="22"/>
  <c r="S37" i="22"/>
  <c r="Q37" i="22"/>
  <c r="O37" i="22"/>
  <c r="M37" i="22"/>
  <c r="K37" i="22"/>
  <c r="I37" i="22"/>
  <c r="G37" i="22"/>
  <c r="AH36" i="22"/>
  <c r="AC36" i="22"/>
  <c r="AA36" i="22"/>
  <c r="Y36" i="22"/>
  <c r="W36" i="22"/>
  <c r="U36" i="22"/>
  <c r="S36" i="22"/>
  <c r="Q36" i="22"/>
  <c r="O36" i="22"/>
  <c r="M36" i="22"/>
  <c r="K36" i="22"/>
  <c r="I36" i="22"/>
  <c r="G36" i="22"/>
  <c r="AI34" i="22"/>
  <c r="AC34" i="22"/>
  <c r="AA34" i="22"/>
  <c r="Y34" i="22"/>
  <c r="W34" i="22"/>
  <c r="U34" i="22"/>
  <c r="S34" i="22"/>
  <c r="Q34" i="22"/>
  <c r="O34" i="22"/>
  <c r="M34" i="22"/>
  <c r="K34" i="22"/>
  <c r="I34" i="22"/>
  <c r="G34" i="22"/>
  <c r="AI32" i="22"/>
  <c r="AC32" i="22"/>
  <c r="AA32" i="22"/>
  <c r="Y32" i="22"/>
  <c r="W32" i="22"/>
  <c r="U32" i="22"/>
  <c r="S32" i="22"/>
  <c r="Q32" i="22"/>
  <c r="O32" i="22"/>
  <c r="M32" i="22"/>
  <c r="K32" i="22"/>
  <c r="I32" i="22"/>
  <c r="G32" i="22"/>
  <c r="AI31" i="22"/>
  <c r="AC31" i="22"/>
  <c r="AA31" i="22"/>
  <c r="Y31" i="22"/>
  <c r="W31" i="22"/>
  <c r="U31" i="22"/>
  <c r="S31" i="22"/>
  <c r="Q31" i="22"/>
  <c r="O31" i="22"/>
  <c r="M31" i="22"/>
  <c r="K31" i="22"/>
  <c r="I31" i="22"/>
  <c r="G31" i="22"/>
  <c r="AI27" i="22"/>
  <c r="AC27" i="22"/>
  <c r="AA27" i="22"/>
  <c r="Y27" i="22"/>
  <c r="W27" i="22"/>
  <c r="U27" i="22"/>
  <c r="S27" i="22"/>
  <c r="Q27" i="22"/>
  <c r="O27" i="22"/>
  <c r="M27" i="22"/>
  <c r="K27" i="22"/>
  <c r="I27" i="22"/>
  <c r="G27" i="22"/>
  <c r="AI26" i="22"/>
  <c r="AC26" i="22"/>
  <c r="AA26" i="22"/>
  <c r="Y26" i="22"/>
  <c r="W26" i="22"/>
  <c r="U26" i="22"/>
  <c r="S26" i="22"/>
  <c r="Q26" i="22"/>
  <c r="O26" i="22"/>
  <c r="M26" i="22"/>
  <c r="K26" i="22"/>
  <c r="I26" i="22"/>
  <c r="G26" i="22"/>
  <c r="M25" i="22"/>
  <c r="K25" i="22"/>
  <c r="I25" i="22"/>
  <c r="G25" i="22"/>
  <c r="AO24" i="22"/>
  <c r="AI24" i="22"/>
  <c r="AC24" i="22"/>
  <c r="AA24" i="22"/>
  <c r="Y24" i="22"/>
  <c r="W24" i="22"/>
  <c r="U24" i="22"/>
  <c r="S24" i="22"/>
  <c r="Q24" i="22"/>
  <c r="O24" i="22"/>
  <c r="M24" i="22"/>
  <c r="K24" i="22"/>
  <c r="I24" i="22"/>
  <c r="G24" i="22"/>
  <c r="AO23" i="22"/>
  <c r="AI23" i="22"/>
  <c r="AC23" i="22"/>
  <c r="AA23" i="22"/>
  <c r="Y23" i="22"/>
  <c r="W23" i="22"/>
  <c r="U23" i="22"/>
  <c r="S23" i="22"/>
  <c r="Q23" i="22"/>
  <c r="O23" i="22"/>
  <c r="M23" i="22"/>
  <c r="K23" i="22"/>
  <c r="I23" i="22"/>
  <c r="G23" i="22"/>
  <c r="C21" i="22"/>
  <c r="C20" i="22"/>
  <c r="C19" i="22"/>
  <c r="AI18" i="22"/>
  <c r="AC18" i="22"/>
  <c r="AA18" i="22"/>
  <c r="Y18" i="22"/>
  <c r="W18" i="22"/>
  <c r="U18" i="22"/>
  <c r="S18" i="22"/>
  <c r="Q18" i="22"/>
  <c r="O18" i="22"/>
  <c r="M18" i="22"/>
  <c r="K18" i="22"/>
  <c r="I18" i="22"/>
  <c r="AE18" i="22" s="1"/>
  <c r="G18" i="22"/>
  <c r="AG18" i="22" s="1"/>
  <c r="C17" i="22"/>
  <c r="C16" i="22"/>
  <c r="BD79" i="20"/>
  <c r="N54" i="20"/>
  <c r="T54" i="20"/>
  <c r="BE148" i="22" l="1"/>
  <c r="BG148" i="22" s="1"/>
  <c r="BI58" i="22"/>
  <c r="BI102" i="22"/>
  <c r="BI59" i="22"/>
  <c r="BE48" i="22"/>
  <c r="BG48" i="22" s="1"/>
  <c r="BI48" i="22" s="1"/>
  <c r="AC67" i="22"/>
  <c r="BI61" i="22"/>
  <c r="BI62" i="22"/>
  <c r="BE103" i="22"/>
  <c r="BG103" i="22" s="1"/>
  <c r="AA67" i="22"/>
  <c r="I67" i="22"/>
  <c r="K67" i="22"/>
  <c r="BE92" i="22"/>
  <c r="BG92" i="22" s="1"/>
  <c r="AE112" i="22"/>
  <c r="BC109" i="22"/>
  <c r="BE109" i="22" s="1"/>
  <c r="W149" i="22"/>
  <c r="AA149" i="22"/>
  <c r="AC149" i="22"/>
  <c r="M112" i="22"/>
  <c r="AI149" i="22"/>
  <c r="AT197" i="22"/>
  <c r="K149" i="22"/>
  <c r="M149" i="22"/>
  <c r="AE149" i="22"/>
  <c r="G149" i="22"/>
  <c r="O149" i="22"/>
  <c r="AS75" i="22"/>
  <c r="AC112" i="22"/>
  <c r="Y112" i="22"/>
  <c r="Q149" i="22"/>
  <c r="AG149" i="22"/>
  <c r="S149" i="22"/>
  <c r="U149" i="22"/>
  <c r="I149" i="22"/>
  <c r="I110" i="22"/>
  <c r="K110" i="22"/>
  <c r="M110" i="22"/>
  <c r="Q110" i="22"/>
  <c r="S110" i="22"/>
  <c r="W110" i="22"/>
  <c r="AA110" i="22"/>
  <c r="G110" i="22"/>
  <c r="AG110" i="22"/>
  <c r="U110" i="22"/>
  <c r="O67" i="22"/>
  <c r="AI67" i="22"/>
  <c r="Y110" i="22"/>
  <c r="Q67" i="22"/>
  <c r="S67" i="22"/>
  <c r="AC110" i="22"/>
  <c r="U67" i="22"/>
  <c r="Y111" i="22"/>
  <c r="O110" i="22"/>
  <c r="AE110" i="22"/>
  <c r="W67" i="22"/>
  <c r="G67" i="22"/>
  <c r="Y67" i="22"/>
  <c r="AI112" i="22"/>
  <c r="S112" i="22"/>
  <c r="AG112" i="22"/>
  <c r="Q112" i="22"/>
  <c r="O112" i="22"/>
  <c r="AA112" i="22"/>
  <c r="G112" i="22"/>
  <c r="W112" i="22"/>
  <c r="U112" i="22"/>
  <c r="Y75" i="22"/>
  <c r="W75" i="22"/>
  <c r="U75" i="22"/>
  <c r="AE75" i="22"/>
  <c r="Q75" i="22"/>
  <c r="K75" i="22"/>
  <c r="I75" i="22"/>
  <c r="G75" i="22"/>
  <c r="AA75" i="22"/>
  <c r="O75" i="22"/>
  <c r="AG75" i="22"/>
  <c r="M75" i="22"/>
  <c r="AI75" i="22"/>
  <c r="AC75" i="22"/>
  <c r="W111" i="22"/>
  <c r="M111" i="22"/>
  <c r="K111" i="22"/>
  <c r="I111" i="22"/>
  <c r="S75" i="22"/>
  <c r="AC111" i="22"/>
  <c r="AA111" i="22"/>
  <c r="G111" i="22"/>
  <c r="U111" i="22"/>
  <c r="AI111" i="22"/>
  <c r="S111" i="22"/>
  <c r="AG111" i="22"/>
  <c r="Q111" i="22"/>
  <c r="AE111" i="22"/>
  <c r="K112" i="22"/>
  <c r="AJ65" i="22"/>
  <c r="AE67" i="22"/>
  <c r="AB194" i="22"/>
  <c r="M67" i="22"/>
  <c r="AE35" i="22"/>
  <c r="W35" i="22"/>
  <c r="Y35" i="22"/>
  <c r="U35" i="22"/>
  <c r="G35" i="22"/>
  <c r="AA35" i="22"/>
  <c r="I35" i="22"/>
  <c r="AI35" i="22"/>
  <c r="K35" i="22"/>
  <c r="AC35" i="22"/>
  <c r="O35" i="22"/>
  <c r="AG35" i="22"/>
  <c r="S35" i="22"/>
  <c r="AP197" i="22"/>
  <c r="O125" i="22"/>
  <c r="Q125" i="22"/>
  <c r="AC115" i="22"/>
  <c r="AJ115" i="22" s="1"/>
  <c r="S125" i="22"/>
  <c r="U125" i="22"/>
  <c r="W125" i="22"/>
  <c r="Y125" i="22"/>
  <c r="AA125" i="22"/>
  <c r="AC125" i="22"/>
  <c r="G125" i="22"/>
  <c r="AE125" i="22"/>
  <c r="I125" i="22"/>
  <c r="AG125" i="22"/>
  <c r="K125" i="22"/>
  <c r="AI125" i="22"/>
  <c r="M125" i="22"/>
  <c r="AJ114" i="22"/>
  <c r="AJ113" i="22"/>
  <c r="K116" i="22"/>
  <c r="O116" i="22"/>
  <c r="U116" i="22"/>
  <c r="W116" i="22"/>
  <c r="AA116" i="22"/>
  <c r="G116" i="22"/>
  <c r="AE116" i="22"/>
  <c r="I116" i="22"/>
  <c r="Y116" i="22"/>
  <c r="M116" i="22"/>
  <c r="AC116" i="22"/>
  <c r="Q116" i="22"/>
  <c r="AG116" i="22"/>
  <c r="S116" i="22"/>
  <c r="AO45" i="22"/>
  <c r="AQ116" i="22"/>
  <c r="AU116" i="22" s="1"/>
  <c r="AJ119" i="22"/>
  <c r="AQ119" i="22"/>
  <c r="AJ124" i="22"/>
  <c r="AO124" i="22"/>
  <c r="AJ117" i="22"/>
  <c r="Q40" i="22"/>
  <c r="M33" i="22"/>
  <c r="AJ128" i="22"/>
  <c r="S40" i="22"/>
  <c r="I33" i="22"/>
  <c r="AL197" i="22"/>
  <c r="AL202" i="22" s="1"/>
  <c r="AL207" i="22" s="1"/>
  <c r="K33" i="22"/>
  <c r="O33" i="22"/>
  <c r="AI33" i="22"/>
  <c r="G33" i="22"/>
  <c r="AE77" i="22"/>
  <c r="C84" i="22"/>
  <c r="W40" i="22"/>
  <c r="AJ24" i="22"/>
  <c r="K40" i="22"/>
  <c r="M40" i="22"/>
  <c r="AM86" i="22"/>
  <c r="AQ86" i="22" s="1"/>
  <c r="AJ191" i="22"/>
  <c r="AE71" i="22"/>
  <c r="U40" i="22"/>
  <c r="I40" i="22"/>
  <c r="AJ127" i="22"/>
  <c r="AJ42" i="22"/>
  <c r="Q33" i="22"/>
  <c r="S33" i="22"/>
  <c r="O40" i="22"/>
  <c r="U33" i="22"/>
  <c r="AE33" i="22"/>
  <c r="W33" i="22"/>
  <c r="Y33" i="22"/>
  <c r="AG33" i="22"/>
  <c r="AA33" i="22"/>
  <c r="AO128" i="22"/>
  <c r="AQ128" i="22" s="1"/>
  <c r="AG79" i="22"/>
  <c r="AJ41" i="22"/>
  <c r="AJ140" i="22"/>
  <c r="AJ155" i="22"/>
  <c r="AJ27" i="22"/>
  <c r="AJ38" i="22"/>
  <c r="AJ39" i="22"/>
  <c r="AM69" i="22"/>
  <c r="AO69" i="22" s="1"/>
  <c r="AJ139" i="22"/>
  <c r="AJ143" i="22"/>
  <c r="AJ78" i="22"/>
  <c r="AJ154" i="22"/>
  <c r="AJ76" i="22"/>
  <c r="AG77" i="22"/>
  <c r="AJ150" i="22"/>
  <c r="AJ151" i="22"/>
  <c r="AQ152" i="22"/>
  <c r="AS152" i="22" s="1"/>
  <c r="AU152" i="22" s="1"/>
  <c r="AW152" i="22" s="1"/>
  <c r="AY152" i="22" s="1"/>
  <c r="AG40" i="22"/>
  <c r="AJ141" i="22"/>
  <c r="AJ89" i="22"/>
  <c r="AE44" i="22"/>
  <c r="AG46" i="22"/>
  <c r="AK130" i="22"/>
  <c r="AM130" i="22" s="1"/>
  <c r="AO130" i="22" s="1"/>
  <c r="AA40" i="22"/>
  <c r="AE79" i="22"/>
  <c r="AJ146" i="22"/>
  <c r="AG84" i="22"/>
  <c r="C153" i="22"/>
  <c r="AO76" i="22"/>
  <c r="E153" i="22"/>
  <c r="G153" i="22" s="1"/>
  <c r="Y40" i="22"/>
  <c r="AC40" i="22"/>
  <c r="U84" i="22"/>
  <c r="AE40" i="22"/>
  <c r="AJ145" i="22"/>
  <c r="AJ131" i="22"/>
  <c r="AI40" i="22"/>
  <c r="W84" i="22"/>
  <c r="AJ130" i="22"/>
  <c r="AJ66" i="22"/>
  <c r="AS134" i="22"/>
  <c r="AU134" i="22" s="1"/>
  <c r="AW134" i="22" s="1"/>
  <c r="AY134" i="22" s="1"/>
  <c r="AA84" i="22"/>
  <c r="AJ152" i="22"/>
  <c r="AJ23" i="22"/>
  <c r="AJ68" i="22"/>
  <c r="AJ90" i="22"/>
  <c r="Y84" i="22"/>
  <c r="AJ129" i="22"/>
  <c r="AQ47" i="22"/>
  <c r="AS47" i="22" s="1"/>
  <c r="AU47" i="22" s="1"/>
  <c r="AW47" i="22" s="1"/>
  <c r="AJ135" i="22"/>
  <c r="AE46" i="22"/>
  <c r="AJ26" i="22"/>
  <c r="AE84" i="22"/>
  <c r="Q84" i="22"/>
  <c r="S84" i="22"/>
  <c r="AJ133" i="22"/>
  <c r="AJ74" i="22"/>
  <c r="AJ37" i="22"/>
  <c r="AJ132" i="22"/>
  <c r="AJ85" i="22"/>
  <c r="AJ80" i="22"/>
  <c r="AJ32" i="22"/>
  <c r="AJ73" i="22"/>
  <c r="AJ72" i="22"/>
  <c r="AJ83" i="22"/>
  <c r="AJ34" i="22"/>
  <c r="AJ43" i="22"/>
  <c r="AJ31" i="22"/>
  <c r="AC84" i="22"/>
  <c r="G84" i="22"/>
  <c r="I84" i="22"/>
  <c r="AI84" i="22"/>
  <c r="K84" i="22"/>
  <c r="M84" i="22"/>
  <c r="AQ91" i="22"/>
  <c r="AS91" i="22" s="1"/>
  <c r="AU91" i="22" s="1"/>
  <c r="AW91" i="22" s="1"/>
  <c r="AQ133" i="22"/>
  <c r="AS133" i="22" s="1"/>
  <c r="AU127" i="22"/>
  <c r="AW127" i="22" s="1"/>
  <c r="AY127" i="22" s="1"/>
  <c r="BA127" i="22" s="1"/>
  <c r="AM144" i="22"/>
  <c r="AO144" i="22" s="1"/>
  <c r="AO146" i="22"/>
  <c r="AU150" i="22"/>
  <c r="AM78" i="22"/>
  <c r="AO78" i="22" s="1"/>
  <c r="AQ154" i="22"/>
  <c r="AS154" i="22" s="1"/>
  <c r="AM79" i="22"/>
  <c r="AO79" i="22" s="1"/>
  <c r="AQ147" i="22"/>
  <c r="AO151" i="22"/>
  <c r="AQ151" i="22" s="1"/>
  <c r="AS151" i="22" s="1"/>
  <c r="AQ43" i="22"/>
  <c r="AS43" i="22" s="1"/>
  <c r="AU42" i="22"/>
  <c r="AW42" i="22" s="1"/>
  <c r="AQ129" i="22"/>
  <c r="AS129" i="22" s="1"/>
  <c r="AQ73" i="22"/>
  <c r="AS73" i="22" s="1"/>
  <c r="AS71" i="22"/>
  <c r="AO131" i="22"/>
  <c r="AQ131" i="22" s="1"/>
  <c r="AO81" i="22"/>
  <c r="AQ81" i="22" s="1"/>
  <c r="AQ145" i="22"/>
  <c r="AQ135" i="22"/>
  <c r="AO90" i="22"/>
  <c r="AQ90" i="22" s="1"/>
  <c r="AQ80" i="22"/>
  <c r="I158" i="22"/>
  <c r="I159" i="22"/>
  <c r="I157" i="22"/>
  <c r="I160" i="22"/>
  <c r="AZ197" i="22"/>
  <c r="S178" i="22"/>
  <c r="AX197" i="22"/>
  <c r="S157" i="22"/>
  <c r="D183" i="22"/>
  <c r="E183" i="22" s="1"/>
  <c r="Q77" i="22"/>
  <c r="D184" i="22"/>
  <c r="E184" i="22" s="1"/>
  <c r="AI44" i="22"/>
  <c r="AA44" i="22"/>
  <c r="W44" i="22"/>
  <c r="I44" i="22"/>
  <c r="G44" i="22"/>
  <c r="AC44" i="22"/>
  <c r="U44" i="22"/>
  <c r="Q44" i="22"/>
  <c r="O44" i="22"/>
  <c r="M44" i="22"/>
  <c r="S180" i="22"/>
  <c r="S188" i="22"/>
  <c r="S172" i="22"/>
  <c r="S158" i="22"/>
  <c r="S182" i="22"/>
  <c r="D170" i="22"/>
  <c r="E170" i="22" s="1"/>
  <c r="S174" i="22"/>
  <c r="D181" i="22"/>
  <c r="D169" i="22"/>
  <c r="D168" i="22"/>
  <c r="AJ18" i="22"/>
  <c r="S77" i="22"/>
  <c r="D179" i="22"/>
  <c r="AK179" i="22" s="1"/>
  <c r="AM179" i="22" s="1"/>
  <c r="D167" i="22"/>
  <c r="D166" i="22"/>
  <c r="E166" i="22" s="1"/>
  <c r="O166" i="22" s="1"/>
  <c r="AE166" i="22" s="1"/>
  <c r="W77" i="22"/>
  <c r="W79" i="22"/>
  <c r="D165" i="22"/>
  <c r="D176" i="22"/>
  <c r="D175" i="22"/>
  <c r="D186" i="22"/>
  <c r="D162" i="22"/>
  <c r="AK162" i="22" s="1"/>
  <c r="AM162" i="22" s="1"/>
  <c r="D185" i="22"/>
  <c r="D161" i="22"/>
  <c r="AK161" i="22" s="1"/>
  <c r="S79" i="22"/>
  <c r="G79" i="22"/>
  <c r="U77" i="22"/>
  <c r="AC77" i="22"/>
  <c r="AI79" i="22"/>
  <c r="Y188" i="22"/>
  <c r="AI77" i="22"/>
  <c r="M79" i="22"/>
  <c r="K77" i="22"/>
  <c r="Y79" i="22"/>
  <c r="I77" i="22"/>
  <c r="Y77" i="22"/>
  <c r="I79" i="22"/>
  <c r="AA77" i="22"/>
  <c r="AC79" i="22"/>
  <c r="K79" i="22"/>
  <c r="M77" i="22"/>
  <c r="O79" i="22"/>
  <c r="O77" i="22"/>
  <c r="Q79" i="22"/>
  <c r="I46" i="22"/>
  <c r="K46" i="22"/>
  <c r="M46" i="22"/>
  <c r="AI46" i="22"/>
  <c r="AQ24" i="22"/>
  <c r="J194" i="22"/>
  <c r="AI178" i="22"/>
  <c r="G178" i="22"/>
  <c r="AG178" i="22" s="1"/>
  <c r="U178" i="22"/>
  <c r="Y178" i="22"/>
  <c r="W178" i="22"/>
  <c r="Q178" i="22"/>
  <c r="O178" i="22"/>
  <c r="AE178" i="22" s="1"/>
  <c r="K178" i="22"/>
  <c r="AC178" i="22"/>
  <c r="M178" i="22"/>
  <c r="E86" i="22"/>
  <c r="M71" i="22"/>
  <c r="AI71" i="22"/>
  <c r="I71" i="22"/>
  <c r="Y71" i="22"/>
  <c r="S71" i="22"/>
  <c r="Q71" i="22"/>
  <c r="K71" i="22"/>
  <c r="AC71" i="22"/>
  <c r="W71" i="22"/>
  <c r="U71" i="22"/>
  <c r="G71" i="22"/>
  <c r="AA71" i="22"/>
  <c r="R194" i="22"/>
  <c r="S70" i="22"/>
  <c r="AJ70" i="22" s="1"/>
  <c r="E144" i="22"/>
  <c r="E182" i="22"/>
  <c r="AK182" i="22"/>
  <c r="S159" i="22"/>
  <c r="E142" i="22"/>
  <c r="M35" i="22"/>
  <c r="AH194" i="22"/>
  <c r="AJ36" i="22"/>
  <c r="S190" i="22"/>
  <c r="O71" i="22"/>
  <c r="BD197" i="22"/>
  <c r="BK175" i="23" s="1"/>
  <c r="E69" i="22"/>
  <c r="AK178" i="22"/>
  <c r="BF197" i="22"/>
  <c r="AO25" i="22"/>
  <c r="T194" i="22"/>
  <c r="BH197" i="22"/>
  <c r="AQ23" i="22"/>
  <c r="AS23" i="22" s="1"/>
  <c r="Y46" i="22"/>
  <c r="S46" i="22"/>
  <c r="AC46" i="22"/>
  <c r="AA46" i="22"/>
  <c r="Q46" i="22"/>
  <c r="W46" i="22"/>
  <c r="U46" i="22"/>
  <c r="G46" i="22"/>
  <c r="AV197" i="22"/>
  <c r="P194" i="22"/>
  <c r="E174" i="22"/>
  <c r="AK174" i="22"/>
  <c r="AO26" i="22"/>
  <c r="AO27" i="22"/>
  <c r="Q35" i="22"/>
  <c r="Y44" i="22"/>
  <c r="S44" i="22"/>
  <c r="X194" i="22"/>
  <c r="V194" i="22"/>
  <c r="F194" i="22"/>
  <c r="S189" i="22"/>
  <c r="H194" i="22"/>
  <c r="S163" i="22"/>
  <c r="K44" i="22"/>
  <c r="BB197" i="22"/>
  <c r="U79" i="22"/>
  <c r="AM158" i="22"/>
  <c r="AO158" i="22" s="1"/>
  <c r="S177" i="22"/>
  <c r="N194" i="22"/>
  <c r="S173" i="22"/>
  <c r="E180" i="22"/>
  <c r="AM180" i="22"/>
  <c r="AO180" i="22" s="1"/>
  <c r="S164" i="22"/>
  <c r="AI188" i="22"/>
  <c r="G188" i="22"/>
  <c r="AG188" i="22" s="1"/>
  <c r="AC188" i="22"/>
  <c r="W188" i="22"/>
  <c r="Q188" i="22"/>
  <c r="O188" i="22"/>
  <c r="AE188" i="22" s="1"/>
  <c r="M188" i="22"/>
  <c r="K188" i="22"/>
  <c r="E172" i="22"/>
  <c r="AK172" i="22"/>
  <c r="AN197" i="22"/>
  <c r="AR197" i="22"/>
  <c r="S160" i="22"/>
  <c r="AK157" i="22"/>
  <c r="AM157" i="22" s="1"/>
  <c r="S187" i="22"/>
  <c r="AK188" i="22"/>
  <c r="S171" i="22"/>
  <c r="BD90" i="20"/>
  <c r="BC40" i="20"/>
  <c r="BD40" i="20"/>
  <c r="BI148" i="22" l="1"/>
  <c r="AY104" i="22"/>
  <c r="BA104" i="22" s="1"/>
  <c r="BI103" i="22"/>
  <c r="BI92" i="22"/>
  <c r="BA106" i="22"/>
  <c r="BC106" i="22" s="1"/>
  <c r="BG109" i="22"/>
  <c r="BI109" i="22" s="1"/>
  <c r="AJ110" i="22"/>
  <c r="AJ149" i="22"/>
  <c r="AJ67" i="22"/>
  <c r="AJ112" i="22"/>
  <c r="AJ75" i="22"/>
  <c r="AJ111" i="22"/>
  <c r="AJ125" i="22"/>
  <c r="AS112" i="22"/>
  <c r="AW116" i="22"/>
  <c r="AY116" i="22" s="1"/>
  <c r="AJ116" i="22"/>
  <c r="AS119" i="22"/>
  <c r="AU119" i="22" s="1"/>
  <c r="AQ124" i="22"/>
  <c r="AS124" i="22" s="1"/>
  <c r="AJ160" i="22"/>
  <c r="AN202" i="22"/>
  <c r="AN207" i="22" s="1"/>
  <c r="AJ157" i="22"/>
  <c r="AQ130" i="22"/>
  <c r="AS130" i="22" s="1"/>
  <c r="AU130" i="22" s="1"/>
  <c r="AJ158" i="22"/>
  <c r="AJ33" i="22"/>
  <c r="AJ35" i="22"/>
  <c r="AQ76" i="22"/>
  <c r="AS76" i="22" s="1"/>
  <c r="AJ40" i="22"/>
  <c r="AS128" i="22"/>
  <c r="AU128" i="22" s="1"/>
  <c r="AJ44" i="22"/>
  <c r="AI153" i="22"/>
  <c r="AJ71" i="22"/>
  <c r="AJ46" i="22"/>
  <c r="AQ69" i="22"/>
  <c r="AS69" i="22" s="1"/>
  <c r="AU69" i="22" s="1"/>
  <c r="AJ159" i="22"/>
  <c r="AG142" i="22"/>
  <c r="AE142" i="22"/>
  <c r="AG144" i="22"/>
  <c r="AE144" i="22"/>
  <c r="AG153" i="22"/>
  <c r="M153" i="22"/>
  <c r="K153" i="22"/>
  <c r="AE153" i="22"/>
  <c r="I153" i="22"/>
  <c r="O153" i="22"/>
  <c r="Q153" i="22"/>
  <c r="AC153" i="22"/>
  <c r="W153" i="22"/>
  <c r="U153" i="22"/>
  <c r="S153" i="22"/>
  <c r="AA153" i="22"/>
  <c r="Y153" i="22"/>
  <c r="AJ79" i="22"/>
  <c r="AU75" i="22"/>
  <c r="AW75" i="22" s="1"/>
  <c r="AY75" i="22" s="1"/>
  <c r="BA75" i="22" s="1"/>
  <c r="BC75" i="22" s="1"/>
  <c r="BE75" i="22" s="1"/>
  <c r="AJ77" i="22"/>
  <c r="AG69" i="22"/>
  <c r="AE69" i="22"/>
  <c r="AG86" i="22"/>
  <c r="AE86" i="22"/>
  <c r="AS147" i="22"/>
  <c r="AU147" i="22" s="1"/>
  <c r="AW147" i="22" s="1"/>
  <c r="AJ84" i="22"/>
  <c r="AW77" i="22"/>
  <c r="AU73" i="22"/>
  <c r="AW73" i="22" s="1"/>
  <c r="AU71" i="22"/>
  <c r="AW71" i="22" s="1"/>
  <c r="AY139" i="22"/>
  <c r="AQ144" i="22"/>
  <c r="AS144" i="22" s="1"/>
  <c r="AU144" i="22" s="1"/>
  <c r="AW144" i="22" s="1"/>
  <c r="AU36" i="22"/>
  <c r="AW36" i="22" s="1"/>
  <c r="AS145" i="22"/>
  <c r="AU145" i="22" s="1"/>
  <c r="AS41" i="22"/>
  <c r="AU41" i="22" s="1"/>
  <c r="AW41" i="22" s="1"/>
  <c r="AQ78" i="22"/>
  <c r="AS78" i="22" s="1"/>
  <c r="AS131" i="22"/>
  <c r="AU131" i="22" s="1"/>
  <c r="AU151" i="22"/>
  <c r="AW151" i="22" s="1"/>
  <c r="AY151" i="22" s="1"/>
  <c r="BA152" i="22"/>
  <c r="AY91" i="22"/>
  <c r="BA91" i="22" s="1"/>
  <c r="AQ146" i="22"/>
  <c r="BC127" i="22"/>
  <c r="AU154" i="22"/>
  <c r="AW154" i="22" s="1"/>
  <c r="AS86" i="22"/>
  <c r="AY47" i="22"/>
  <c r="BA47" i="22" s="1"/>
  <c r="AY89" i="22"/>
  <c r="BA89" i="22" s="1"/>
  <c r="AW150" i="22"/>
  <c r="BA134" i="22"/>
  <c r="BC134" i="22" s="1"/>
  <c r="AU43" i="22"/>
  <c r="AW43" i="22" s="1"/>
  <c r="AO46" i="22"/>
  <c r="AQ79" i="22"/>
  <c r="AS79" i="22" s="1"/>
  <c r="AS74" i="22"/>
  <c r="AU133" i="22"/>
  <c r="AS81" i="22"/>
  <c r="AS70" i="22"/>
  <c r="AU70" i="22" s="1"/>
  <c r="AS80" i="22"/>
  <c r="AS90" i="22"/>
  <c r="AU90" i="22" s="1"/>
  <c r="AW90" i="22" s="1"/>
  <c r="AU129" i="22"/>
  <c r="AS135" i="22"/>
  <c r="AS72" i="22"/>
  <c r="AU72" i="22" s="1"/>
  <c r="AW72" i="22" s="1"/>
  <c r="AS149" i="22"/>
  <c r="AU141" i="22"/>
  <c r="AW141" i="22" s="1"/>
  <c r="AY42" i="22"/>
  <c r="AK184" i="22"/>
  <c r="AM184" i="22" s="1"/>
  <c r="M166" i="22"/>
  <c r="W166" i="22"/>
  <c r="G166" i="22"/>
  <c r="AG166" i="22" s="1"/>
  <c r="E179" i="22"/>
  <c r="G179" i="22" s="1"/>
  <c r="AG179" i="22" s="1"/>
  <c r="U166" i="22"/>
  <c r="AI166" i="22"/>
  <c r="E161" i="22"/>
  <c r="U161" i="22" s="1"/>
  <c r="AK183" i="22"/>
  <c r="AM183" i="22" s="1"/>
  <c r="E162" i="22"/>
  <c r="AC162" i="22" s="1"/>
  <c r="K166" i="22"/>
  <c r="AK166" i="22"/>
  <c r="AM166" i="22" s="1"/>
  <c r="AK170" i="22"/>
  <c r="AM170" i="22" s="1"/>
  <c r="AC166" i="22"/>
  <c r="Q166" i="22"/>
  <c r="Y166" i="22"/>
  <c r="AO162" i="22"/>
  <c r="AQ162" i="22" s="1"/>
  <c r="AS162" i="22" s="1"/>
  <c r="E185" i="22"/>
  <c r="AK185" i="22"/>
  <c r="E167" i="22"/>
  <c r="AK167" i="22"/>
  <c r="AM167" i="22" s="1"/>
  <c r="AO167" i="22" s="1"/>
  <c r="E168" i="22"/>
  <c r="AK168" i="22"/>
  <c r="AM168" i="22" s="1"/>
  <c r="AQ25" i="22"/>
  <c r="AS25" i="22" s="1"/>
  <c r="AO179" i="22"/>
  <c r="AO155" i="22"/>
  <c r="AQ155" i="22" s="1"/>
  <c r="C194" i="22"/>
  <c r="AC194" i="22" s="1"/>
  <c r="AQ158" i="22"/>
  <c r="AM188" i="22"/>
  <c r="AQ27" i="22"/>
  <c r="AU23" i="22"/>
  <c r="E186" i="22"/>
  <c r="AK186" i="22"/>
  <c r="AM186" i="22" s="1"/>
  <c r="AM172" i="22"/>
  <c r="K142" i="22"/>
  <c r="AI142" i="22"/>
  <c r="G142" i="22"/>
  <c r="W142" i="22"/>
  <c r="Q142" i="22"/>
  <c r="AC142" i="22"/>
  <c r="Y142" i="22"/>
  <c r="U142" i="22"/>
  <c r="AA142" i="22"/>
  <c r="S142" i="22"/>
  <c r="O142" i="22"/>
  <c r="M142" i="22"/>
  <c r="I142" i="22"/>
  <c r="AM161" i="22"/>
  <c r="AQ26" i="22"/>
  <c r="E181" i="22"/>
  <c r="AK181" i="22"/>
  <c r="AM181" i="22" s="1"/>
  <c r="AK175" i="22"/>
  <c r="AM175" i="22" s="1"/>
  <c r="E175" i="22"/>
  <c r="AM178" i="22"/>
  <c r="AK160" i="22"/>
  <c r="AM160" i="22" s="1"/>
  <c r="AI180" i="22"/>
  <c r="G180" i="22"/>
  <c r="AG180" i="22" s="1"/>
  <c r="M180" i="22"/>
  <c r="AC180" i="22"/>
  <c r="Y180" i="22"/>
  <c r="W180" i="22"/>
  <c r="U180" i="22"/>
  <c r="Q180" i="22"/>
  <c r="K180" i="22"/>
  <c r="O180" i="22"/>
  <c r="AE180" i="22" s="1"/>
  <c r="AI174" i="22"/>
  <c r="G174" i="22"/>
  <c r="AG174" i="22" s="1"/>
  <c r="Y174" i="22"/>
  <c r="Q174" i="22"/>
  <c r="O174" i="22"/>
  <c r="AE174" i="22" s="1"/>
  <c r="M174" i="22"/>
  <c r="K174" i="22"/>
  <c r="W174" i="22"/>
  <c r="AC174" i="22"/>
  <c r="U174" i="22"/>
  <c r="AK159" i="22"/>
  <c r="AA178" i="22"/>
  <c r="I178" i="22"/>
  <c r="AI172" i="22"/>
  <c r="G172" i="22"/>
  <c r="AG172" i="22" s="1"/>
  <c r="U172" i="22"/>
  <c r="O172" i="22"/>
  <c r="AE172" i="22" s="1"/>
  <c r="K172" i="22"/>
  <c r="Y172" i="22"/>
  <c r="W172" i="22"/>
  <c r="Q172" i="22"/>
  <c r="AC172" i="22"/>
  <c r="M172" i="22"/>
  <c r="L194" i="22"/>
  <c r="E187" i="22"/>
  <c r="AK187" i="22"/>
  <c r="AM187" i="22" s="1"/>
  <c r="AM182" i="22"/>
  <c r="AK169" i="22"/>
  <c r="E169" i="22"/>
  <c r="AQ180" i="22"/>
  <c r="AS180" i="22" s="1"/>
  <c r="AU180" i="22" s="1"/>
  <c r="AI182" i="22"/>
  <c r="G182" i="22"/>
  <c r="AG182" i="22" s="1"/>
  <c r="W182" i="22"/>
  <c r="Q182" i="22"/>
  <c r="AC182" i="22"/>
  <c r="U182" i="22"/>
  <c r="Y182" i="22"/>
  <c r="O182" i="22"/>
  <c r="AE182" i="22" s="1"/>
  <c r="K182" i="22"/>
  <c r="M182" i="22"/>
  <c r="AS24" i="22"/>
  <c r="AU24" i="22" s="1"/>
  <c r="I188" i="22"/>
  <c r="AA188" i="22"/>
  <c r="AI170" i="22"/>
  <c r="G170" i="22"/>
  <c r="AG170" i="22" s="1"/>
  <c r="K170" i="22"/>
  <c r="AC170" i="22"/>
  <c r="Y170" i="22"/>
  <c r="U170" i="22"/>
  <c r="W170" i="22"/>
  <c r="Q170" i="22"/>
  <c r="M170" i="22"/>
  <c r="O170" i="22"/>
  <c r="AE170" i="22" s="1"/>
  <c r="AK164" i="22"/>
  <c r="E164" i="22"/>
  <c r="O69" i="22"/>
  <c r="I69" i="22"/>
  <c r="U69" i="22"/>
  <c r="S69" i="22"/>
  <c r="M69" i="22"/>
  <c r="Q69" i="22"/>
  <c r="Y69" i="22"/>
  <c r="W69" i="22"/>
  <c r="G69" i="22"/>
  <c r="AI69" i="22"/>
  <c r="K69" i="22"/>
  <c r="AC69" i="22"/>
  <c r="AA69" i="22"/>
  <c r="AK190" i="22"/>
  <c r="E190" i="22"/>
  <c r="AI184" i="22"/>
  <c r="G184" i="22"/>
  <c r="AG184" i="22" s="1"/>
  <c r="K184" i="22"/>
  <c r="AC184" i="22"/>
  <c r="W184" i="22"/>
  <c r="U184" i="22"/>
  <c r="Q184" i="22"/>
  <c r="O184" i="22"/>
  <c r="AE184" i="22" s="1"/>
  <c r="M184" i="22"/>
  <c r="Y184" i="22"/>
  <c r="AK171" i="22"/>
  <c r="E171" i="22"/>
  <c r="AK189" i="22"/>
  <c r="E189" i="22"/>
  <c r="AM174" i="22"/>
  <c r="K144" i="22"/>
  <c r="AC144" i="22"/>
  <c r="Y144" i="22"/>
  <c r="U144" i="22"/>
  <c r="Q144" i="22"/>
  <c r="O144" i="22"/>
  <c r="AA144" i="22"/>
  <c r="W144" i="22"/>
  <c r="S144" i="22"/>
  <c r="M144" i="22"/>
  <c r="AI144" i="22"/>
  <c r="I144" i="22"/>
  <c r="G144" i="22"/>
  <c r="I86" i="22"/>
  <c r="AI86" i="22"/>
  <c r="Y86" i="22"/>
  <c r="W86" i="22"/>
  <c r="S86" i="22"/>
  <c r="Q86" i="22"/>
  <c r="AC86" i="22"/>
  <c r="AA86" i="22"/>
  <c r="M86" i="22"/>
  <c r="K86" i="22"/>
  <c r="G86" i="22"/>
  <c r="U86" i="22"/>
  <c r="O86" i="22"/>
  <c r="AK165" i="22"/>
  <c r="AM165" i="22" s="1"/>
  <c r="E165" i="22"/>
  <c r="O183" i="22"/>
  <c r="AE183" i="22" s="1"/>
  <c r="G183" i="22"/>
  <c r="AG183" i="22" s="1"/>
  <c r="AI183" i="22"/>
  <c r="AC183" i="22"/>
  <c r="Y183" i="22"/>
  <c r="W183" i="22"/>
  <c r="U183" i="22"/>
  <c r="K183" i="22"/>
  <c r="Q183" i="22"/>
  <c r="M183" i="22"/>
  <c r="E176" i="22"/>
  <c r="AK176" i="22"/>
  <c r="AM176" i="22" s="1"/>
  <c r="E173" i="22"/>
  <c r="AK173" i="22"/>
  <c r="AK177" i="22"/>
  <c r="E177" i="22"/>
  <c r="E163" i="22"/>
  <c r="AK163" i="22"/>
  <c r="AO157" i="22"/>
  <c r="D79" i="20"/>
  <c r="BC79" i="20"/>
  <c r="E79" i="20"/>
  <c r="BD136" i="20"/>
  <c r="D136" i="20"/>
  <c r="BE24" i="20"/>
  <c r="D72" i="20"/>
  <c r="BD85" i="20"/>
  <c r="D85" i="20"/>
  <c r="BD11" i="20"/>
  <c r="AO11" i="20"/>
  <c r="AM11" i="20"/>
  <c r="AK11" i="20"/>
  <c r="AI11" i="20"/>
  <c r="AE11" i="20"/>
  <c r="AC11" i="20"/>
  <c r="AA11" i="20"/>
  <c r="Y11" i="20"/>
  <c r="W11" i="20"/>
  <c r="U11" i="20"/>
  <c r="AF11" i="20" s="1"/>
  <c r="S11" i="20"/>
  <c r="Q11" i="20"/>
  <c r="O11" i="20"/>
  <c r="M11" i="20"/>
  <c r="K11" i="20"/>
  <c r="I11" i="20"/>
  <c r="G11" i="20"/>
  <c r="BC84" i="20"/>
  <c r="C86" i="20"/>
  <c r="BD106" i="20"/>
  <c r="D106" i="20"/>
  <c r="E106" i="20" s="1"/>
  <c r="C106" i="20"/>
  <c r="BD42" i="20"/>
  <c r="BC42" i="20" s="1"/>
  <c r="E42" i="20"/>
  <c r="BD86" i="20"/>
  <c r="BC86" i="20" s="1"/>
  <c r="D55" i="20"/>
  <c r="C55" i="20" s="1"/>
  <c r="BC90" i="20"/>
  <c r="C62" i="20"/>
  <c r="D62" i="20"/>
  <c r="D88" i="20"/>
  <c r="E88" i="20" s="1"/>
  <c r="BD88" i="20"/>
  <c r="BC88" i="20" s="1"/>
  <c r="BC52" i="20"/>
  <c r="BC61" i="20"/>
  <c r="E60" i="20"/>
  <c r="D40" i="20"/>
  <c r="D38" i="20"/>
  <c r="BC37" i="20"/>
  <c r="BD36" i="20"/>
  <c r="BC36" i="20" s="1"/>
  <c r="E36" i="20"/>
  <c r="BC13" i="20"/>
  <c r="P79" i="20"/>
  <c r="N79" i="20"/>
  <c r="L79" i="20"/>
  <c r="J79" i="20"/>
  <c r="F79" i="20"/>
  <c r="R79" i="20"/>
  <c r="V79" i="20"/>
  <c r="T79" i="20"/>
  <c r="AD87" i="20"/>
  <c r="D87" i="20"/>
  <c r="R63" i="20"/>
  <c r="P63" i="20"/>
  <c r="N63" i="20"/>
  <c r="L63" i="20"/>
  <c r="J63" i="20"/>
  <c r="E63" i="20"/>
  <c r="R59" i="20"/>
  <c r="AD133" i="20"/>
  <c r="AE133" i="20" s="1"/>
  <c r="AI132" i="20"/>
  <c r="AE132" i="20"/>
  <c r="AC132" i="20"/>
  <c r="AA132" i="20"/>
  <c r="Y132" i="20"/>
  <c r="W132" i="20"/>
  <c r="U132" i="20"/>
  <c r="S132" i="20"/>
  <c r="Q132" i="20"/>
  <c r="O132" i="20"/>
  <c r="M132" i="20"/>
  <c r="K132" i="20"/>
  <c r="I132" i="20"/>
  <c r="G132" i="20"/>
  <c r="AC133" i="20"/>
  <c r="AA133" i="20"/>
  <c r="Y133" i="20"/>
  <c r="W133" i="20"/>
  <c r="U133" i="20"/>
  <c r="S133" i="20"/>
  <c r="Q133" i="20"/>
  <c r="O133" i="20"/>
  <c r="M133" i="20"/>
  <c r="K133" i="20"/>
  <c r="I133" i="20"/>
  <c r="G133" i="20"/>
  <c r="AI131" i="20"/>
  <c r="AE131" i="20"/>
  <c r="AC131" i="20"/>
  <c r="AA131" i="20"/>
  <c r="Y131" i="20"/>
  <c r="W131" i="20"/>
  <c r="U131" i="20"/>
  <c r="S131" i="20"/>
  <c r="Q131" i="20"/>
  <c r="O131" i="20"/>
  <c r="M131" i="20"/>
  <c r="K131" i="20"/>
  <c r="I131" i="20"/>
  <c r="G131" i="20"/>
  <c r="AI49" i="20"/>
  <c r="AE49" i="20"/>
  <c r="AC49" i="20"/>
  <c r="AA49" i="20"/>
  <c r="Y49" i="20"/>
  <c r="W49" i="20"/>
  <c r="U49" i="20"/>
  <c r="S49" i="20"/>
  <c r="Q49" i="20"/>
  <c r="O49" i="20"/>
  <c r="M49" i="20"/>
  <c r="K49" i="20"/>
  <c r="I49" i="20"/>
  <c r="G49" i="20"/>
  <c r="AI48" i="20"/>
  <c r="AE48" i="20"/>
  <c r="AC48" i="20"/>
  <c r="AA48" i="20"/>
  <c r="Y48" i="20"/>
  <c r="W48" i="20"/>
  <c r="U48" i="20"/>
  <c r="S48" i="20"/>
  <c r="Q48" i="20"/>
  <c r="O48" i="20"/>
  <c r="M48" i="20"/>
  <c r="K48" i="20"/>
  <c r="I48" i="20"/>
  <c r="G48" i="20"/>
  <c r="AI21" i="20"/>
  <c r="AE21" i="20"/>
  <c r="AC21" i="20"/>
  <c r="AA21" i="20"/>
  <c r="Y21" i="20"/>
  <c r="W21" i="20"/>
  <c r="U21" i="20"/>
  <c r="S21" i="20"/>
  <c r="Q21" i="20"/>
  <c r="O21" i="20"/>
  <c r="M21" i="20"/>
  <c r="K21" i="20"/>
  <c r="I21" i="20"/>
  <c r="G21" i="20"/>
  <c r="AI20" i="20"/>
  <c r="AE20" i="20"/>
  <c r="AC20" i="20"/>
  <c r="AA20" i="20"/>
  <c r="Y20" i="20"/>
  <c r="W20" i="20"/>
  <c r="U20" i="20"/>
  <c r="S20" i="20"/>
  <c r="Q20" i="20"/>
  <c r="O20" i="20"/>
  <c r="M20" i="20"/>
  <c r="K20" i="20"/>
  <c r="I20" i="20"/>
  <c r="G20" i="20"/>
  <c r="AI22" i="20"/>
  <c r="AE22" i="20"/>
  <c r="AC22" i="20"/>
  <c r="AA22" i="20"/>
  <c r="Y22" i="20"/>
  <c r="W22" i="20"/>
  <c r="U22" i="20"/>
  <c r="S22" i="20"/>
  <c r="Q22" i="20"/>
  <c r="O22" i="20"/>
  <c r="M22" i="20"/>
  <c r="K22" i="20"/>
  <c r="I22" i="20"/>
  <c r="G22" i="20"/>
  <c r="E85" i="20"/>
  <c r="BA61" i="20"/>
  <c r="BA60" i="20"/>
  <c r="BA38" i="20"/>
  <c r="BB136" i="20"/>
  <c r="BA136" i="20" s="1"/>
  <c r="BB79" i="20"/>
  <c r="BA79" i="20" s="1"/>
  <c r="BB40" i="20"/>
  <c r="BA40" i="20" s="1"/>
  <c r="BB36" i="20"/>
  <c r="BA36" i="20" s="1"/>
  <c r="C87" i="20"/>
  <c r="AZ87" i="20"/>
  <c r="AY87" i="20" s="1"/>
  <c r="AI113" i="20"/>
  <c r="AY113" i="20"/>
  <c r="X113" i="20"/>
  <c r="E113" i="20"/>
  <c r="AY62" i="20"/>
  <c r="AY136" i="20"/>
  <c r="C136" i="20"/>
  <c r="E136" i="20" s="1"/>
  <c r="AZ88" i="20"/>
  <c r="AY88" i="20" s="1"/>
  <c r="AZ79" i="20"/>
  <c r="AY79" i="20" s="1"/>
  <c r="E44" i="20"/>
  <c r="D44" i="20" s="1"/>
  <c r="AZ44" i="20"/>
  <c r="AZ43" i="20"/>
  <c r="AY43" i="20" s="1"/>
  <c r="AZ36" i="20"/>
  <c r="AY36" i="20" s="1"/>
  <c r="N25" i="20"/>
  <c r="V25" i="20"/>
  <c r="T25" i="20"/>
  <c r="C25" i="20"/>
  <c r="L26" i="20"/>
  <c r="P26" i="20"/>
  <c r="AY60" i="20"/>
  <c r="E134" i="20"/>
  <c r="AA134" i="20" s="1"/>
  <c r="AE134" i="20"/>
  <c r="AZ40" i="20"/>
  <c r="AY40" i="20" s="1"/>
  <c r="AY38" i="20"/>
  <c r="V43" i="20"/>
  <c r="X43" i="20"/>
  <c r="E43" i="20"/>
  <c r="E54" i="20"/>
  <c r="BI60" i="22" l="1"/>
  <c r="BG105" i="22"/>
  <c r="BC104" i="22"/>
  <c r="BE104" i="22" s="1"/>
  <c r="BG104" i="22" s="1"/>
  <c r="D79" i="23"/>
  <c r="BE106" i="22"/>
  <c r="BG106" i="22" s="1"/>
  <c r="BI106" i="22" s="1"/>
  <c r="AU112" i="22"/>
  <c r="AW112" i="22" s="1"/>
  <c r="BA116" i="22"/>
  <c r="BC116" i="22" s="1"/>
  <c r="BE116" i="22" s="1"/>
  <c r="AW114" i="22"/>
  <c r="AW119" i="22"/>
  <c r="AY119" i="22" s="1"/>
  <c r="AU124" i="22"/>
  <c r="AP202" i="22"/>
  <c r="AR202" i="22" s="1"/>
  <c r="AT202" i="22" s="1"/>
  <c r="AW130" i="22"/>
  <c r="AY130" i="22" s="1"/>
  <c r="AU76" i="22"/>
  <c r="AW76" i="22" s="1"/>
  <c r="AW128" i="22"/>
  <c r="AY128" i="22" s="1"/>
  <c r="AJ188" i="22"/>
  <c r="AJ153" i="22"/>
  <c r="AJ142" i="22"/>
  <c r="AJ178" i="22"/>
  <c r="AJ144" i="22"/>
  <c r="I166" i="22"/>
  <c r="AJ86" i="22"/>
  <c r="AW140" i="22"/>
  <c r="AY140" i="22" s="1"/>
  <c r="BA140" i="22" s="1"/>
  <c r="AJ69" i="22"/>
  <c r="AU78" i="22"/>
  <c r="AW78" i="22" s="1"/>
  <c r="AY77" i="22"/>
  <c r="BA77" i="22" s="1"/>
  <c r="BC77" i="22" s="1"/>
  <c r="BE77" i="22" s="1"/>
  <c r="BG77" i="22" s="1"/>
  <c r="BI77" i="22" s="1"/>
  <c r="AY73" i="22"/>
  <c r="BA73" i="22" s="1"/>
  <c r="AU142" i="22"/>
  <c r="AW142" i="22" s="1"/>
  <c r="AW145" i="22"/>
  <c r="AY145" i="22" s="1"/>
  <c r="AY71" i="22"/>
  <c r="BE134" i="22"/>
  <c r="BG134" i="22" s="1"/>
  <c r="BE127" i="22"/>
  <c r="BG127" i="22" s="1"/>
  <c r="BA153" i="22"/>
  <c r="BA139" i="22"/>
  <c r="BC139" i="22" s="1"/>
  <c r="AY144" i="22"/>
  <c r="BA144" i="22" s="1"/>
  <c r="BC144" i="22" s="1"/>
  <c r="AU79" i="22"/>
  <c r="AY36" i="22"/>
  <c r="BA36" i="22" s="1"/>
  <c r="AU74" i="22"/>
  <c r="AY43" i="22"/>
  <c r="BC47" i="22"/>
  <c r="BE47" i="22" s="1"/>
  <c r="AU86" i="22"/>
  <c r="AW129" i="22"/>
  <c r="AS146" i="22"/>
  <c r="AU146" i="22" s="1"/>
  <c r="AW146" i="22" s="1"/>
  <c r="AQ46" i="22"/>
  <c r="AS46" i="22" s="1"/>
  <c r="BC152" i="22"/>
  <c r="BE152" i="22" s="1"/>
  <c r="BE143" i="22"/>
  <c r="BG143" i="22" s="1"/>
  <c r="BI143" i="22" s="1"/>
  <c r="AY41" i="22"/>
  <c r="BA41" i="22" s="1"/>
  <c r="BA151" i="22"/>
  <c r="BC151" i="22" s="1"/>
  <c r="AY154" i="22"/>
  <c r="BA154" i="22" s="1"/>
  <c r="AY150" i="22"/>
  <c r="BA150" i="22" s="1"/>
  <c r="BC150" i="22" s="1"/>
  <c r="BA65" i="22"/>
  <c r="BC65" i="22" s="1"/>
  <c r="BA42" i="22"/>
  <c r="BC42" i="22" s="1"/>
  <c r="AW70" i="22"/>
  <c r="AW133" i="22"/>
  <c r="AU81" i="22"/>
  <c r="AU80" i="22"/>
  <c r="BC89" i="22"/>
  <c r="BE89" i="22" s="1"/>
  <c r="BG89" i="22" s="1"/>
  <c r="BG75" i="22"/>
  <c r="BI75" i="22" s="1"/>
  <c r="AY90" i="22"/>
  <c r="BA90" i="22" s="1"/>
  <c r="AW69" i="22"/>
  <c r="AY141" i="22"/>
  <c r="AY147" i="22"/>
  <c r="BA147" i="22" s="1"/>
  <c r="BC147" i="22" s="1"/>
  <c r="AW131" i="22"/>
  <c r="AY131" i="22" s="1"/>
  <c r="BA131" i="22" s="1"/>
  <c r="AU149" i="22"/>
  <c r="AW149" i="22" s="1"/>
  <c r="AY72" i="22"/>
  <c r="AU135" i="22"/>
  <c r="BC91" i="22"/>
  <c r="BE91" i="22" s="1"/>
  <c r="O179" i="22"/>
  <c r="AE179" i="22" s="1"/>
  <c r="K179" i="22"/>
  <c r="AC179" i="22"/>
  <c r="M179" i="22"/>
  <c r="U179" i="22"/>
  <c r="AO184" i="22"/>
  <c r="AQ184" i="22" s="1"/>
  <c r="W179" i="22"/>
  <c r="Q179" i="22"/>
  <c r="O161" i="22"/>
  <c r="AE161" i="22" s="1"/>
  <c r="Y179" i="22"/>
  <c r="AI179" i="22"/>
  <c r="Q161" i="22"/>
  <c r="W161" i="22"/>
  <c r="Y161" i="22"/>
  <c r="U162" i="22"/>
  <c r="AC161" i="22"/>
  <c r="W162" i="22"/>
  <c r="G161" i="22"/>
  <c r="AG161" i="22" s="1"/>
  <c r="M161" i="22"/>
  <c r="AO168" i="22"/>
  <c r="AQ168" i="22" s="1"/>
  <c r="AI161" i="22"/>
  <c r="K161" i="22"/>
  <c r="O162" i="22"/>
  <c r="AE162" i="22" s="1"/>
  <c r="Q162" i="22"/>
  <c r="Y162" i="22"/>
  <c r="K162" i="22"/>
  <c r="G162" i="22"/>
  <c r="AG162" i="22" s="1"/>
  <c r="AI162" i="22"/>
  <c r="M162" i="22"/>
  <c r="AA166" i="22"/>
  <c r="AO166" i="22"/>
  <c r="AQ166" i="22" s="1"/>
  <c r="AO170" i="22"/>
  <c r="AQ170" i="22" s="1"/>
  <c r="AS170" i="22" s="1"/>
  <c r="AQ167" i="22"/>
  <c r="AS167" i="22" s="1"/>
  <c r="AU25" i="22"/>
  <c r="AW25" i="22" s="1"/>
  <c r="AI167" i="22"/>
  <c r="U167" i="22"/>
  <c r="Q167" i="22"/>
  <c r="AC167" i="22"/>
  <c r="Y167" i="22"/>
  <c r="W167" i="22"/>
  <c r="O167" i="22"/>
  <c r="AE167" i="22" s="1"/>
  <c r="M167" i="22"/>
  <c r="K167" i="22"/>
  <c r="G167" i="22"/>
  <c r="AG167" i="22" s="1"/>
  <c r="AM185" i="22"/>
  <c r="AO185" i="22" s="1"/>
  <c r="U185" i="22"/>
  <c r="M185" i="22"/>
  <c r="K185" i="22"/>
  <c r="W185" i="22"/>
  <c r="AI185" i="22"/>
  <c r="Q185" i="22"/>
  <c r="G185" i="22"/>
  <c r="AG185" i="22" s="1"/>
  <c r="O185" i="22"/>
  <c r="AE185" i="22" s="1"/>
  <c r="Y185" i="22"/>
  <c r="AC185" i="22"/>
  <c r="Y168" i="22"/>
  <c r="K168" i="22"/>
  <c r="Q168" i="22"/>
  <c r="AC168" i="22"/>
  <c r="M168" i="22"/>
  <c r="W168" i="22"/>
  <c r="U168" i="22"/>
  <c r="O168" i="22"/>
  <c r="AE168" i="22" s="1"/>
  <c r="AI168" i="22"/>
  <c r="G168" i="22"/>
  <c r="AG168" i="22" s="1"/>
  <c r="S194" i="22"/>
  <c r="AO175" i="22"/>
  <c r="AQ175" i="22" s="1"/>
  <c r="AS175" i="22" s="1"/>
  <c r="AS155" i="22"/>
  <c r="AU155" i="22" s="1"/>
  <c r="AW155" i="22" s="1"/>
  <c r="AQ179" i="22"/>
  <c r="AS179" i="22" s="1"/>
  <c r="AM169" i="22"/>
  <c r="AO169" i="22" s="1"/>
  <c r="AU162" i="22"/>
  <c r="AW162" i="22" s="1"/>
  <c r="AM171" i="22"/>
  <c r="AO172" i="22"/>
  <c r="AQ172" i="22" s="1"/>
  <c r="AM173" i="22"/>
  <c r="AO174" i="22"/>
  <c r="AI190" i="22"/>
  <c r="G190" i="22"/>
  <c r="AG190" i="22" s="1"/>
  <c r="O190" i="22"/>
  <c r="AE190" i="22" s="1"/>
  <c r="W190" i="22"/>
  <c r="U190" i="22"/>
  <c r="Q190" i="22"/>
  <c r="M190" i="22"/>
  <c r="AC190" i="22"/>
  <c r="Y190" i="22"/>
  <c r="K190" i="22"/>
  <c r="K187" i="22"/>
  <c r="AI187" i="22"/>
  <c r="O187" i="22"/>
  <c r="AE187" i="22" s="1"/>
  <c r="M187" i="22"/>
  <c r="G187" i="22"/>
  <c r="AG187" i="22" s="1"/>
  <c r="AC187" i="22"/>
  <c r="U187" i="22"/>
  <c r="Y187" i="22"/>
  <c r="W187" i="22"/>
  <c r="Q187" i="22"/>
  <c r="AO161" i="22"/>
  <c r="AM177" i="22"/>
  <c r="AO182" i="22"/>
  <c r="AQ182" i="22" s="1"/>
  <c r="AK196" i="22"/>
  <c r="AK201" i="22" s="1"/>
  <c r="AM159" i="22"/>
  <c r="AO159" i="22" s="1"/>
  <c r="AM163" i="22"/>
  <c r="I183" i="22"/>
  <c r="AA183" i="22"/>
  <c r="W189" i="22"/>
  <c r="O189" i="22"/>
  <c r="AE189" i="22" s="1"/>
  <c r="U189" i="22"/>
  <c r="Q189" i="22"/>
  <c r="M189" i="22"/>
  <c r="K189" i="22"/>
  <c r="AI189" i="22"/>
  <c r="AC189" i="22"/>
  <c r="Y189" i="22"/>
  <c r="G189" i="22"/>
  <c r="AG189" i="22" s="1"/>
  <c r="AO176" i="22"/>
  <c r="AM189" i="22"/>
  <c r="AO186" i="22"/>
  <c r="AQ186" i="22" s="1"/>
  <c r="AS186" i="22" s="1"/>
  <c r="AU186" i="22" s="1"/>
  <c r="AW23" i="22"/>
  <c r="AO181" i="22"/>
  <c r="AA182" i="22"/>
  <c r="I182" i="22"/>
  <c r="AO188" i="22"/>
  <c r="AQ188" i="22" s="1"/>
  <c r="I172" i="22"/>
  <c r="AA172" i="22"/>
  <c r="AA180" i="22"/>
  <c r="I180" i="22"/>
  <c r="AS158" i="22"/>
  <c r="AU158" i="22" s="1"/>
  <c r="I174" i="22"/>
  <c r="AA174" i="22"/>
  <c r="AO160" i="22"/>
  <c r="AS27" i="22"/>
  <c r="AM164" i="22"/>
  <c r="AC171" i="22"/>
  <c r="W171" i="22"/>
  <c r="G171" i="22"/>
  <c r="AG171" i="22" s="1"/>
  <c r="AI171" i="22"/>
  <c r="Y171" i="22"/>
  <c r="U171" i="22"/>
  <c r="K171" i="22"/>
  <c r="Q171" i="22"/>
  <c r="O171" i="22"/>
  <c r="AE171" i="22" s="1"/>
  <c r="M171" i="22"/>
  <c r="AI164" i="22"/>
  <c r="G164" i="22"/>
  <c r="AG164" i="22" s="1"/>
  <c r="AC164" i="22"/>
  <c r="W164" i="22"/>
  <c r="U164" i="22"/>
  <c r="Q164" i="22"/>
  <c r="O164" i="22"/>
  <c r="AE164" i="22" s="1"/>
  <c r="M164" i="22"/>
  <c r="Y164" i="22"/>
  <c r="K164" i="22"/>
  <c r="AO183" i="22"/>
  <c r="AC177" i="22"/>
  <c r="Y177" i="22"/>
  <c r="W177" i="22"/>
  <c r="U177" i="22"/>
  <c r="Q177" i="22"/>
  <c r="O177" i="22"/>
  <c r="AE177" i="22" s="1"/>
  <c r="K177" i="22"/>
  <c r="AI177" i="22"/>
  <c r="M177" i="22"/>
  <c r="G177" i="22"/>
  <c r="AG177" i="22" s="1"/>
  <c r="W165" i="22"/>
  <c r="O165" i="22"/>
  <c r="AE165" i="22" s="1"/>
  <c r="Y165" i="22"/>
  <c r="U165" i="22"/>
  <c r="Q165" i="22"/>
  <c r="M165" i="22"/>
  <c r="AI165" i="22"/>
  <c r="AC165" i="22"/>
  <c r="K165" i="22"/>
  <c r="G165" i="22"/>
  <c r="AG165" i="22" s="1"/>
  <c r="AA170" i="22"/>
  <c r="I170" i="22"/>
  <c r="AM190" i="22"/>
  <c r="AW24" i="22"/>
  <c r="AY24" i="22" s="1"/>
  <c r="AO178" i="22"/>
  <c r="M173" i="22"/>
  <c r="G173" i="22"/>
  <c r="AG173" i="22" s="1"/>
  <c r="O173" i="22"/>
  <c r="AE173" i="22" s="1"/>
  <c r="K173" i="22"/>
  <c r="AC173" i="22"/>
  <c r="Y173" i="22"/>
  <c r="W173" i="22"/>
  <c r="U173" i="22"/>
  <c r="Q173" i="22"/>
  <c r="AI173" i="22"/>
  <c r="Q169" i="22"/>
  <c r="K169" i="22"/>
  <c r="AI169" i="22"/>
  <c r="AC169" i="22"/>
  <c r="Y169" i="22"/>
  <c r="U169" i="22"/>
  <c r="W169" i="22"/>
  <c r="O169" i="22"/>
  <c r="AE169" i="22" s="1"/>
  <c r="M169" i="22"/>
  <c r="G169" i="22"/>
  <c r="AG169" i="22" s="1"/>
  <c r="AI176" i="22"/>
  <c r="G176" i="22"/>
  <c r="AG176" i="22" s="1"/>
  <c r="Q176" i="22"/>
  <c r="K176" i="22"/>
  <c r="W176" i="22"/>
  <c r="U176" i="22"/>
  <c r="O176" i="22"/>
  <c r="AE176" i="22" s="1"/>
  <c r="M176" i="22"/>
  <c r="AC176" i="22"/>
  <c r="Y176" i="22"/>
  <c r="AW180" i="22"/>
  <c r="AO165" i="22"/>
  <c r="AO187" i="22"/>
  <c r="AQ187" i="22" s="1"/>
  <c r="Y175" i="22"/>
  <c r="Q175" i="22"/>
  <c r="U175" i="22"/>
  <c r="O175" i="22"/>
  <c r="AE175" i="22" s="1"/>
  <c r="M175" i="22"/>
  <c r="K175" i="22"/>
  <c r="AI175" i="22"/>
  <c r="AC175" i="22"/>
  <c r="W175" i="22"/>
  <c r="G175" i="22"/>
  <c r="AG175" i="22" s="1"/>
  <c r="AI181" i="22"/>
  <c r="Y181" i="22"/>
  <c r="AC181" i="22"/>
  <c r="W181" i="22"/>
  <c r="Q181" i="22"/>
  <c r="U181" i="22"/>
  <c r="O181" i="22"/>
  <c r="AE181" i="22" s="1"/>
  <c r="M181" i="22"/>
  <c r="K181" i="22"/>
  <c r="G181" i="22"/>
  <c r="AG181" i="22" s="1"/>
  <c r="I184" i="22"/>
  <c r="AA184" i="22"/>
  <c r="AS26" i="22"/>
  <c r="AQ157" i="22"/>
  <c r="K163" i="22"/>
  <c r="AI163" i="22"/>
  <c r="U163" i="22"/>
  <c r="Q163" i="22"/>
  <c r="O163" i="22"/>
  <c r="AE163" i="22" s="1"/>
  <c r="M163" i="22"/>
  <c r="AC163" i="22"/>
  <c r="G163" i="22"/>
  <c r="AG163" i="22" s="1"/>
  <c r="Y163" i="22"/>
  <c r="W163" i="22"/>
  <c r="AI186" i="22"/>
  <c r="G186" i="22"/>
  <c r="AG186" i="22" s="1"/>
  <c r="M186" i="22"/>
  <c r="K186" i="22"/>
  <c r="AC186" i="22"/>
  <c r="O186" i="22"/>
  <c r="AE186" i="22" s="1"/>
  <c r="Y186" i="22"/>
  <c r="W186" i="22"/>
  <c r="Q186" i="22"/>
  <c r="U186" i="22"/>
  <c r="AF132" i="20"/>
  <c r="K134" i="20"/>
  <c r="AC134" i="20"/>
  <c r="AQ11" i="20"/>
  <c r="E87" i="20"/>
  <c r="AK132" i="20"/>
  <c r="AM132" i="20" s="1"/>
  <c r="AF133" i="20"/>
  <c r="AF48" i="20"/>
  <c r="AF49" i="20"/>
  <c r="AF131" i="20"/>
  <c r="AK131" i="20"/>
  <c r="AM131" i="20" s="1"/>
  <c r="AF21" i="20"/>
  <c r="AK48" i="20"/>
  <c r="AK49" i="20"/>
  <c r="AM49" i="20" s="1"/>
  <c r="AK20" i="20"/>
  <c r="AM20" i="20" s="1"/>
  <c r="AO20" i="20" s="1"/>
  <c r="AF20" i="20"/>
  <c r="AK21" i="20"/>
  <c r="AF22" i="20"/>
  <c r="AM21" i="20"/>
  <c r="AO21" i="20" s="1"/>
  <c r="AK22" i="20"/>
  <c r="G134" i="20"/>
  <c r="I134" i="20"/>
  <c r="M134" i="20"/>
  <c r="O134" i="20"/>
  <c r="Q134" i="20"/>
  <c r="S134" i="20"/>
  <c r="U134" i="20"/>
  <c r="W134" i="20"/>
  <c r="Y134" i="20"/>
  <c r="J42" i="20"/>
  <c r="F79" i="23" l="1"/>
  <c r="D171" i="23"/>
  <c r="BI105" i="22"/>
  <c r="BI104" i="22"/>
  <c r="AY112" i="22"/>
  <c r="BA112" i="22" s="1"/>
  <c r="BC112" i="22" s="1"/>
  <c r="BG116" i="22"/>
  <c r="BI116" i="22" s="1"/>
  <c r="AY114" i="22"/>
  <c r="BA114" i="22" s="1"/>
  <c r="BA119" i="22"/>
  <c r="BC119" i="22" s="1"/>
  <c r="AW124" i="22"/>
  <c r="AY124" i="22" s="1"/>
  <c r="BA130" i="22"/>
  <c r="BC130" i="22" s="1"/>
  <c r="AY76" i="22"/>
  <c r="BA76" i="22" s="1"/>
  <c r="AJ174" i="22"/>
  <c r="AJ166" i="22"/>
  <c r="BA128" i="22"/>
  <c r="BC128" i="22" s="1"/>
  <c r="BE128" i="22" s="1"/>
  <c r="AJ172" i="22"/>
  <c r="AJ183" i="22"/>
  <c r="AJ182" i="22"/>
  <c r="BG66" i="22"/>
  <c r="BI66" i="22" s="1"/>
  <c r="AJ180" i="22"/>
  <c r="AJ184" i="22"/>
  <c r="AJ170" i="22"/>
  <c r="AA162" i="22"/>
  <c r="AA179" i="22"/>
  <c r="AY78" i="22"/>
  <c r="BA78" i="22" s="1"/>
  <c r="AA161" i="22"/>
  <c r="BC140" i="22"/>
  <c r="BE140" i="22" s="1"/>
  <c r="BG140" i="22" s="1"/>
  <c r="AU84" i="22"/>
  <c r="BA43" i="22"/>
  <c r="BC43" i="22" s="1"/>
  <c r="BE43" i="22" s="1"/>
  <c r="BA71" i="22"/>
  <c r="BC71" i="22" s="1"/>
  <c r="AY146" i="22"/>
  <c r="BA146" i="22" s="1"/>
  <c r="AY142" i="22"/>
  <c r="BE139" i="22"/>
  <c r="BG139" i="22" s="1"/>
  <c r="AW74" i="22"/>
  <c r="AY74" i="22" s="1"/>
  <c r="AW79" i="22"/>
  <c r="AY79" i="22" s="1"/>
  <c r="BE150" i="22"/>
  <c r="BG150" i="22" s="1"/>
  <c r="BC154" i="22"/>
  <c r="BE154" i="22" s="1"/>
  <c r="BG154" i="22" s="1"/>
  <c r="AU46" i="22"/>
  <c r="BG152" i="22"/>
  <c r="BI152" i="22" s="1"/>
  <c r="BE42" i="22"/>
  <c r="BG42" i="22" s="1"/>
  <c r="BC41" i="22"/>
  <c r="BE41" i="22" s="1"/>
  <c r="BG41" i="22" s="1"/>
  <c r="BI41" i="22" s="1"/>
  <c r="AW86" i="22"/>
  <c r="AY86" i="22" s="1"/>
  <c r="BA145" i="22"/>
  <c r="BC145" i="22" s="1"/>
  <c r="BE144" i="22"/>
  <c r="BG144" i="22" s="1"/>
  <c r="BE151" i="22"/>
  <c r="BG151" i="22" s="1"/>
  <c r="BI151" i="22" s="1"/>
  <c r="BG47" i="22"/>
  <c r="AY129" i="22"/>
  <c r="BA129" i="22" s="1"/>
  <c r="BC90" i="22"/>
  <c r="BE90" i="22" s="1"/>
  <c r="BG90" i="22" s="1"/>
  <c r="BC153" i="22"/>
  <c r="BE153" i="22" s="1"/>
  <c r="AW135" i="22"/>
  <c r="BC36" i="22"/>
  <c r="BA72" i="22"/>
  <c r="AY149" i="22"/>
  <c r="BA149" i="22" s="1"/>
  <c r="BA141" i="22"/>
  <c r="AY133" i="22"/>
  <c r="AY69" i="22"/>
  <c r="BA69" i="22" s="1"/>
  <c r="AW81" i="22"/>
  <c r="AY81" i="22" s="1"/>
  <c r="AY70" i="22"/>
  <c r="BA70" i="22" s="1"/>
  <c r="BC73" i="22"/>
  <c r="BE73" i="22" s="1"/>
  <c r="BE65" i="22"/>
  <c r="BG65" i="22" s="1"/>
  <c r="BE147" i="22"/>
  <c r="BG147" i="22" s="1"/>
  <c r="AW80" i="22"/>
  <c r="AY80" i="22" s="1"/>
  <c r="BA80" i="22" s="1"/>
  <c r="BG91" i="22"/>
  <c r="BC131" i="22"/>
  <c r="BE131" i="22" s="1"/>
  <c r="BG131" i="22" s="1"/>
  <c r="I179" i="22"/>
  <c r="I162" i="22"/>
  <c r="I161" i="22"/>
  <c r="AS168" i="22"/>
  <c r="AU168" i="22" s="1"/>
  <c r="AQ185" i="22"/>
  <c r="AS185" i="22" s="1"/>
  <c r="AY25" i="22"/>
  <c r="BA25" i="22" s="1"/>
  <c r="BC25" i="22" s="1"/>
  <c r="BA24" i="22"/>
  <c r="BC24" i="22" s="1"/>
  <c r="BE24" i="22" s="1"/>
  <c r="AU167" i="22"/>
  <c r="AW167" i="22" s="1"/>
  <c r="AA167" i="22"/>
  <c r="I167" i="22"/>
  <c r="AA185" i="22"/>
  <c r="I185" i="22"/>
  <c r="I168" i="22"/>
  <c r="AA168" i="22"/>
  <c r="AQ159" i="22"/>
  <c r="AS159" i="22" s="1"/>
  <c r="AQ169" i="22"/>
  <c r="AS169" i="22" s="1"/>
  <c r="AU169" i="22" s="1"/>
  <c r="AW169" i="22" s="1"/>
  <c r="AU179" i="22"/>
  <c r="AW179" i="22" s="1"/>
  <c r="AS172" i="22"/>
  <c r="AU172" i="22" s="1"/>
  <c r="AY162" i="22"/>
  <c r="BA162" i="22" s="1"/>
  <c r="AS188" i="22"/>
  <c r="AU188" i="22" s="1"/>
  <c r="AS157" i="22"/>
  <c r="AU157" i="22" s="1"/>
  <c r="AW157" i="22" s="1"/>
  <c r="AY23" i="22"/>
  <c r="BA23" i="22" s="1"/>
  <c r="AA165" i="22"/>
  <c r="I165" i="22"/>
  <c r="AQ178" i="22"/>
  <c r="I171" i="22"/>
  <c r="AA171" i="22"/>
  <c r="AV202" i="22"/>
  <c r="I187" i="22"/>
  <c r="AA187" i="22"/>
  <c r="AO164" i="22"/>
  <c r="AO189" i="22"/>
  <c r="AW186" i="22"/>
  <c r="AY186" i="22" s="1"/>
  <c r="AQ176" i="22"/>
  <c r="I186" i="22"/>
  <c r="AA186" i="22"/>
  <c r="AQ165" i="22"/>
  <c r="AS165" i="22" s="1"/>
  <c r="AY180" i="22"/>
  <c r="BA180" i="22" s="1"/>
  <c r="AQ183" i="22"/>
  <c r="AS183" i="22" s="1"/>
  <c r="AO173" i="22"/>
  <c r="AQ181" i="22"/>
  <c r="AS181" i="22" s="1"/>
  <c r="AS187" i="22"/>
  <c r="AU187" i="22" s="1"/>
  <c r="AW187" i="22" s="1"/>
  <c r="AQ174" i="22"/>
  <c r="AU26" i="22"/>
  <c r="I177" i="22"/>
  <c r="AA177" i="22"/>
  <c r="I164" i="22"/>
  <c r="AA164" i="22"/>
  <c r="AU27" i="22"/>
  <c r="I190" i="22"/>
  <c r="AA190" i="22"/>
  <c r="AO171" i="22"/>
  <c r="AQ171" i="22" s="1"/>
  <c r="AA169" i="22"/>
  <c r="I169" i="22"/>
  <c r="AQ160" i="22"/>
  <c r="AS160" i="22" s="1"/>
  <c r="AU160" i="22" s="1"/>
  <c r="AO177" i="22"/>
  <c r="AW158" i="22"/>
  <c r="AY158" i="22" s="1"/>
  <c r="AQ161" i="22"/>
  <c r="AS161" i="22" s="1"/>
  <c r="AU170" i="22"/>
  <c r="AW170" i="22" s="1"/>
  <c r="I163" i="22"/>
  <c r="AA163" i="22"/>
  <c r="I175" i="22"/>
  <c r="AA175" i="22"/>
  <c r="I173" i="22"/>
  <c r="AA173" i="22"/>
  <c r="AY155" i="22"/>
  <c r="BA155" i="22" s="1"/>
  <c r="I189" i="22"/>
  <c r="AA189" i="22"/>
  <c r="AS182" i="22"/>
  <c r="AS184" i="22"/>
  <c r="AO163" i="22"/>
  <c r="AA181" i="22"/>
  <c r="I181" i="22"/>
  <c r="AO190" i="22"/>
  <c r="AS166" i="22"/>
  <c r="AU166" i="22" s="1"/>
  <c r="AA176" i="22"/>
  <c r="I176" i="22"/>
  <c r="AU175" i="22"/>
  <c r="AW175" i="22" s="1"/>
  <c r="AS11" i="20"/>
  <c r="AO132" i="20"/>
  <c r="AO131" i="20"/>
  <c r="AQ131" i="20" s="1"/>
  <c r="AQ20" i="20"/>
  <c r="AS20" i="20" s="1"/>
  <c r="AU20" i="20" s="1"/>
  <c r="AO49" i="20"/>
  <c r="AM48" i="20"/>
  <c r="AQ21" i="20"/>
  <c r="AS21" i="20" s="1"/>
  <c r="AM22" i="20"/>
  <c r="AF134" i="20"/>
  <c r="Z42" i="20"/>
  <c r="N79" i="23" l="1"/>
  <c r="F171" i="23"/>
  <c r="J79" i="23"/>
  <c r="AB79" i="23"/>
  <c r="R79" i="23"/>
  <c r="L79" i="23"/>
  <c r="AV79" i="23"/>
  <c r="AX79" i="23" s="1"/>
  <c r="P79" i="23"/>
  <c r="AH79" i="23"/>
  <c r="Z79" i="23"/>
  <c r="T79" i="23"/>
  <c r="AL79" i="23"/>
  <c r="V79" i="23"/>
  <c r="AP79" i="23"/>
  <c r="AD79" i="23"/>
  <c r="X79" i="23"/>
  <c r="H79" i="23"/>
  <c r="AJ79" i="23"/>
  <c r="AF79" i="23"/>
  <c r="AN79" i="23"/>
  <c r="AL171" i="23"/>
  <c r="T171" i="23"/>
  <c r="AD171" i="23"/>
  <c r="BE112" i="22"/>
  <c r="AY125" i="22"/>
  <c r="BA125" i="22" s="1"/>
  <c r="BC111" i="22"/>
  <c r="BC114" i="22"/>
  <c r="BC113" i="22"/>
  <c r="BE119" i="22"/>
  <c r="BG119" i="22" s="1"/>
  <c r="BA124" i="22"/>
  <c r="BC124" i="22" s="1"/>
  <c r="BE130" i="22"/>
  <c r="BG130" i="22" s="1"/>
  <c r="BC76" i="22"/>
  <c r="BE76" i="22" s="1"/>
  <c r="BG76" i="22" s="1"/>
  <c r="AJ161" i="22"/>
  <c r="AJ164" i="22"/>
  <c r="AJ169" i="22"/>
  <c r="AJ167" i="22"/>
  <c r="AJ173" i="22"/>
  <c r="AJ171" i="22"/>
  <c r="AJ190" i="22"/>
  <c r="AJ186" i="22"/>
  <c r="AJ168" i="22"/>
  <c r="AJ163" i="22"/>
  <c r="AJ165" i="22"/>
  <c r="AJ175" i="22"/>
  <c r="AJ177" i="22"/>
  <c r="AJ189" i="22"/>
  <c r="AJ187" i="22"/>
  <c r="AJ181" i="22"/>
  <c r="AJ179" i="22"/>
  <c r="BG128" i="22"/>
  <c r="BI128" i="22" s="1"/>
  <c r="AJ162" i="22"/>
  <c r="AJ185" i="22"/>
  <c r="AJ176" i="22"/>
  <c r="BC78" i="22"/>
  <c r="BE78" i="22" s="1"/>
  <c r="BG78" i="22" s="1"/>
  <c r="AW84" i="22"/>
  <c r="BI35" i="22"/>
  <c r="BE71" i="22"/>
  <c r="BG71" i="22" s="1"/>
  <c r="BG43" i="22"/>
  <c r="BI43" i="22" s="1"/>
  <c r="BA81" i="22"/>
  <c r="BI139" i="22"/>
  <c r="BA142" i="22"/>
  <c r="BC142" i="22" s="1"/>
  <c r="BE142" i="22" s="1"/>
  <c r="BG142" i="22" s="1"/>
  <c r="BA79" i="22"/>
  <c r="BC79" i="22" s="1"/>
  <c r="AW46" i="22"/>
  <c r="AY46" i="22" s="1"/>
  <c r="BA46" i="22" s="1"/>
  <c r="BA74" i="22"/>
  <c r="BC129" i="22"/>
  <c r="BE129" i="22" s="1"/>
  <c r="BG129" i="22" s="1"/>
  <c r="BC146" i="22"/>
  <c r="BE146" i="22" s="1"/>
  <c r="BG146" i="22" s="1"/>
  <c r="BI154" i="22"/>
  <c r="BG40" i="22"/>
  <c r="BI40" i="22" s="1"/>
  <c r="BA86" i="22"/>
  <c r="BC86" i="22" s="1"/>
  <c r="BE86" i="22" s="1"/>
  <c r="AY135" i="22"/>
  <c r="BE145" i="22"/>
  <c r="BG73" i="22"/>
  <c r="BI73" i="22" s="1"/>
  <c r="BC141" i="22"/>
  <c r="BE141" i="22" s="1"/>
  <c r="BG141" i="22" s="1"/>
  <c r="BC70" i="22"/>
  <c r="BE70" i="22" s="1"/>
  <c r="BG70" i="22" s="1"/>
  <c r="BG153" i="22"/>
  <c r="BI153" i="22" s="1"/>
  <c r="BC80" i="22"/>
  <c r="BE80" i="22" s="1"/>
  <c r="BC69" i="22"/>
  <c r="BE69" i="22" s="1"/>
  <c r="BE36" i="22"/>
  <c r="BG36" i="22" s="1"/>
  <c r="BC72" i="22"/>
  <c r="BE72" i="22" s="1"/>
  <c r="AY44" i="22"/>
  <c r="BA44" i="22" s="1"/>
  <c r="BC132" i="22"/>
  <c r="BE132" i="22" s="1"/>
  <c r="BE33" i="22"/>
  <c r="BC149" i="22"/>
  <c r="BE149" i="22" s="1"/>
  <c r="BE68" i="22"/>
  <c r="BG68" i="22" s="1"/>
  <c r="BA133" i="22"/>
  <c r="BE25" i="22"/>
  <c r="BG25" i="22" s="1"/>
  <c r="BI25" i="22" s="1"/>
  <c r="AW168" i="22"/>
  <c r="AY168" i="22" s="1"/>
  <c r="BA168" i="22" s="1"/>
  <c r="BC168" i="22" s="1"/>
  <c r="BE168" i="22" s="1"/>
  <c r="AY167" i="22"/>
  <c r="BA167" i="22" s="1"/>
  <c r="BC167" i="22" s="1"/>
  <c r="AU185" i="22"/>
  <c r="AW185" i="22" s="1"/>
  <c r="AY185" i="22" s="1"/>
  <c r="BA186" i="22"/>
  <c r="BC186" i="22" s="1"/>
  <c r="AW188" i="22"/>
  <c r="AY179" i="22"/>
  <c r="BA179" i="22" s="1"/>
  <c r="AU159" i="22"/>
  <c r="AW159" i="22" s="1"/>
  <c r="BC162" i="22"/>
  <c r="BE162" i="22" s="1"/>
  <c r="BG24" i="22"/>
  <c r="BI24" i="22" s="1"/>
  <c r="BI150" i="22"/>
  <c r="AU161" i="22"/>
  <c r="AW161" i="22" s="1"/>
  <c r="AY161" i="22" s="1"/>
  <c r="AY170" i="22"/>
  <c r="BA170" i="22" s="1"/>
  <c r="BA158" i="22"/>
  <c r="BC158" i="22" s="1"/>
  <c r="BE158" i="22" s="1"/>
  <c r="AQ173" i="22"/>
  <c r="BI89" i="22"/>
  <c r="BC155" i="22"/>
  <c r="BE155" i="22" s="1"/>
  <c r="BI147" i="22"/>
  <c r="AW26" i="22"/>
  <c r="AS174" i="22"/>
  <c r="BI134" i="22"/>
  <c r="AU165" i="22"/>
  <c r="AW165" i="22" s="1"/>
  <c r="AY187" i="22"/>
  <c r="AU183" i="22"/>
  <c r="AQ190" i="22"/>
  <c r="AS190" i="22" s="1"/>
  <c r="AU190" i="22" s="1"/>
  <c r="AQ189" i="22"/>
  <c r="AW172" i="22"/>
  <c r="AY172" i="22" s="1"/>
  <c r="AQ164" i="22"/>
  <c r="AS164" i="22" s="1"/>
  <c r="AQ177" i="22"/>
  <c r="AS177" i="22" s="1"/>
  <c r="AU181" i="22"/>
  <c r="AW181" i="22" s="1"/>
  <c r="AS176" i="22"/>
  <c r="AU176" i="22" s="1"/>
  <c r="AY157" i="22"/>
  <c r="AS171" i="22"/>
  <c r="AX202" i="22"/>
  <c r="AY169" i="22"/>
  <c r="AW27" i="22"/>
  <c r="AY27" i="22" s="1"/>
  <c r="BC180" i="22"/>
  <c r="AU184" i="22"/>
  <c r="AW160" i="22"/>
  <c r="AY160" i="22" s="1"/>
  <c r="AY175" i="22"/>
  <c r="AS178" i="22"/>
  <c r="AU178" i="22" s="1"/>
  <c r="BI32" i="22"/>
  <c r="AW166" i="22"/>
  <c r="AQ163" i="22"/>
  <c r="AU182" i="22"/>
  <c r="BC23" i="22"/>
  <c r="AS131" i="20"/>
  <c r="AU131" i="20" s="1"/>
  <c r="AU11" i="20"/>
  <c r="BA11" i="20" s="1"/>
  <c r="AW11" i="20"/>
  <c r="AY11" i="20"/>
  <c r="AQ132" i="20"/>
  <c r="AS132" i="20" s="1"/>
  <c r="AQ49" i="20"/>
  <c r="AS49" i="20" s="1"/>
  <c r="AW131" i="20"/>
  <c r="AY131" i="20" s="1"/>
  <c r="AU21" i="20"/>
  <c r="AW20" i="20"/>
  <c r="AY20" i="20" s="1"/>
  <c r="AO48" i="20"/>
  <c r="AO22" i="20"/>
  <c r="AD40" i="20"/>
  <c r="V53" i="20"/>
  <c r="W53" i="20" s="1"/>
  <c r="T53" i="20"/>
  <c r="U53" i="20" s="1"/>
  <c r="R53" i="20"/>
  <c r="S53" i="20" s="1"/>
  <c r="P53" i="20"/>
  <c r="Q53" i="20" s="1"/>
  <c r="AD53" i="20"/>
  <c r="AE53" i="20" s="1"/>
  <c r="M54" i="20"/>
  <c r="L53" i="20"/>
  <c r="M53" i="20" s="1"/>
  <c r="T52" i="20"/>
  <c r="AD52" i="20"/>
  <c r="U54" i="20"/>
  <c r="AD27" i="20"/>
  <c r="AE27" i="20" s="1"/>
  <c r="P31" i="20"/>
  <c r="Q31" i="20" s="1"/>
  <c r="AD31" i="20"/>
  <c r="AE31" i="20" s="1"/>
  <c r="V61" i="20"/>
  <c r="W61" i="20" s="1"/>
  <c r="L140" i="20"/>
  <c r="AD140" i="20"/>
  <c r="C140" i="20"/>
  <c r="V31" i="20"/>
  <c r="W31" i="20" s="1"/>
  <c r="T31" i="20"/>
  <c r="U31" i="20" s="1"/>
  <c r="L136" i="20"/>
  <c r="M136" i="20" s="1"/>
  <c r="AD136" i="20"/>
  <c r="AE136" i="20" s="1"/>
  <c r="AW13" i="20"/>
  <c r="D52" i="20"/>
  <c r="E52" i="20" s="1"/>
  <c r="D86" i="20"/>
  <c r="E86" i="20" s="1"/>
  <c r="AW62" i="20"/>
  <c r="C59" i="19"/>
  <c r="AW40" i="20"/>
  <c r="AW36" i="20"/>
  <c r="AW38" i="20"/>
  <c r="AX88" i="20"/>
  <c r="AW88" i="20" s="1"/>
  <c r="AX79" i="20"/>
  <c r="AW79" i="20" s="1"/>
  <c r="AX55" i="20"/>
  <c r="AW55" i="20" s="1"/>
  <c r="AX44" i="20"/>
  <c r="AW44" i="20" s="1"/>
  <c r="E137" i="20"/>
  <c r="S137" i="20" s="1"/>
  <c r="AU55" i="20"/>
  <c r="AU62" i="20"/>
  <c r="P75" i="20"/>
  <c r="AV75" i="20"/>
  <c r="AU75" i="20" s="1"/>
  <c r="AU88" i="20"/>
  <c r="AU13" i="20"/>
  <c r="AV43" i="20"/>
  <c r="AU43" i="20" s="1"/>
  <c r="N43" i="20"/>
  <c r="AD43" i="20"/>
  <c r="P43" i="20"/>
  <c r="AU38" i="20"/>
  <c r="AV40" i="20"/>
  <c r="AU40" i="20" s="1"/>
  <c r="AU44" i="20"/>
  <c r="O80" i="20"/>
  <c r="O81" i="20"/>
  <c r="O82" i="20"/>
  <c r="O83" i="20"/>
  <c r="O84" i="20"/>
  <c r="O85" i="20"/>
  <c r="G55" i="20"/>
  <c r="AE101" i="20"/>
  <c r="AC101" i="20"/>
  <c r="AA101" i="20"/>
  <c r="Y101" i="20"/>
  <c r="W101" i="20"/>
  <c r="U101" i="20"/>
  <c r="S101" i="20"/>
  <c r="Q101" i="20"/>
  <c r="O101" i="20"/>
  <c r="M101" i="20"/>
  <c r="K101" i="20"/>
  <c r="I101" i="20"/>
  <c r="G101" i="20"/>
  <c r="AE102" i="20"/>
  <c r="AC102" i="20"/>
  <c r="AA102" i="20"/>
  <c r="Y102" i="20"/>
  <c r="W102" i="20"/>
  <c r="U102" i="20"/>
  <c r="S102" i="20"/>
  <c r="Q102" i="20"/>
  <c r="O102" i="20"/>
  <c r="M102" i="20"/>
  <c r="K102" i="20"/>
  <c r="I102" i="20"/>
  <c r="G102" i="20"/>
  <c r="AS108" i="20"/>
  <c r="AS36" i="20"/>
  <c r="AS87" i="20"/>
  <c r="AS38" i="20"/>
  <c r="AS43" i="20"/>
  <c r="AS75" i="20"/>
  <c r="AS44" i="20"/>
  <c r="AT42" i="20"/>
  <c r="AS42" i="20" s="1"/>
  <c r="D42" i="20"/>
  <c r="AT40" i="20"/>
  <c r="AS40" i="20" s="1"/>
  <c r="D65" i="20"/>
  <c r="AM71" i="20"/>
  <c r="D71" i="20"/>
  <c r="C123" i="20"/>
  <c r="C79" i="20"/>
  <c r="P62" i="20"/>
  <c r="Q62" i="20" s="1"/>
  <c r="V62" i="20"/>
  <c r="W62" i="20" s="1"/>
  <c r="V124" i="20"/>
  <c r="D124" i="20"/>
  <c r="E55" i="19"/>
  <c r="D55" i="19"/>
  <c r="AR77" i="20"/>
  <c r="C77" i="20"/>
  <c r="D77" i="20" s="1"/>
  <c r="E77" i="20" s="1"/>
  <c r="J77" i="20"/>
  <c r="AQ38" i="20"/>
  <c r="AE138" i="20"/>
  <c r="AC138" i="20"/>
  <c r="AA138" i="20"/>
  <c r="Y138" i="20"/>
  <c r="W138" i="20"/>
  <c r="U138" i="20"/>
  <c r="S138" i="20"/>
  <c r="Q138" i="20"/>
  <c r="O138" i="20"/>
  <c r="M138" i="20"/>
  <c r="K138" i="20"/>
  <c r="I138" i="20"/>
  <c r="G138" i="20"/>
  <c r="AC136" i="20"/>
  <c r="AA136" i="20"/>
  <c r="Y136" i="20"/>
  <c r="W136" i="20"/>
  <c r="U136" i="20"/>
  <c r="S136" i="20"/>
  <c r="Q136" i="20"/>
  <c r="O136" i="20"/>
  <c r="K136" i="20"/>
  <c r="I136" i="20"/>
  <c r="G136" i="20"/>
  <c r="AE135" i="20"/>
  <c r="AC135" i="20"/>
  <c r="AA135" i="20"/>
  <c r="Y135" i="20"/>
  <c r="W135" i="20"/>
  <c r="U135" i="20"/>
  <c r="S135" i="20"/>
  <c r="Q135" i="20"/>
  <c r="O135" i="20"/>
  <c r="M135" i="20"/>
  <c r="K135" i="20"/>
  <c r="I135" i="20"/>
  <c r="G135" i="20"/>
  <c r="AI121" i="20"/>
  <c r="AE121" i="20"/>
  <c r="AC121" i="20"/>
  <c r="AA121" i="20"/>
  <c r="Y121" i="20"/>
  <c r="W121" i="20"/>
  <c r="U121" i="20"/>
  <c r="S121" i="20"/>
  <c r="Q121" i="20"/>
  <c r="O121" i="20"/>
  <c r="M121" i="20"/>
  <c r="K121" i="20"/>
  <c r="I121" i="20"/>
  <c r="G121" i="20"/>
  <c r="AI120" i="20"/>
  <c r="AK120" i="20" s="1"/>
  <c r="AE120" i="20"/>
  <c r="AC120" i="20"/>
  <c r="AA120" i="20"/>
  <c r="Y120" i="20"/>
  <c r="W120" i="20"/>
  <c r="U120" i="20"/>
  <c r="S120" i="20"/>
  <c r="Q120" i="20"/>
  <c r="O120" i="20"/>
  <c r="M120" i="20"/>
  <c r="K120" i="20"/>
  <c r="I120" i="20"/>
  <c r="G120" i="20"/>
  <c r="AI119" i="20"/>
  <c r="AE119" i="20"/>
  <c r="AC119" i="20"/>
  <c r="AA119" i="20"/>
  <c r="Y119" i="20"/>
  <c r="W119" i="20"/>
  <c r="U119" i="20"/>
  <c r="S119" i="20"/>
  <c r="Q119" i="20"/>
  <c r="O119" i="20"/>
  <c r="M119" i="20"/>
  <c r="K119" i="20"/>
  <c r="I119" i="20"/>
  <c r="G119" i="20"/>
  <c r="AI118" i="20"/>
  <c r="AE118" i="20"/>
  <c r="AC118" i="20"/>
  <c r="AA118" i="20"/>
  <c r="Y118" i="20"/>
  <c r="W118" i="20"/>
  <c r="U118" i="20"/>
  <c r="S118" i="20"/>
  <c r="Q118" i="20"/>
  <c r="O118" i="20"/>
  <c r="M118" i="20"/>
  <c r="K118" i="20"/>
  <c r="I118" i="20"/>
  <c r="G118" i="20"/>
  <c r="AE107" i="20"/>
  <c r="AC107" i="20"/>
  <c r="AA107" i="20"/>
  <c r="Y107" i="20"/>
  <c r="W107" i="20"/>
  <c r="U107" i="20"/>
  <c r="S107" i="20"/>
  <c r="Q107" i="20"/>
  <c r="O107" i="20"/>
  <c r="M107" i="20"/>
  <c r="K107" i="20"/>
  <c r="I107" i="20"/>
  <c r="G107" i="20"/>
  <c r="AE106" i="20"/>
  <c r="AC106" i="20"/>
  <c r="AA106" i="20"/>
  <c r="Y106" i="20"/>
  <c r="W106" i="20"/>
  <c r="U106" i="20"/>
  <c r="S106" i="20"/>
  <c r="Q106" i="20"/>
  <c r="O106" i="20"/>
  <c r="M106" i="20"/>
  <c r="K106" i="20"/>
  <c r="I106" i="20"/>
  <c r="G106" i="20"/>
  <c r="AI105" i="20"/>
  <c r="AE105" i="20"/>
  <c r="AC105" i="20"/>
  <c r="AA105" i="20"/>
  <c r="Y105" i="20"/>
  <c r="W105" i="20"/>
  <c r="U105" i="20"/>
  <c r="S105" i="20"/>
  <c r="Q105" i="20"/>
  <c r="O105" i="20"/>
  <c r="M105" i="20"/>
  <c r="K105" i="20"/>
  <c r="I105" i="20"/>
  <c r="G105" i="20"/>
  <c r="AE103" i="20"/>
  <c r="AC103" i="20"/>
  <c r="AA103" i="20"/>
  <c r="Y103" i="20"/>
  <c r="W103" i="20"/>
  <c r="U103" i="20"/>
  <c r="S103" i="20"/>
  <c r="Q103" i="20"/>
  <c r="O103" i="20"/>
  <c r="M103" i="20"/>
  <c r="K103" i="20"/>
  <c r="I103" i="20"/>
  <c r="G103" i="20"/>
  <c r="G83" i="20"/>
  <c r="I83" i="20"/>
  <c r="K83" i="20"/>
  <c r="M83" i="20"/>
  <c r="Q83" i="20"/>
  <c r="S83" i="20"/>
  <c r="U83" i="20"/>
  <c r="W83" i="20"/>
  <c r="Y83" i="20"/>
  <c r="AA83" i="20"/>
  <c r="AC83" i="20"/>
  <c r="AE83" i="20"/>
  <c r="G84" i="20"/>
  <c r="I84" i="20"/>
  <c r="K84" i="20"/>
  <c r="M84" i="20"/>
  <c r="Q84" i="20"/>
  <c r="S84" i="20"/>
  <c r="U84" i="20"/>
  <c r="W84" i="20"/>
  <c r="Y84" i="20"/>
  <c r="AA84" i="20"/>
  <c r="AC84" i="20"/>
  <c r="AE84" i="20"/>
  <c r="G85" i="20"/>
  <c r="I85" i="20"/>
  <c r="K85" i="20"/>
  <c r="M85" i="20"/>
  <c r="Q85" i="20"/>
  <c r="S85" i="20"/>
  <c r="U85" i="20"/>
  <c r="W85" i="20"/>
  <c r="Y85" i="20"/>
  <c r="AA85" i="20"/>
  <c r="AC85" i="20"/>
  <c r="AE85" i="20"/>
  <c r="AE51" i="20"/>
  <c r="AC51" i="20"/>
  <c r="AA51" i="20"/>
  <c r="Y51" i="20"/>
  <c r="W51" i="20"/>
  <c r="U51" i="20"/>
  <c r="S51" i="20"/>
  <c r="Q51" i="20"/>
  <c r="O51" i="20"/>
  <c r="M51" i="20"/>
  <c r="K51" i="20"/>
  <c r="I51" i="20"/>
  <c r="G51" i="20"/>
  <c r="AI50" i="20"/>
  <c r="AE50" i="20"/>
  <c r="AC50" i="20"/>
  <c r="AA50" i="20"/>
  <c r="Y50" i="20"/>
  <c r="W50" i="20"/>
  <c r="U50" i="20"/>
  <c r="S50" i="20"/>
  <c r="Q50" i="20"/>
  <c r="O50" i="20"/>
  <c r="M50" i="20"/>
  <c r="K50" i="20"/>
  <c r="I50" i="20"/>
  <c r="G50" i="20"/>
  <c r="G53" i="20"/>
  <c r="I53" i="20"/>
  <c r="K53" i="20"/>
  <c r="O53" i="20"/>
  <c r="Y53" i="20"/>
  <c r="AA53" i="20"/>
  <c r="AC53" i="20"/>
  <c r="G54" i="20"/>
  <c r="I54" i="20"/>
  <c r="K54" i="20"/>
  <c r="O54" i="20"/>
  <c r="Q54" i="20"/>
  <c r="S54" i="20"/>
  <c r="W54" i="20"/>
  <c r="Y54" i="20"/>
  <c r="AA54" i="20"/>
  <c r="AC54" i="20"/>
  <c r="AE54" i="20"/>
  <c r="I55" i="20"/>
  <c r="K55" i="20"/>
  <c r="M55" i="20"/>
  <c r="O55" i="20"/>
  <c r="Q55" i="20"/>
  <c r="S55" i="20"/>
  <c r="U55" i="20"/>
  <c r="W55" i="20"/>
  <c r="Y55" i="20"/>
  <c r="AA55" i="20"/>
  <c r="AC55" i="20"/>
  <c r="AE55" i="20"/>
  <c r="AE26" i="20"/>
  <c r="AC26" i="20"/>
  <c r="AA26" i="20"/>
  <c r="Y26" i="20"/>
  <c r="W26" i="20"/>
  <c r="U26" i="20"/>
  <c r="S26" i="20"/>
  <c r="Q26" i="20"/>
  <c r="O26" i="20"/>
  <c r="M26" i="20"/>
  <c r="K26" i="20"/>
  <c r="I26" i="20"/>
  <c r="G26" i="20"/>
  <c r="AE25" i="20"/>
  <c r="AC25" i="20"/>
  <c r="AA25" i="20"/>
  <c r="Y25" i="20"/>
  <c r="W25" i="20"/>
  <c r="U25" i="20"/>
  <c r="S25" i="20"/>
  <c r="Q25" i="20"/>
  <c r="O25" i="20"/>
  <c r="M25" i="20"/>
  <c r="K25" i="20"/>
  <c r="I25" i="20"/>
  <c r="G25" i="20"/>
  <c r="AE24" i="20"/>
  <c r="AC24" i="20"/>
  <c r="AA24" i="20"/>
  <c r="Y24" i="20"/>
  <c r="W24" i="20"/>
  <c r="U24" i="20"/>
  <c r="S24" i="20"/>
  <c r="Q24" i="20"/>
  <c r="O24" i="20"/>
  <c r="M24" i="20"/>
  <c r="K24" i="20"/>
  <c r="I24" i="20"/>
  <c r="G24" i="20"/>
  <c r="AK23" i="20"/>
  <c r="AM23" i="20" s="1"/>
  <c r="AE23" i="20"/>
  <c r="AC23" i="20"/>
  <c r="AA23" i="20"/>
  <c r="Y23" i="20"/>
  <c r="W23" i="20"/>
  <c r="U23" i="20"/>
  <c r="S23" i="20"/>
  <c r="Q23" i="20"/>
  <c r="O23" i="20"/>
  <c r="M23" i="20"/>
  <c r="K23" i="20"/>
  <c r="I23" i="20"/>
  <c r="G23" i="20"/>
  <c r="AI28" i="20"/>
  <c r="AE28" i="20"/>
  <c r="AC28" i="20"/>
  <c r="AA28" i="20"/>
  <c r="Y28" i="20"/>
  <c r="W28" i="20"/>
  <c r="U28" i="20"/>
  <c r="S28" i="20"/>
  <c r="Q28" i="20"/>
  <c r="O28" i="20"/>
  <c r="M28" i="20"/>
  <c r="K28" i="20"/>
  <c r="I28" i="20"/>
  <c r="G28" i="20"/>
  <c r="AC27" i="20"/>
  <c r="AA27" i="20"/>
  <c r="Y27" i="20"/>
  <c r="W27" i="20"/>
  <c r="U27" i="20"/>
  <c r="S27" i="20"/>
  <c r="Q27" i="20"/>
  <c r="O27" i="20"/>
  <c r="M27" i="20"/>
  <c r="K27" i="20"/>
  <c r="I27" i="20"/>
  <c r="G27" i="20"/>
  <c r="AQ40" i="20"/>
  <c r="AR88" i="20"/>
  <c r="AQ88" i="20" s="1"/>
  <c r="AR43" i="20"/>
  <c r="AC31" i="20"/>
  <c r="AA31" i="20"/>
  <c r="Y31" i="20"/>
  <c r="S31" i="20"/>
  <c r="O31" i="20"/>
  <c r="M31" i="20"/>
  <c r="K31" i="20"/>
  <c r="I31" i="20"/>
  <c r="G31" i="20"/>
  <c r="AI30" i="20"/>
  <c r="AE30" i="20"/>
  <c r="AC30" i="20"/>
  <c r="AA30" i="20"/>
  <c r="Y30" i="20"/>
  <c r="W30" i="20"/>
  <c r="U30" i="20"/>
  <c r="S30" i="20"/>
  <c r="Q30" i="20"/>
  <c r="O30" i="20"/>
  <c r="M30" i="20"/>
  <c r="K30" i="20"/>
  <c r="I30" i="20"/>
  <c r="G30" i="20"/>
  <c r="AI29" i="20"/>
  <c r="AE29" i="20"/>
  <c r="AC29" i="20"/>
  <c r="AA29" i="20"/>
  <c r="Y29" i="20"/>
  <c r="W29" i="20"/>
  <c r="U29" i="20"/>
  <c r="S29" i="20"/>
  <c r="Q29" i="20"/>
  <c r="O29" i="20"/>
  <c r="M29" i="20"/>
  <c r="K29" i="20"/>
  <c r="I29" i="20"/>
  <c r="G29" i="20"/>
  <c r="C13" i="20"/>
  <c r="AO40" i="20"/>
  <c r="D96" i="20"/>
  <c r="AO44" i="20"/>
  <c r="AP43" i="20"/>
  <c r="AO43" i="20" s="1"/>
  <c r="AO42" i="20"/>
  <c r="AO41" i="20"/>
  <c r="AO77" i="20"/>
  <c r="D75" i="20"/>
  <c r="E75" i="20" s="1"/>
  <c r="D69" i="19"/>
  <c r="AP72" i="20"/>
  <c r="AE62" i="20"/>
  <c r="AC62" i="20"/>
  <c r="AA62" i="20"/>
  <c r="Y62" i="20"/>
  <c r="U62" i="20"/>
  <c r="S62" i="20"/>
  <c r="O62" i="20"/>
  <c r="M62" i="20"/>
  <c r="K62" i="20"/>
  <c r="I62" i="20"/>
  <c r="G62" i="20"/>
  <c r="AE56" i="20"/>
  <c r="AC56" i="20"/>
  <c r="AA56" i="20"/>
  <c r="Y56" i="20"/>
  <c r="W56" i="20"/>
  <c r="U56" i="20"/>
  <c r="S56" i="20"/>
  <c r="Q56" i="20"/>
  <c r="O56" i="20"/>
  <c r="M56" i="20"/>
  <c r="K56" i="20"/>
  <c r="I56" i="20"/>
  <c r="G56" i="20"/>
  <c r="AE57" i="20"/>
  <c r="AC57" i="20"/>
  <c r="AA57" i="20"/>
  <c r="Y57" i="20"/>
  <c r="W57" i="20"/>
  <c r="U57" i="20"/>
  <c r="S57" i="20"/>
  <c r="Q57" i="20"/>
  <c r="O57" i="20"/>
  <c r="M57" i="20"/>
  <c r="K57" i="20"/>
  <c r="I57" i="20"/>
  <c r="G57" i="20"/>
  <c r="AE108" i="20"/>
  <c r="AC108" i="20"/>
  <c r="AA108" i="20"/>
  <c r="Y108" i="20"/>
  <c r="W108" i="20"/>
  <c r="U108" i="20"/>
  <c r="S108" i="20"/>
  <c r="Q108" i="20"/>
  <c r="O108" i="20"/>
  <c r="M108" i="20"/>
  <c r="K108" i="20"/>
  <c r="I108" i="20"/>
  <c r="G108" i="20"/>
  <c r="D122" i="20"/>
  <c r="E122" i="20" s="1"/>
  <c r="C122" i="20"/>
  <c r="AI82" i="20"/>
  <c r="AE82" i="20"/>
  <c r="AC82" i="20"/>
  <c r="AA82" i="20"/>
  <c r="Y82" i="20"/>
  <c r="W82" i="20"/>
  <c r="U82" i="20"/>
  <c r="S82" i="20"/>
  <c r="Q82" i="20"/>
  <c r="M82" i="20"/>
  <c r="K82" i="20"/>
  <c r="I82" i="20"/>
  <c r="G82" i="20"/>
  <c r="D91" i="20"/>
  <c r="G91" i="20"/>
  <c r="I91" i="20"/>
  <c r="K91" i="20"/>
  <c r="M91" i="20"/>
  <c r="O91" i="20"/>
  <c r="Q91" i="20"/>
  <c r="S91" i="20"/>
  <c r="U91" i="20"/>
  <c r="W91" i="20"/>
  <c r="Y91" i="20"/>
  <c r="AA91" i="20"/>
  <c r="AC91" i="20"/>
  <c r="AE91" i="20"/>
  <c r="AG91" i="20"/>
  <c r="AI19" i="20"/>
  <c r="AE19" i="20"/>
  <c r="AC19" i="20"/>
  <c r="AA19" i="20"/>
  <c r="Y19" i="20"/>
  <c r="W19" i="20"/>
  <c r="U19" i="20"/>
  <c r="S19" i="20"/>
  <c r="Q19" i="20"/>
  <c r="O19" i="20"/>
  <c r="M19" i="20"/>
  <c r="K19" i="20"/>
  <c r="I19" i="20"/>
  <c r="G19" i="20"/>
  <c r="AI80" i="20"/>
  <c r="AE80" i="20"/>
  <c r="AC80" i="20"/>
  <c r="AA80" i="20"/>
  <c r="Y80" i="20"/>
  <c r="W80" i="20"/>
  <c r="U80" i="20"/>
  <c r="S80" i="20"/>
  <c r="Q80" i="20"/>
  <c r="M80" i="20"/>
  <c r="K80" i="20"/>
  <c r="I80" i="20"/>
  <c r="G80" i="20"/>
  <c r="AI47" i="20"/>
  <c r="AE47" i="20"/>
  <c r="AC47" i="20"/>
  <c r="AA47" i="20"/>
  <c r="Y47" i="20"/>
  <c r="W47" i="20"/>
  <c r="U47" i="20"/>
  <c r="S47" i="20"/>
  <c r="Q47" i="20"/>
  <c r="O47" i="20"/>
  <c r="M47" i="20"/>
  <c r="K47" i="20"/>
  <c r="I47" i="20"/>
  <c r="G47" i="20"/>
  <c r="C63" i="20"/>
  <c r="D60" i="20"/>
  <c r="AM69" i="20"/>
  <c r="E30" i="19"/>
  <c r="D30" i="19"/>
  <c r="AN125" i="20"/>
  <c r="AM125" i="20" s="1"/>
  <c r="E64" i="19"/>
  <c r="D64" i="19"/>
  <c r="AK80" i="19"/>
  <c r="AL80" i="19"/>
  <c r="D80" i="19"/>
  <c r="AN139" i="20"/>
  <c r="AM76" i="20"/>
  <c r="AM92" i="20"/>
  <c r="AM96" i="20"/>
  <c r="AM77" i="20"/>
  <c r="AM41" i="20"/>
  <c r="AM42" i="20"/>
  <c r="AM43" i="20"/>
  <c r="AM44" i="20"/>
  <c r="AE58" i="20"/>
  <c r="AC58" i="20"/>
  <c r="AA58" i="20"/>
  <c r="Y58" i="20"/>
  <c r="W58" i="20"/>
  <c r="U58" i="20"/>
  <c r="S58" i="20"/>
  <c r="Q58" i="20"/>
  <c r="O58" i="20"/>
  <c r="M58" i="20"/>
  <c r="K58" i="20"/>
  <c r="I58" i="20"/>
  <c r="G58" i="20"/>
  <c r="G36" i="20"/>
  <c r="I36" i="20"/>
  <c r="K36" i="20"/>
  <c r="M36" i="20"/>
  <c r="O36" i="20"/>
  <c r="Q36" i="20"/>
  <c r="S36" i="20"/>
  <c r="U36" i="20"/>
  <c r="W36" i="20"/>
  <c r="Y36" i="20"/>
  <c r="AA36" i="20"/>
  <c r="AC36" i="20"/>
  <c r="AE36" i="20"/>
  <c r="AE60" i="20"/>
  <c r="AC60" i="20"/>
  <c r="AA60" i="20"/>
  <c r="Y60" i="20"/>
  <c r="W60" i="20"/>
  <c r="U60" i="20"/>
  <c r="S60" i="20"/>
  <c r="Q60" i="20"/>
  <c r="O60" i="20"/>
  <c r="M60" i="20"/>
  <c r="K60" i="20"/>
  <c r="I60" i="20"/>
  <c r="G60" i="20"/>
  <c r="AE61" i="20"/>
  <c r="AC61" i="20"/>
  <c r="AA61" i="20"/>
  <c r="Y61" i="20"/>
  <c r="U61" i="20"/>
  <c r="S61" i="20"/>
  <c r="Q61" i="20"/>
  <c r="O61" i="20"/>
  <c r="M61" i="20"/>
  <c r="K61" i="20"/>
  <c r="I61" i="20"/>
  <c r="G61" i="20"/>
  <c r="AE59" i="20"/>
  <c r="AC59" i="20"/>
  <c r="AA59" i="20"/>
  <c r="Y59" i="20"/>
  <c r="W59" i="20"/>
  <c r="U59" i="20"/>
  <c r="S59" i="20"/>
  <c r="Q59" i="20"/>
  <c r="O59" i="20"/>
  <c r="M59" i="20"/>
  <c r="K59" i="20"/>
  <c r="I59" i="20"/>
  <c r="G59" i="20"/>
  <c r="AM75" i="20"/>
  <c r="AI130" i="20"/>
  <c r="M130" i="20"/>
  <c r="K130" i="20"/>
  <c r="I130" i="20"/>
  <c r="G130" i="20"/>
  <c r="AI117" i="20"/>
  <c r="M117" i="20"/>
  <c r="K117" i="20"/>
  <c r="I117" i="20"/>
  <c r="G117" i="20"/>
  <c r="AI98" i="20"/>
  <c r="AK98" i="20" s="1"/>
  <c r="M98" i="20"/>
  <c r="K98" i="20"/>
  <c r="I98" i="20"/>
  <c r="G98" i="20"/>
  <c r="AI81" i="20"/>
  <c r="M81" i="20"/>
  <c r="K81" i="20"/>
  <c r="I81" i="20"/>
  <c r="G81" i="20"/>
  <c r="AI46" i="20"/>
  <c r="M46" i="20"/>
  <c r="K46" i="20"/>
  <c r="I46" i="20"/>
  <c r="G46" i="20"/>
  <c r="C139" i="20"/>
  <c r="D139" i="20" s="1"/>
  <c r="E28" i="19"/>
  <c r="D28" i="19"/>
  <c r="D68" i="20"/>
  <c r="AK77" i="20"/>
  <c r="AK75" i="20"/>
  <c r="AK90" i="20"/>
  <c r="AK44" i="20"/>
  <c r="AK43" i="20"/>
  <c r="AK42" i="20"/>
  <c r="AL41" i="20"/>
  <c r="AK41" i="20" s="1"/>
  <c r="AD75" i="20"/>
  <c r="V75" i="20"/>
  <c r="T75" i="20"/>
  <c r="R75" i="20"/>
  <c r="V74" i="20"/>
  <c r="E74" i="20"/>
  <c r="H74" i="20"/>
  <c r="T74" i="20"/>
  <c r="P74" i="20"/>
  <c r="N74" i="20"/>
  <c r="L74" i="20"/>
  <c r="J74" i="20"/>
  <c r="F74" i="20"/>
  <c r="AB181" i="20"/>
  <c r="Z181" i="20"/>
  <c r="AD35" i="20"/>
  <c r="V35" i="20"/>
  <c r="N35" i="20"/>
  <c r="L35" i="20"/>
  <c r="J35" i="20"/>
  <c r="V38" i="20"/>
  <c r="AD38" i="20"/>
  <c r="L38" i="20"/>
  <c r="H73" i="20"/>
  <c r="F73" i="20"/>
  <c r="AD73" i="20"/>
  <c r="V73" i="20"/>
  <c r="L73" i="20"/>
  <c r="J73" i="20"/>
  <c r="AQ79" i="23" l="1"/>
  <c r="AZ79" i="23"/>
  <c r="BB79" i="23" s="1"/>
  <c r="BD79" i="23" s="1"/>
  <c r="BF79" i="23" s="1"/>
  <c r="AB171" i="23"/>
  <c r="X171" i="23"/>
  <c r="AN171" i="23"/>
  <c r="L171" i="23"/>
  <c r="N171" i="23"/>
  <c r="H171" i="23"/>
  <c r="AP171" i="23" s="1"/>
  <c r="AH171" i="23"/>
  <c r="V171" i="23"/>
  <c r="AJ171" i="23"/>
  <c r="R171" i="23"/>
  <c r="J171" i="23"/>
  <c r="AF171" i="23" s="1"/>
  <c r="P171" i="23"/>
  <c r="Z171" i="23"/>
  <c r="BG112" i="22"/>
  <c r="BI112" i="22" s="1"/>
  <c r="BC125" i="22"/>
  <c r="BE125" i="22" s="1"/>
  <c r="BE111" i="22"/>
  <c r="BG111" i="22" s="1"/>
  <c r="BE114" i="22"/>
  <c r="BG114" i="22" s="1"/>
  <c r="BE113" i="22"/>
  <c r="BG113" i="22" s="1"/>
  <c r="BI113" i="22" s="1"/>
  <c r="BI119" i="22"/>
  <c r="BE124" i="22"/>
  <c r="BI71" i="22"/>
  <c r="BI78" i="22"/>
  <c r="AY84" i="22"/>
  <c r="BA84" i="22" s="1"/>
  <c r="BC81" i="22"/>
  <c r="BC44" i="22"/>
  <c r="BE44" i="22" s="1"/>
  <c r="BC74" i="22"/>
  <c r="BE74" i="22" s="1"/>
  <c r="BG74" i="22" s="1"/>
  <c r="BC46" i="22"/>
  <c r="BE46" i="22" s="1"/>
  <c r="BG46" i="22" s="1"/>
  <c r="BE79" i="22"/>
  <c r="BG79" i="22" s="1"/>
  <c r="BI79" i="22" s="1"/>
  <c r="BA135" i="22"/>
  <c r="BG145" i="22"/>
  <c r="BI145" i="22" s="1"/>
  <c r="BG86" i="22"/>
  <c r="BI86" i="22" s="1"/>
  <c r="BG69" i="22"/>
  <c r="BI69" i="22" s="1"/>
  <c r="BI70" i="22"/>
  <c r="BG149" i="22"/>
  <c r="BI149" i="22" s="1"/>
  <c r="BG132" i="22"/>
  <c r="BI132" i="22" s="1"/>
  <c r="BG72" i="22"/>
  <c r="BI72" i="22" s="1"/>
  <c r="BG80" i="22"/>
  <c r="BG33" i="22"/>
  <c r="BI33" i="22" s="1"/>
  <c r="BI68" i="22"/>
  <c r="BC133" i="22"/>
  <c r="BI36" i="22"/>
  <c r="BI76" i="22"/>
  <c r="BC179" i="22"/>
  <c r="BE179" i="22" s="1"/>
  <c r="BG179" i="22" s="1"/>
  <c r="BI37" i="22"/>
  <c r="AW184" i="22"/>
  <c r="AY184" i="22" s="1"/>
  <c r="BA184" i="22" s="1"/>
  <c r="AY159" i="22"/>
  <c r="BA159" i="22" s="1"/>
  <c r="BA185" i="22"/>
  <c r="BC185" i="22" s="1"/>
  <c r="BE185" i="22" s="1"/>
  <c r="AY188" i="22"/>
  <c r="BA188" i="22" s="1"/>
  <c r="BC188" i="22" s="1"/>
  <c r="BE188" i="22" s="1"/>
  <c r="BG155" i="22"/>
  <c r="BI155" i="22" s="1"/>
  <c r="BA172" i="22"/>
  <c r="BC172" i="22" s="1"/>
  <c r="BE172" i="22" s="1"/>
  <c r="AW190" i="22"/>
  <c r="BC170" i="22"/>
  <c r="BE170" i="22" s="1"/>
  <c r="BG168" i="22"/>
  <c r="BI168" i="22" s="1"/>
  <c r="BE23" i="22"/>
  <c r="BG23" i="22" s="1"/>
  <c r="AY26" i="22"/>
  <c r="BA26" i="22" s="1"/>
  <c r="BC26" i="22" s="1"/>
  <c r="BA161" i="22"/>
  <c r="BA160" i="22"/>
  <c r="BC160" i="22" s="1"/>
  <c r="BE160" i="22" s="1"/>
  <c r="BA169" i="22"/>
  <c r="AZ202" i="22"/>
  <c r="AS189" i="22"/>
  <c r="AU189" i="22" s="1"/>
  <c r="BG158" i="22"/>
  <c r="BI158" i="22" s="1"/>
  <c r="AS163" i="22"/>
  <c r="BI31" i="22"/>
  <c r="BE167" i="22"/>
  <c r="BG167" i="22" s="1"/>
  <c r="BI167" i="22" s="1"/>
  <c r="AW182" i="22"/>
  <c r="BA187" i="22"/>
  <c r="AW178" i="22"/>
  <c r="AY178" i="22" s="1"/>
  <c r="AY181" i="22"/>
  <c r="BA181" i="22" s="1"/>
  <c r="BE186" i="22"/>
  <c r="BG186" i="22" s="1"/>
  <c r="BI186" i="22" s="1"/>
  <c r="AU177" i="22"/>
  <c r="AY166" i="22"/>
  <c r="BA166" i="22" s="1"/>
  <c r="BC166" i="22" s="1"/>
  <c r="BE180" i="22"/>
  <c r="BG180" i="22" s="1"/>
  <c r="BI180" i="22" s="1"/>
  <c r="AS173" i="22"/>
  <c r="AU173" i="22" s="1"/>
  <c r="BA157" i="22"/>
  <c r="BC157" i="22" s="1"/>
  <c r="BI67" i="22"/>
  <c r="AU171" i="22"/>
  <c r="BG162" i="22"/>
  <c r="BI162" i="22" s="1"/>
  <c r="AU164" i="22"/>
  <c r="AW164" i="22" s="1"/>
  <c r="BA175" i="22"/>
  <c r="BA27" i="22"/>
  <c r="BC27" i="22" s="1"/>
  <c r="AU174" i="22"/>
  <c r="AW176" i="22"/>
  <c r="AY165" i="22"/>
  <c r="BA165" i="22" s="1"/>
  <c r="AW183" i="22"/>
  <c r="BE11" i="20"/>
  <c r="AU132" i="20"/>
  <c r="AW21" i="20"/>
  <c r="AY21" i="20" s="1"/>
  <c r="BA21" i="20" s="1"/>
  <c r="BC21" i="20" s="1"/>
  <c r="BA131" i="20"/>
  <c r="BC131" i="20"/>
  <c r="BE131" i="20"/>
  <c r="BA20" i="20"/>
  <c r="BC20" i="20" s="1"/>
  <c r="BE20" i="20" s="1"/>
  <c r="AU49" i="20"/>
  <c r="AQ48" i="20"/>
  <c r="Y137" i="20"/>
  <c r="AQ22" i="20"/>
  <c r="AA137" i="20"/>
  <c r="U137" i="20"/>
  <c r="AY134" i="20"/>
  <c r="BA134" i="20" s="1"/>
  <c r="W137" i="20"/>
  <c r="W86" i="20"/>
  <c r="G86" i="20"/>
  <c r="I86" i="20"/>
  <c r="K86" i="20"/>
  <c r="M86" i="20"/>
  <c r="Q86" i="20"/>
  <c r="S86" i="20"/>
  <c r="U86" i="20"/>
  <c r="AE86" i="20"/>
  <c r="K52" i="20"/>
  <c r="O52" i="20"/>
  <c r="M52" i="20"/>
  <c r="S52" i="20"/>
  <c r="Q52" i="20"/>
  <c r="AC137" i="20"/>
  <c r="G137" i="20"/>
  <c r="AE137" i="20"/>
  <c r="I137" i="20"/>
  <c r="K137" i="20"/>
  <c r="R181" i="20"/>
  <c r="M137" i="20"/>
  <c r="O137" i="20"/>
  <c r="Q137" i="20"/>
  <c r="U52" i="20"/>
  <c r="W52" i="20"/>
  <c r="Y52" i="20"/>
  <c r="AA52" i="20"/>
  <c r="AC52" i="20"/>
  <c r="G52" i="20"/>
  <c r="AE52" i="20"/>
  <c r="I52" i="20"/>
  <c r="AC86" i="20"/>
  <c r="AA86" i="20"/>
  <c r="Y86" i="20"/>
  <c r="O86" i="20"/>
  <c r="AF101" i="20"/>
  <c r="AF102" i="20"/>
  <c r="AF138" i="20"/>
  <c r="AF135" i="20"/>
  <c r="AF136" i="20"/>
  <c r="AF118" i="20"/>
  <c r="AF120" i="20"/>
  <c r="AF121" i="20"/>
  <c r="AF119" i="20"/>
  <c r="AM120" i="20"/>
  <c r="AO120" i="20" s="1"/>
  <c r="AK121" i="20"/>
  <c r="AM121" i="20" s="1"/>
  <c r="AF103" i="20"/>
  <c r="AF105" i="20"/>
  <c r="AF106" i="20"/>
  <c r="AK118" i="20"/>
  <c r="AK119" i="20"/>
  <c r="AF84" i="20"/>
  <c r="AF107" i="20"/>
  <c r="AF83" i="20"/>
  <c r="AF85" i="20"/>
  <c r="AF55" i="20"/>
  <c r="AF54" i="20"/>
  <c r="AK105" i="20"/>
  <c r="AM105" i="20" s="1"/>
  <c r="AF50" i="20"/>
  <c r="AF24" i="20"/>
  <c r="AF26" i="20"/>
  <c r="AF51" i="20"/>
  <c r="AF53" i="20"/>
  <c r="AK50" i="20"/>
  <c r="AM50" i="20" s="1"/>
  <c r="AF25" i="20"/>
  <c r="AF23" i="20"/>
  <c r="AO23" i="20"/>
  <c r="AQ23" i="20" s="1"/>
  <c r="AF27" i="20"/>
  <c r="AF28" i="20"/>
  <c r="AK28" i="20"/>
  <c r="AM28" i="20" s="1"/>
  <c r="AF31" i="20"/>
  <c r="AF30" i="20"/>
  <c r="AF29" i="20"/>
  <c r="AK30" i="20"/>
  <c r="AK29" i="20"/>
  <c r="AF62" i="20"/>
  <c r="AF56" i="20"/>
  <c r="AF57" i="20"/>
  <c r="AI122" i="20"/>
  <c r="AK122" i="20" s="1"/>
  <c r="AM122" i="20" s="1"/>
  <c r="AF108" i="20"/>
  <c r="AC122" i="20"/>
  <c r="G122" i="20"/>
  <c r="O122" i="20"/>
  <c r="K122" i="20"/>
  <c r="I122" i="20"/>
  <c r="M122" i="20"/>
  <c r="AE122" i="20"/>
  <c r="S122" i="20"/>
  <c r="W122" i="20"/>
  <c r="U122" i="20"/>
  <c r="Q122" i="20"/>
  <c r="AF82" i="20"/>
  <c r="Y122" i="20"/>
  <c r="AA122" i="20"/>
  <c r="AM91" i="20"/>
  <c r="AO91" i="20" s="1"/>
  <c r="AF91" i="20"/>
  <c r="AF19" i="20"/>
  <c r="AK82" i="20"/>
  <c r="AM82" i="20" s="1"/>
  <c r="AK19" i="20"/>
  <c r="AF80" i="20"/>
  <c r="AF47" i="20"/>
  <c r="AK80" i="20"/>
  <c r="AK47" i="20"/>
  <c r="AM47" i="20" s="1"/>
  <c r="AF58" i="20"/>
  <c r="AF36" i="20"/>
  <c r="AF60" i="20"/>
  <c r="AF61" i="20"/>
  <c r="AF59" i="20"/>
  <c r="H181" i="20"/>
  <c r="AK130" i="20"/>
  <c r="AK117" i="20"/>
  <c r="AM117" i="20" s="1"/>
  <c r="AD181" i="20"/>
  <c r="AM98" i="20"/>
  <c r="AO98" i="20" s="1"/>
  <c r="F181" i="20"/>
  <c r="AK81" i="20"/>
  <c r="AM81" i="20" s="1"/>
  <c r="AK46" i="20"/>
  <c r="Q42" i="20"/>
  <c r="O42" i="20"/>
  <c r="K42" i="20"/>
  <c r="S43" i="20"/>
  <c r="S39" i="20"/>
  <c r="S42" i="20"/>
  <c r="S40" i="20"/>
  <c r="S38" i="20"/>
  <c r="S34" i="20"/>
  <c r="S32" i="20"/>
  <c r="S35" i="20"/>
  <c r="S45" i="20"/>
  <c r="S64" i="20"/>
  <c r="S65" i="20"/>
  <c r="S67" i="20"/>
  <c r="S68" i="20"/>
  <c r="S70" i="20"/>
  <c r="S73" i="20"/>
  <c r="S74" i="20"/>
  <c r="S75" i="20"/>
  <c r="S76" i="20"/>
  <c r="S77" i="20"/>
  <c r="S78" i="20"/>
  <c r="S79" i="20"/>
  <c r="S63" i="20"/>
  <c r="S92" i="20"/>
  <c r="S93" i="20"/>
  <c r="S95" i="20"/>
  <c r="S96" i="20"/>
  <c r="S88" i="20"/>
  <c r="S89" i="20"/>
  <c r="S87" i="20"/>
  <c r="S97" i="20"/>
  <c r="S110" i="20"/>
  <c r="S111" i="20"/>
  <c r="S112" i="20"/>
  <c r="S113" i="20"/>
  <c r="S114" i="20"/>
  <c r="S115" i="20"/>
  <c r="S109" i="20"/>
  <c r="S116" i="20"/>
  <c r="S124" i="20"/>
  <c r="S125" i="20"/>
  <c r="S126" i="20"/>
  <c r="S123" i="20"/>
  <c r="S128" i="20"/>
  <c r="S141" i="20"/>
  <c r="S129" i="20"/>
  <c r="S139" i="20"/>
  <c r="S140" i="20"/>
  <c r="S142" i="20"/>
  <c r="S17" i="20"/>
  <c r="S16" i="20"/>
  <c r="AC39" i="20"/>
  <c r="AC42" i="20"/>
  <c r="AC40" i="20"/>
  <c r="AC38" i="20"/>
  <c r="AC34" i="20"/>
  <c r="AC32" i="20"/>
  <c r="AC35" i="20"/>
  <c r="AC45" i="20"/>
  <c r="AC64" i="20"/>
  <c r="AC65" i="20"/>
  <c r="AC67" i="20"/>
  <c r="AC68" i="20"/>
  <c r="AC70" i="20"/>
  <c r="AC73" i="20"/>
  <c r="AC74" i="20"/>
  <c r="AC75" i="20"/>
  <c r="AC76" i="20"/>
  <c r="AC77" i="20"/>
  <c r="AC78" i="20"/>
  <c r="AC79" i="20"/>
  <c r="AC63" i="20"/>
  <c r="AC92" i="20"/>
  <c r="AC93" i="20"/>
  <c r="AC95" i="20"/>
  <c r="AC96" i="20"/>
  <c r="AC88" i="20"/>
  <c r="AC89" i="20"/>
  <c r="AC87" i="20"/>
  <c r="AC97" i="20"/>
  <c r="AC110" i="20"/>
  <c r="AC111" i="20"/>
  <c r="AC112" i="20"/>
  <c r="AC114" i="20"/>
  <c r="AC115" i="20"/>
  <c r="AC109" i="20"/>
  <c r="AC116" i="20"/>
  <c r="AC124" i="20"/>
  <c r="AC125" i="20"/>
  <c r="AC126" i="20"/>
  <c r="AC123" i="20"/>
  <c r="AC128" i="20"/>
  <c r="AC141" i="20"/>
  <c r="AC129" i="20"/>
  <c r="AC139" i="20"/>
  <c r="AC140" i="20"/>
  <c r="AC142" i="20"/>
  <c r="AC144" i="20"/>
  <c r="AC145" i="20"/>
  <c r="AC146" i="20"/>
  <c r="AC147" i="20"/>
  <c r="AC178" i="20"/>
  <c r="AC17" i="20"/>
  <c r="AC16" i="20"/>
  <c r="I18" i="20"/>
  <c r="I39" i="20"/>
  <c r="I42" i="20"/>
  <c r="I40" i="20"/>
  <c r="I38" i="20"/>
  <c r="I34" i="20"/>
  <c r="I32" i="20"/>
  <c r="I35" i="20"/>
  <c r="I45" i="20"/>
  <c r="I64" i="20"/>
  <c r="I65" i="20"/>
  <c r="I67" i="20"/>
  <c r="I68" i="20"/>
  <c r="I70" i="20"/>
  <c r="I73" i="20"/>
  <c r="I74" i="20"/>
  <c r="I75" i="20"/>
  <c r="I76" i="20"/>
  <c r="I77" i="20"/>
  <c r="I78" i="20"/>
  <c r="I79" i="20"/>
  <c r="I63" i="20"/>
  <c r="I92" i="20"/>
  <c r="I93" i="20"/>
  <c r="I95" i="20"/>
  <c r="I96" i="20"/>
  <c r="I88" i="20"/>
  <c r="I89" i="20"/>
  <c r="I87" i="20"/>
  <c r="I97" i="20"/>
  <c r="I110" i="20"/>
  <c r="I111" i="20"/>
  <c r="I112" i="20"/>
  <c r="I113" i="20"/>
  <c r="I114" i="20"/>
  <c r="I115" i="20"/>
  <c r="I109" i="20"/>
  <c r="I116" i="20"/>
  <c r="I124" i="20"/>
  <c r="I125" i="20"/>
  <c r="I126" i="20"/>
  <c r="I123" i="20"/>
  <c r="I128" i="20"/>
  <c r="I141" i="20"/>
  <c r="I129" i="20"/>
  <c r="I139" i="20"/>
  <c r="I140" i="20"/>
  <c r="I142" i="20"/>
  <c r="I17" i="20"/>
  <c r="I16" i="20"/>
  <c r="AA39" i="20"/>
  <c r="AA42" i="20"/>
  <c r="AA40" i="20"/>
  <c r="AA38" i="20"/>
  <c r="AA34" i="20"/>
  <c r="AA32" i="20"/>
  <c r="AA35" i="20"/>
  <c r="AA45" i="20"/>
  <c r="AA64" i="20"/>
  <c r="AA65" i="20"/>
  <c r="AA67" i="20"/>
  <c r="AA68" i="20"/>
  <c r="AA70" i="20"/>
  <c r="AA73" i="20"/>
  <c r="AA74" i="20"/>
  <c r="AA75" i="20"/>
  <c r="AA76" i="20"/>
  <c r="AA77" i="20"/>
  <c r="AA78" i="20"/>
  <c r="AA79" i="20"/>
  <c r="AA63" i="20"/>
  <c r="AA92" i="20"/>
  <c r="AA93" i="20"/>
  <c r="AA95" i="20"/>
  <c r="AA96" i="20"/>
  <c r="AA88" i="20"/>
  <c r="AA89" i="20"/>
  <c r="AA87" i="20"/>
  <c r="AA97" i="20"/>
  <c r="AA110" i="20"/>
  <c r="AA111" i="20"/>
  <c r="AA112" i="20"/>
  <c r="AA113" i="20"/>
  <c r="AA114" i="20"/>
  <c r="AA115" i="20"/>
  <c r="AA109" i="20"/>
  <c r="AA116" i="20"/>
  <c r="AA124" i="20"/>
  <c r="AA125" i="20"/>
  <c r="AA126" i="20"/>
  <c r="AA123" i="20"/>
  <c r="AA128" i="20"/>
  <c r="AA141" i="20"/>
  <c r="AA129" i="20"/>
  <c r="AA139" i="20"/>
  <c r="AA140" i="20"/>
  <c r="AA142" i="20"/>
  <c r="AA17" i="20"/>
  <c r="AA16" i="20"/>
  <c r="I178" i="20"/>
  <c r="J93" i="20"/>
  <c r="K93" i="20" s="1"/>
  <c r="AJ90" i="20"/>
  <c r="AE64" i="20"/>
  <c r="G64" i="20"/>
  <c r="Y64" i="20"/>
  <c r="W64" i="20"/>
  <c r="U64" i="20"/>
  <c r="Q64" i="20"/>
  <c r="O64" i="20"/>
  <c r="M64" i="20"/>
  <c r="K64" i="20"/>
  <c r="AJ125" i="20"/>
  <c r="AI125" i="20" s="1"/>
  <c r="D113" i="20"/>
  <c r="C113" i="20" s="1"/>
  <c r="E90" i="20"/>
  <c r="I90" i="20" s="1"/>
  <c r="AE44" i="20"/>
  <c r="V37" i="20"/>
  <c r="U37" i="20"/>
  <c r="V44" i="20"/>
  <c r="V115" i="20"/>
  <c r="W115" i="20" s="1"/>
  <c r="N115" i="20"/>
  <c r="O115" i="20" s="1"/>
  <c r="AI115" i="20"/>
  <c r="AE115" i="20"/>
  <c r="G115" i="20"/>
  <c r="Y115" i="20"/>
  <c r="U115" i="20"/>
  <c r="Q115" i="20"/>
  <c r="M115" i="20"/>
  <c r="K115" i="20"/>
  <c r="T43" i="20"/>
  <c r="J43" i="20"/>
  <c r="L54" i="19"/>
  <c r="W75" i="20"/>
  <c r="W124" i="20"/>
  <c r="L88" i="20"/>
  <c r="M88" i="20" s="1"/>
  <c r="T88" i="20"/>
  <c r="U88" i="20" s="1"/>
  <c r="AI116" i="20"/>
  <c r="AE116" i="20"/>
  <c r="G116" i="20"/>
  <c r="Y116" i="20"/>
  <c r="W116" i="20"/>
  <c r="U116" i="20"/>
  <c r="Q116" i="20"/>
  <c r="O116" i="20"/>
  <c r="M116" i="20"/>
  <c r="K116" i="20"/>
  <c r="AE109" i="20"/>
  <c r="G109" i="20"/>
  <c r="Y109" i="20"/>
  <c r="W109" i="20"/>
  <c r="U109" i="20"/>
  <c r="Q109" i="20"/>
  <c r="O109" i="20"/>
  <c r="M109" i="20"/>
  <c r="K109" i="20"/>
  <c r="K124" i="20"/>
  <c r="M124" i="20"/>
  <c r="O124" i="20"/>
  <c r="Q124" i="20"/>
  <c r="U124" i="20"/>
  <c r="Y124" i="20"/>
  <c r="G124" i="20"/>
  <c r="AE124" i="20"/>
  <c r="AG124" i="20"/>
  <c r="AH124" i="20" s="1"/>
  <c r="AH184" i="20" s="1"/>
  <c r="AH189" i="20" s="1"/>
  <c r="K87" i="20"/>
  <c r="M87" i="20"/>
  <c r="O87" i="20"/>
  <c r="Q87" i="20"/>
  <c r="U87" i="20"/>
  <c r="W87" i="20"/>
  <c r="Y87" i="20"/>
  <c r="G87" i="20"/>
  <c r="AE87" i="20"/>
  <c r="K92" i="20"/>
  <c r="M92" i="20"/>
  <c r="O92" i="20"/>
  <c r="Q92" i="20"/>
  <c r="U92" i="20"/>
  <c r="W92" i="20"/>
  <c r="Y92" i="20"/>
  <c r="G92" i="20"/>
  <c r="AE92" i="20"/>
  <c r="K79" i="20"/>
  <c r="M79" i="20"/>
  <c r="O79" i="20"/>
  <c r="Q79" i="20"/>
  <c r="U79" i="20"/>
  <c r="W79" i="20"/>
  <c r="Y79" i="20"/>
  <c r="G79" i="20"/>
  <c r="AE79" i="20"/>
  <c r="K74" i="20"/>
  <c r="M74" i="20"/>
  <c r="O74" i="20"/>
  <c r="Q74" i="20"/>
  <c r="U74" i="20"/>
  <c r="W74" i="20"/>
  <c r="Y74" i="20"/>
  <c r="G74" i="20"/>
  <c r="AE74" i="20"/>
  <c r="AI18" i="20"/>
  <c r="AK18" i="20" s="1"/>
  <c r="AI97" i="20"/>
  <c r="AI112" i="20"/>
  <c r="AI111" i="20"/>
  <c r="AK111" i="20" s="1"/>
  <c r="AI95" i="20"/>
  <c r="AK95" i="20" s="1"/>
  <c r="AM95" i="20" s="1"/>
  <c r="AE35" i="20"/>
  <c r="G35" i="20"/>
  <c r="Y35" i="20"/>
  <c r="W35" i="20"/>
  <c r="U35" i="20"/>
  <c r="Q35" i="20"/>
  <c r="O35" i="20"/>
  <c r="M35" i="20"/>
  <c r="K35" i="20"/>
  <c r="AE39" i="20"/>
  <c r="G39" i="20"/>
  <c r="Y39" i="20"/>
  <c r="W39" i="20"/>
  <c r="U39" i="20"/>
  <c r="Q39" i="20"/>
  <c r="O39" i="20"/>
  <c r="M39" i="20"/>
  <c r="K39" i="20"/>
  <c r="G18" i="20"/>
  <c r="M18" i="20"/>
  <c r="K18" i="20"/>
  <c r="AI17" i="20"/>
  <c r="AE17" i="20"/>
  <c r="G17" i="20"/>
  <c r="Y17" i="20"/>
  <c r="W17" i="20"/>
  <c r="U17" i="20"/>
  <c r="Q17" i="20"/>
  <c r="O17" i="20"/>
  <c r="M17" i="20"/>
  <c r="K17" i="20"/>
  <c r="AE63" i="20"/>
  <c r="G63" i="20"/>
  <c r="Y63" i="20"/>
  <c r="W63" i="20"/>
  <c r="U63" i="20"/>
  <c r="Q63" i="20"/>
  <c r="O63" i="20"/>
  <c r="M63" i="20"/>
  <c r="K63" i="20"/>
  <c r="AE45" i="20"/>
  <c r="G45" i="20"/>
  <c r="Y45" i="20"/>
  <c r="W45" i="20"/>
  <c r="U45" i="20"/>
  <c r="Q45" i="20"/>
  <c r="O45" i="20"/>
  <c r="M45" i="20"/>
  <c r="K45" i="20"/>
  <c r="AI16" i="20"/>
  <c r="AE16" i="20"/>
  <c r="G16" i="20"/>
  <c r="Y16" i="20"/>
  <c r="W16" i="20"/>
  <c r="U16" i="20"/>
  <c r="Q16" i="20"/>
  <c r="O16" i="20"/>
  <c r="M16" i="20"/>
  <c r="K16" i="20"/>
  <c r="BB184" i="20"/>
  <c r="AL184" i="20"/>
  <c r="AF180" i="20"/>
  <c r="AF179" i="20"/>
  <c r="AE178" i="20"/>
  <c r="G178" i="20"/>
  <c r="AE147" i="20"/>
  <c r="G147" i="20"/>
  <c r="Y147" i="20"/>
  <c r="W147" i="20"/>
  <c r="U147" i="20"/>
  <c r="Q147" i="20"/>
  <c r="O147" i="20"/>
  <c r="M147" i="20"/>
  <c r="K147" i="20"/>
  <c r="I147" i="20" s="1"/>
  <c r="AE146" i="20"/>
  <c r="G146" i="20"/>
  <c r="Y146" i="20"/>
  <c r="W146" i="20"/>
  <c r="U146" i="20"/>
  <c r="Q146" i="20"/>
  <c r="O146" i="20"/>
  <c r="M146" i="20"/>
  <c r="K146" i="20"/>
  <c r="AA146" i="20" s="1"/>
  <c r="AE145" i="20"/>
  <c r="G145" i="20"/>
  <c r="Y145" i="20"/>
  <c r="W145" i="20"/>
  <c r="U145" i="20"/>
  <c r="Q145" i="20"/>
  <c r="O145" i="20"/>
  <c r="M145" i="20"/>
  <c r="K145" i="20"/>
  <c r="I145" i="20" s="1"/>
  <c r="AE144" i="20"/>
  <c r="G144" i="20"/>
  <c r="Y144" i="20"/>
  <c r="W144" i="20"/>
  <c r="U144" i="20"/>
  <c r="Q144" i="20"/>
  <c r="O144" i="20"/>
  <c r="M144" i="20"/>
  <c r="K144" i="20"/>
  <c r="I144" i="20" s="1"/>
  <c r="AE142" i="20"/>
  <c r="G142" i="20"/>
  <c r="Y142" i="20"/>
  <c r="W142" i="20"/>
  <c r="U142" i="20"/>
  <c r="Q142" i="20"/>
  <c r="O142" i="20"/>
  <c r="M142" i="20"/>
  <c r="K142" i="20"/>
  <c r="AE140" i="20"/>
  <c r="G140" i="20"/>
  <c r="Y140" i="20"/>
  <c r="W140" i="20"/>
  <c r="U140" i="20"/>
  <c r="Q140" i="20"/>
  <c r="O140" i="20"/>
  <c r="M140" i="20"/>
  <c r="K140" i="20"/>
  <c r="AE139" i="20"/>
  <c r="G139" i="20"/>
  <c r="Y139" i="20"/>
  <c r="W139" i="20"/>
  <c r="U139" i="20"/>
  <c r="Q139" i="20"/>
  <c r="O139" i="20"/>
  <c r="M139" i="20"/>
  <c r="K139" i="20"/>
  <c r="AE129" i="20"/>
  <c r="G129" i="20"/>
  <c r="Y129" i="20"/>
  <c r="W129" i="20"/>
  <c r="U129" i="20"/>
  <c r="Q129" i="20"/>
  <c r="O129" i="20"/>
  <c r="M129" i="20"/>
  <c r="K129" i="20"/>
  <c r="AE114" i="20"/>
  <c r="G114" i="20"/>
  <c r="Y114" i="20"/>
  <c r="W114" i="20"/>
  <c r="U114" i="20"/>
  <c r="Q114" i="20"/>
  <c r="O114" i="20"/>
  <c r="M114" i="20"/>
  <c r="K114" i="20"/>
  <c r="AE141" i="20"/>
  <c r="G141" i="20"/>
  <c r="Y141" i="20"/>
  <c r="W141" i="20"/>
  <c r="U141" i="20"/>
  <c r="Q141" i="20"/>
  <c r="O141" i="20"/>
  <c r="M141" i="20"/>
  <c r="K141" i="20"/>
  <c r="AT184" i="20"/>
  <c r="AR184" i="20"/>
  <c r="AV198" i="22" s="1"/>
  <c r="W65" i="20"/>
  <c r="AE68" i="20"/>
  <c r="G68" i="20"/>
  <c r="Y68" i="20"/>
  <c r="W68" i="20"/>
  <c r="U68" i="20"/>
  <c r="Q68" i="20"/>
  <c r="O68" i="20"/>
  <c r="M68" i="20"/>
  <c r="K68" i="20"/>
  <c r="AE128" i="20"/>
  <c r="G128" i="20"/>
  <c r="Y128" i="20"/>
  <c r="W128" i="20"/>
  <c r="U128" i="20"/>
  <c r="Q128" i="20"/>
  <c r="O128" i="20"/>
  <c r="M128" i="20"/>
  <c r="K128" i="20"/>
  <c r="AE67" i="20"/>
  <c r="G67" i="20"/>
  <c r="Y67" i="20"/>
  <c r="W67" i="20"/>
  <c r="U67" i="20"/>
  <c r="Q67" i="20"/>
  <c r="O67" i="20"/>
  <c r="M67" i="20"/>
  <c r="K67" i="20"/>
  <c r="AE42" i="20"/>
  <c r="G42" i="20"/>
  <c r="Y42" i="20"/>
  <c r="W42" i="20"/>
  <c r="U42" i="20"/>
  <c r="M42" i="20"/>
  <c r="AE40" i="20"/>
  <c r="G40" i="20"/>
  <c r="Y40" i="20"/>
  <c r="W40" i="20"/>
  <c r="U40" i="20"/>
  <c r="Q40" i="20"/>
  <c r="O40" i="20"/>
  <c r="M40" i="20"/>
  <c r="K40" i="20"/>
  <c r="AE38" i="20"/>
  <c r="G38" i="20"/>
  <c r="Y38" i="20"/>
  <c r="W38" i="20"/>
  <c r="U38" i="20"/>
  <c r="Q38" i="20"/>
  <c r="O38" i="20"/>
  <c r="M38" i="20"/>
  <c r="K38" i="20"/>
  <c r="AE113" i="20"/>
  <c r="G113" i="20"/>
  <c r="W113" i="20"/>
  <c r="U113" i="20"/>
  <c r="Q113" i="20"/>
  <c r="O113" i="20"/>
  <c r="M113" i="20"/>
  <c r="K113" i="20"/>
  <c r="AE34" i="20"/>
  <c r="G34" i="20"/>
  <c r="Y34" i="20"/>
  <c r="W34" i="20"/>
  <c r="U34" i="20"/>
  <c r="Q34" i="20"/>
  <c r="O34" i="20"/>
  <c r="M34" i="20"/>
  <c r="K34" i="20"/>
  <c r="L90" i="20"/>
  <c r="V71" i="20"/>
  <c r="AE96" i="20"/>
  <c r="G96" i="20"/>
  <c r="Y96" i="20"/>
  <c r="W96" i="20"/>
  <c r="U96" i="20"/>
  <c r="Q96" i="20"/>
  <c r="O96" i="20"/>
  <c r="M96" i="20"/>
  <c r="K96" i="20"/>
  <c r="AE95" i="20"/>
  <c r="G95" i="20"/>
  <c r="Y95" i="20"/>
  <c r="W95" i="20"/>
  <c r="U95" i="20"/>
  <c r="Q95" i="20"/>
  <c r="O95" i="20"/>
  <c r="M95" i="20"/>
  <c r="K95" i="20"/>
  <c r="AE78" i="20"/>
  <c r="G78" i="20"/>
  <c r="Y78" i="20"/>
  <c r="W78" i="20"/>
  <c r="U78" i="20"/>
  <c r="Q78" i="20"/>
  <c r="O78" i="20"/>
  <c r="M78" i="20"/>
  <c r="K78" i="20"/>
  <c r="AE77" i="20"/>
  <c r="G77" i="20"/>
  <c r="Y77" i="20"/>
  <c r="V77" i="20"/>
  <c r="W77" i="20" s="1"/>
  <c r="U77" i="20"/>
  <c r="P77" i="20"/>
  <c r="O77" i="20"/>
  <c r="M77" i="20"/>
  <c r="AE32" i="20"/>
  <c r="G32" i="20"/>
  <c r="Y32" i="20"/>
  <c r="W32" i="20"/>
  <c r="U32" i="20"/>
  <c r="Q32" i="20"/>
  <c r="O32" i="20"/>
  <c r="M32" i="20"/>
  <c r="K32" i="20"/>
  <c r="AE110" i="20"/>
  <c r="G110" i="20"/>
  <c r="Y110" i="20"/>
  <c r="W110" i="20"/>
  <c r="U110" i="20"/>
  <c r="Q110" i="20"/>
  <c r="O110" i="20"/>
  <c r="M110" i="20"/>
  <c r="K110" i="20"/>
  <c r="AE73" i="20"/>
  <c r="G73" i="20"/>
  <c r="Y73" i="20"/>
  <c r="W73" i="20"/>
  <c r="U73" i="20"/>
  <c r="Q73" i="20"/>
  <c r="O73" i="20"/>
  <c r="M73" i="20"/>
  <c r="K73" i="20"/>
  <c r="AE125" i="20"/>
  <c r="G125" i="20"/>
  <c r="Y125" i="20"/>
  <c r="U125" i="20"/>
  <c r="Q125" i="20"/>
  <c r="O125" i="20"/>
  <c r="M125" i="20"/>
  <c r="K125" i="20"/>
  <c r="AE123" i="20"/>
  <c r="G123" i="20"/>
  <c r="Y123" i="20"/>
  <c r="W123" i="20"/>
  <c r="U123" i="20"/>
  <c r="Q123" i="20"/>
  <c r="O123" i="20"/>
  <c r="M123" i="20"/>
  <c r="K123" i="20"/>
  <c r="AE126" i="20"/>
  <c r="G126" i="20"/>
  <c r="Y126" i="20"/>
  <c r="W126" i="20"/>
  <c r="U126" i="20"/>
  <c r="Q126" i="20"/>
  <c r="O126" i="20"/>
  <c r="M126" i="20"/>
  <c r="K126" i="20"/>
  <c r="AE111" i="20"/>
  <c r="G111" i="20"/>
  <c r="Y111" i="20"/>
  <c r="W111" i="20"/>
  <c r="U111" i="20"/>
  <c r="Q111" i="20"/>
  <c r="O111" i="20"/>
  <c r="M111" i="20"/>
  <c r="K111" i="20"/>
  <c r="AE93" i="20"/>
  <c r="G93" i="20"/>
  <c r="Y93" i="20"/>
  <c r="W93" i="20"/>
  <c r="U93" i="20"/>
  <c r="Q93" i="20"/>
  <c r="O93" i="20"/>
  <c r="M93" i="20"/>
  <c r="AE89" i="20"/>
  <c r="G89" i="20"/>
  <c r="Y89" i="20"/>
  <c r="W89" i="20"/>
  <c r="U89" i="20"/>
  <c r="Q89" i="20"/>
  <c r="O89" i="20"/>
  <c r="M89" i="20"/>
  <c r="K89" i="20"/>
  <c r="AE76" i="20"/>
  <c r="G76" i="20"/>
  <c r="Y76" i="20"/>
  <c r="W76" i="20"/>
  <c r="U76" i="20"/>
  <c r="Q76" i="20"/>
  <c r="O76" i="20"/>
  <c r="M76" i="20"/>
  <c r="K76" i="20"/>
  <c r="AE88" i="20"/>
  <c r="G88" i="20"/>
  <c r="Y88" i="20"/>
  <c r="W88" i="20"/>
  <c r="Q88" i="20"/>
  <c r="O88" i="20"/>
  <c r="K88" i="20"/>
  <c r="AE112" i="20"/>
  <c r="G112" i="20"/>
  <c r="Y112" i="20"/>
  <c r="W112" i="20"/>
  <c r="U112" i="20"/>
  <c r="Q112" i="20"/>
  <c r="O112" i="20"/>
  <c r="M112" i="20"/>
  <c r="K112" i="20"/>
  <c r="AE75" i="20"/>
  <c r="G75" i="20"/>
  <c r="Y75" i="20"/>
  <c r="U75" i="20"/>
  <c r="Q75" i="20"/>
  <c r="O75" i="20"/>
  <c r="M75" i="20"/>
  <c r="K75" i="20"/>
  <c r="AE97" i="20"/>
  <c r="G97" i="20"/>
  <c r="Y97" i="20"/>
  <c r="W97" i="20"/>
  <c r="U97" i="20"/>
  <c r="Q97" i="20"/>
  <c r="O97" i="20"/>
  <c r="M97" i="20"/>
  <c r="K97" i="20"/>
  <c r="C14" i="20"/>
  <c r="C12" i="20"/>
  <c r="C10" i="20"/>
  <c r="C9" i="20"/>
  <c r="AV84" i="19"/>
  <c r="D84" i="19"/>
  <c r="E84" i="19" s="1"/>
  <c r="D65" i="19"/>
  <c r="E65" i="19" s="1"/>
  <c r="E38" i="19"/>
  <c r="D38" i="19" s="1"/>
  <c r="AV38" i="19"/>
  <c r="AU38" i="19" s="1"/>
  <c r="AR65" i="19"/>
  <c r="AQ65" i="19" s="1"/>
  <c r="AV69" i="19"/>
  <c r="C58" i="19"/>
  <c r="D20" i="19"/>
  <c r="E20" i="19" s="1"/>
  <c r="AA18" i="19"/>
  <c r="W18" i="19"/>
  <c r="U18" i="19"/>
  <c r="S18" i="19"/>
  <c r="Q18" i="19"/>
  <c r="O18" i="19"/>
  <c r="M18" i="19"/>
  <c r="K18" i="19"/>
  <c r="I18" i="19"/>
  <c r="G18" i="19"/>
  <c r="AA17" i="19"/>
  <c r="W17" i="19"/>
  <c r="U17" i="19"/>
  <c r="S17" i="19"/>
  <c r="Q17" i="19"/>
  <c r="O17" i="19"/>
  <c r="M17" i="19"/>
  <c r="K17" i="19"/>
  <c r="I17" i="19"/>
  <c r="G17" i="19"/>
  <c r="AA16" i="19"/>
  <c r="AC16" i="19" s="1"/>
  <c r="W16" i="19"/>
  <c r="U16" i="19"/>
  <c r="S16" i="19"/>
  <c r="Q16" i="19"/>
  <c r="O16" i="19"/>
  <c r="M16" i="19"/>
  <c r="K16" i="19"/>
  <c r="I16" i="19"/>
  <c r="G16" i="19"/>
  <c r="AA15" i="19"/>
  <c r="W15" i="19"/>
  <c r="U15" i="19"/>
  <c r="S15" i="19"/>
  <c r="Q15" i="19"/>
  <c r="O15" i="19"/>
  <c r="M15" i="19"/>
  <c r="K15" i="19"/>
  <c r="I15" i="19"/>
  <c r="G15" i="19"/>
  <c r="W19" i="19"/>
  <c r="U19" i="19"/>
  <c r="S19" i="19"/>
  <c r="Q19" i="19"/>
  <c r="O19" i="19"/>
  <c r="M19" i="19"/>
  <c r="K19" i="19"/>
  <c r="I19" i="19"/>
  <c r="G19" i="19"/>
  <c r="AR84" i="19"/>
  <c r="AQ84" i="19" s="1"/>
  <c r="BH79" i="23" l="1"/>
  <c r="BG125" i="22"/>
  <c r="BI125" i="22" s="1"/>
  <c r="BI111" i="22"/>
  <c r="BI114" i="22"/>
  <c r="BG124" i="22"/>
  <c r="BI124" i="22" s="1"/>
  <c r="BC84" i="22"/>
  <c r="BE84" i="22" s="1"/>
  <c r="BG84" i="22" s="1"/>
  <c r="BI84" i="22" s="1"/>
  <c r="BE81" i="22"/>
  <c r="BG81" i="22" s="1"/>
  <c r="BG44" i="22"/>
  <c r="BI44" i="22" s="1"/>
  <c r="BI46" i="22"/>
  <c r="BI74" i="22"/>
  <c r="BC135" i="22"/>
  <c r="BE133" i="22"/>
  <c r="BG133" i="22" s="1"/>
  <c r="BI133" i="22" s="1"/>
  <c r="BG83" i="22"/>
  <c r="BI83" i="22" s="1"/>
  <c r="BI129" i="22"/>
  <c r="BC159" i="22"/>
  <c r="BE159" i="22" s="1"/>
  <c r="BG159" i="22" s="1"/>
  <c r="BI38" i="22"/>
  <c r="AY176" i="22"/>
  <c r="BA176" i="22" s="1"/>
  <c r="BI140" i="22"/>
  <c r="BG185" i="22"/>
  <c r="BI185" i="22" s="1"/>
  <c r="BI90" i="22"/>
  <c r="BC184" i="22"/>
  <c r="BE184" i="22" s="1"/>
  <c r="BI80" i="22"/>
  <c r="BI141" i="22"/>
  <c r="BI179" i="22"/>
  <c r="AY190" i="22"/>
  <c r="BI39" i="22"/>
  <c r="BG170" i="22"/>
  <c r="BI170" i="22" s="1"/>
  <c r="BB202" i="22"/>
  <c r="AW177" i="22"/>
  <c r="AY177" i="22" s="1"/>
  <c r="BI65" i="22"/>
  <c r="AW173" i="22"/>
  <c r="BC181" i="22"/>
  <c r="BE181" i="22" s="1"/>
  <c r="BC187" i="22"/>
  <c r="BE187" i="22" s="1"/>
  <c r="BG187" i="22" s="1"/>
  <c r="BG160" i="22"/>
  <c r="BI160" i="22" s="1"/>
  <c r="AW174" i="22"/>
  <c r="BI142" i="22"/>
  <c r="BI23" i="22"/>
  <c r="BC169" i="22"/>
  <c r="AY164" i="22"/>
  <c r="BA164" i="22" s="1"/>
  <c r="BC175" i="22"/>
  <c r="BE175" i="22" s="1"/>
  <c r="BG175" i="22" s="1"/>
  <c r="BG172" i="22"/>
  <c r="BI172" i="22" s="1"/>
  <c r="BE27" i="22"/>
  <c r="BC165" i="22"/>
  <c r="BE26" i="22"/>
  <c r="AY183" i="22"/>
  <c r="BI47" i="22"/>
  <c r="AW171" i="22"/>
  <c r="BA178" i="22"/>
  <c r="BC178" i="22" s="1"/>
  <c r="AU163" i="22"/>
  <c r="BC161" i="22"/>
  <c r="AW189" i="22"/>
  <c r="BE157" i="22"/>
  <c r="BG157" i="22" s="1"/>
  <c r="BI157" i="22" s="1"/>
  <c r="BG188" i="22"/>
  <c r="BI188" i="22" s="1"/>
  <c r="BE166" i="22"/>
  <c r="BG166" i="22" s="1"/>
  <c r="AY182" i="22"/>
  <c r="AW132" i="20"/>
  <c r="BE21" i="20"/>
  <c r="AW49" i="20"/>
  <c r="AY49" i="20"/>
  <c r="BA49" i="20" s="1"/>
  <c r="AS48" i="20"/>
  <c r="AU48" i="20" s="1"/>
  <c r="AS22" i="20"/>
  <c r="AU22" i="20"/>
  <c r="AW22" i="20" s="1"/>
  <c r="AF86" i="20"/>
  <c r="BC134" i="20"/>
  <c r="BE134" i="20" s="1"/>
  <c r="AF52" i="20"/>
  <c r="AF137" i="20"/>
  <c r="AS107" i="20"/>
  <c r="AM119" i="20"/>
  <c r="AO121" i="20"/>
  <c r="AQ121" i="20" s="1"/>
  <c r="AQ120" i="20"/>
  <c r="AS120" i="20" s="1"/>
  <c r="AM118" i="20"/>
  <c r="AO118" i="20" s="1"/>
  <c r="AO105" i="20"/>
  <c r="AS23" i="20"/>
  <c r="AU23" i="20" s="1"/>
  <c r="AO50" i="20"/>
  <c r="AQ50" i="20" s="1"/>
  <c r="AO28" i="20"/>
  <c r="AQ28" i="20" s="1"/>
  <c r="AS28" i="20" s="1"/>
  <c r="AU28" i="20" s="1"/>
  <c r="AM30" i="20"/>
  <c r="AM29" i="20"/>
  <c r="AO122" i="20"/>
  <c r="AQ122" i="20" s="1"/>
  <c r="AF122" i="20"/>
  <c r="AQ91" i="20"/>
  <c r="AS91" i="20" s="1"/>
  <c r="AJ184" i="20"/>
  <c r="AJ189" i="20" s="1"/>
  <c r="AL189" i="20" s="1"/>
  <c r="AO82" i="20"/>
  <c r="AM19" i="20"/>
  <c r="AO19" i="20" s="1"/>
  <c r="AM80" i="20"/>
  <c r="AO80" i="20" s="1"/>
  <c r="AO47" i="20"/>
  <c r="AM130" i="20"/>
  <c r="G44" i="20"/>
  <c r="AO117" i="20"/>
  <c r="AF17" i="20"/>
  <c r="T181" i="20"/>
  <c r="AQ98" i="20"/>
  <c r="AS98" i="20" s="1"/>
  <c r="AO81" i="20"/>
  <c r="AQ81" i="20" s="1"/>
  <c r="AC37" i="20"/>
  <c r="V181" i="20"/>
  <c r="P181" i="20"/>
  <c r="AF142" i="20"/>
  <c r="N181" i="20"/>
  <c r="AF76" i="20"/>
  <c r="Y113" i="20"/>
  <c r="AF113" i="20" s="1"/>
  <c r="X181" i="20"/>
  <c r="AF112" i="20"/>
  <c r="AF88" i="20"/>
  <c r="AF32" i="20"/>
  <c r="AF78" i="20"/>
  <c r="J181" i="20"/>
  <c r="AF67" i="20"/>
  <c r="AF114" i="20"/>
  <c r="AF16" i="20"/>
  <c r="AF39" i="20"/>
  <c r="AF116" i="20"/>
  <c r="AM46" i="20"/>
  <c r="AF97" i="20"/>
  <c r="AF93" i="20"/>
  <c r="AF45" i="20"/>
  <c r="AF79" i="20"/>
  <c r="AF115" i="20"/>
  <c r="AF123" i="20"/>
  <c r="AF68" i="20"/>
  <c r="AF139" i="20"/>
  <c r="AF63" i="20"/>
  <c r="AF92" i="20"/>
  <c r="AF96" i="20"/>
  <c r="AF111" i="20"/>
  <c r="AF89" i="20"/>
  <c r="AF128" i="20"/>
  <c r="AF140" i="20"/>
  <c r="AF87" i="20"/>
  <c r="AF110" i="20"/>
  <c r="AF95" i="20"/>
  <c r="AF141" i="20"/>
  <c r="AF129" i="20"/>
  <c r="AF109" i="20"/>
  <c r="AF126" i="20"/>
  <c r="AF75" i="20"/>
  <c r="AF74" i="20"/>
  <c r="AF124" i="20"/>
  <c r="AF35" i="20"/>
  <c r="AF38" i="20"/>
  <c r="AF34" i="20"/>
  <c r="D43" i="20"/>
  <c r="S90" i="20"/>
  <c r="S37" i="20"/>
  <c r="M44" i="20"/>
  <c r="S44" i="20"/>
  <c r="AF40" i="20"/>
  <c r="AF73" i="20"/>
  <c r="AF64" i="20"/>
  <c r="AF42" i="20"/>
  <c r="AA43" i="20"/>
  <c r="G43" i="20"/>
  <c r="AA37" i="20"/>
  <c r="AC44" i="20"/>
  <c r="AC90" i="20"/>
  <c r="AC43" i="20"/>
  <c r="AA44" i="20"/>
  <c r="I146" i="20"/>
  <c r="AA90" i="20"/>
  <c r="Q43" i="20"/>
  <c r="I37" i="20"/>
  <c r="I44" i="20"/>
  <c r="I43" i="20"/>
  <c r="AA144" i="20"/>
  <c r="AA145" i="20"/>
  <c r="K44" i="20"/>
  <c r="AA147" i="20"/>
  <c r="U44" i="20"/>
  <c r="AE90" i="20"/>
  <c r="Y90" i="20"/>
  <c r="W37" i="20"/>
  <c r="O90" i="20"/>
  <c r="M90" i="20"/>
  <c r="Q90" i="20"/>
  <c r="U90" i="20"/>
  <c r="W90" i="20"/>
  <c r="G90" i="20"/>
  <c r="K90" i="20"/>
  <c r="K37" i="20"/>
  <c r="K43" i="20"/>
  <c r="Y43" i="20"/>
  <c r="Y37" i="20"/>
  <c r="AE43" i="20"/>
  <c r="M43" i="20"/>
  <c r="O43" i="20"/>
  <c r="O37" i="20"/>
  <c r="U43" i="20"/>
  <c r="W43" i="20"/>
  <c r="AE37" i="20"/>
  <c r="W44" i="20"/>
  <c r="Y44" i="20"/>
  <c r="O44" i="20"/>
  <c r="Q44" i="20"/>
  <c r="M37" i="20"/>
  <c r="G37" i="20"/>
  <c r="Q37" i="20"/>
  <c r="AK115" i="20"/>
  <c r="M20" i="19"/>
  <c r="H20" i="19"/>
  <c r="O20" i="19"/>
  <c r="AK116" i="20"/>
  <c r="AM18" i="20"/>
  <c r="AK97" i="20"/>
  <c r="AM97" i="20" s="1"/>
  <c r="AO97" i="20" s="1"/>
  <c r="AO96" i="20"/>
  <c r="AQ96" i="20" s="1"/>
  <c r="AM111" i="20"/>
  <c r="AK112" i="20"/>
  <c r="AO95" i="20"/>
  <c r="AK17" i="20"/>
  <c r="AM17" i="20" s="1"/>
  <c r="AF178" i="20"/>
  <c r="AX184" i="20"/>
  <c r="AF146" i="20"/>
  <c r="BD184" i="20"/>
  <c r="AF147" i="20"/>
  <c r="AE70" i="20"/>
  <c r="AK16" i="20"/>
  <c r="AM16" i="20" s="1"/>
  <c r="M70" i="20"/>
  <c r="U70" i="20"/>
  <c r="Q70" i="20"/>
  <c r="O70" i="20"/>
  <c r="Y70" i="20"/>
  <c r="W70" i="20"/>
  <c r="U65" i="20"/>
  <c r="K65" i="20"/>
  <c r="AF143" i="20"/>
  <c r="AP184" i="20"/>
  <c r="M65" i="20"/>
  <c r="AF144" i="20"/>
  <c r="AE65" i="20"/>
  <c r="W125" i="20"/>
  <c r="AF125" i="20" s="1"/>
  <c r="K77" i="20"/>
  <c r="AF145" i="20"/>
  <c r="Q65" i="20"/>
  <c r="Y65" i="20"/>
  <c r="AZ184" i="20"/>
  <c r="Q77" i="20"/>
  <c r="G70" i="20"/>
  <c r="G65" i="20"/>
  <c r="K70" i="20"/>
  <c r="AN184" i="20"/>
  <c r="O65" i="20"/>
  <c r="AV184" i="20"/>
  <c r="X18" i="19"/>
  <c r="X16" i="19"/>
  <c r="X17" i="19"/>
  <c r="X15" i="19"/>
  <c r="U20" i="19"/>
  <c r="Q20" i="19"/>
  <c r="S20" i="19"/>
  <c r="G20" i="19"/>
  <c r="W20" i="19"/>
  <c r="I20" i="19"/>
  <c r="K20" i="19"/>
  <c r="AC17" i="19"/>
  <c r="AE16" i="19"/>
  <c r="AC15" i="19"/>
  <c r="X19" i="19"/>
  <c r="AC18" i="19"/>
  <c r="F35" i="19"/>
  <c r="P35" i="19"/>
  <c r="L35" i="19"/>
  <c r="T82" i="19"/>
  <c r="P82" i="19"/>
  <c r="E82" i="19"/>
  <c r="V80" i="19"/>
  <c r="L80" i="19"/>
  <c r="J80" i="19"/>
  <c r="H80" i="19"/>
  <c r="F80" i="19"/>
  <c r="T80" i="19"/>
  <c r="R80" i="19"/>
  <c r="R79" i="19"/>
  <c r="T79" i="19"/>
  <c r="N79" i="19"/>
  <c r="L79" i="19"/>
  <c r="J79" i="19"/>
  <c r="H79" i="19"/>
  <c r="F79" i="19"/>
  <c r="T76" i="19"/>
  <c r="L76" i="19"/>
  <c r="D76" i="19"/>
  <c r="N70" i="19"/>
  <c r="L70" i="19"/>
  <c r="H70" i="19"/>
  <c r="F70" i="19"/>
  <c r="C70" i="19"/>
  <c r="P69" i="19"/>
  <c r="N69" i="19"/>
  <c r="L69" i="19"/>
  <c r="J69" i="19"/>
  <c r="H69" i="19"/>
  <c r="F69" i="19"/>
  <c r="P67" i="19"/>
  <c r="N67" i="19"/>
  <c r="J67" i="19"/>
  <c r="L67" i="19"/>
  <c r="P30" i="19"/>
  <c r="P41" i="19"/>
  <c r="J41" i="19"/>
  <c r="H41" i="19"/>
  <c r="H42" i="19"/>
  <c r="P57" i="19"/>
  <c r="F61" i="19"/>
  <c r="D61" i="19"/>
  <c r="P62" i="19"/>
  <c r="C62" i="19"/>
  <c r="D62" i="19" s="1"/>
  <c r="H62" i="19"/>
  <c r="L64" i="19"/>
  <c r="P64" i="19"/>
  <c r="T84" i="19"/>
  <c r="C26" i="19"/>
  <c r="AP58" i="19"/>
  <c r="BJ79" i="23" l="1"/>
  <c r="BL79" i="23" s="1"/>
  <c r="BN79" i="23" s="1"/>
  <c r="BP79" i="23" s="1"/>
  <c r="BE135" i="22"/>
  <c r="BG135" i="22" s="1"/>
  <c r="BI135" i="22" s="1"/>
  <c r="BG27" i="22"/>
  <c r="BI27" i="22" s="1"/>
  <c r="BC176" i="22"/>
  <c r="BE176" i="22" s="1"/>
  <c r="BA182" i="22"/>
  <c r="BC182" i="22" s="1"/>
  <c r="BG184" i="22"/>
  <c r="BI184" i="22" s="1"/>
  <c r="BI81" i="22"/>
  <c r="BA190" i="22"/>
  <c r="BC190" i="22" s="1"/>
  <c r="BE169" i="22"/>
  <c r="BI166" i="22"/>
  <c r="BA177" i="22"/>
  <c r="BC177" i="22" s="1"/>
  <c r="BI175" i="22"/>
  <c r="BI187" i="22"/>
  <c r="BD202" i="22"/>
  <c r="BK180" i="23" s="1"/>
  <c r="AY189" i="22"/>
  <c r="AW163" i="22"/>
  <c r="AY163" i="22" s="1"/>
  <c r="BE178" i="22"/>
  <c r="BG178" i="22" s="1"/>
  <c r="BI131" i="22"/>
  <c r="BG26" i="22"/>
  <c r="BI26" i="22" s="1"/>
  <c r="BE161" i="22"/>
  <c r="BG161" i="22" s="1"/>
  <c r="BI91" i="22"/>
  <c r="BG181" i="22"/>
  <c r="BI181" i="22" s="1"/>
  <c r="BI159" i="22"/>
  <c r="AY174" i="22"/>
  <c r="BA174" i="22" s="1"/>
  <c r="BC174" i="22" s="1"/>
  <c r="BC164" i="22"/>
  <c r="BE164" i="22" s="1"/>
  <c r="BA183" i="22"/>
  <c r="AY173" i="22"/>
  <c r="AY171" i="22"/>
  <c r="BA171" i="22" s="1"/>
  <c r="BE165" i="22"/>
  <c r="BG165" i="22" s="1"/>
  <c r="AY132" i="20"/>
  <c r="BA132" i="20"/>
  <c r="BC49" i="20"/>
  <c r="BE49" i="20"/>
  <c r="AW48" i="20"/>
  <c r="AY48" i="20" s="1"/>
  <c r="AY22" i="20"/>
  <c r="BA22" i="20" s="1"/>
  <c r="AU102" i="20"/>
  <c r="AW102" i="20" s="1"/>
  <c r="AU137" i="20"/>
  <c r="AW137" i="20" s="1"/>
  <c r="AY137" i="20" s="1"/>
  <c r="AU107" i="20"/>
  <c r="AW107" i="20" s="1"/>
  <c r="AY107" i="20" s="1"/>
  <c r="AQ118" i="20"/>
  <c r="AS121" i="20"/>
  <c r="AU121" i="20" s="1"/>
  <c r="AO119" i="20"/>
  <c r="AU120" i="20"/>
  <c r="AW120" i="20" s="1"/>
  <c r="BC106" i="20"/>
  <c r="AQ105" i="20"/>
  <c r="AS105" i="20" s="1"/>
  <c r="AS50" i="20"/>
  <c r="AW23" i="20"/>
  <c r="AY23" i="20" s="1"/>
  <c r="AW28" i="20"/>
  <c r="AY28" i="20" s="1"/>
  <c r="BA28" i="20" s="1"/>
  <c r="BC28" i="20" s="1"/>
  <c r="AO30" i="20"/>
  <c r="AQ30" i="20" s="1"/>
  <c r="AO29" i="20"/>
  <c r="AQ29" i="20" s="1"/>
  <c r="AU108" i="20"/>
  <c r="AS122" i="20"/>
  <c r="AU122" i="20" s="1"/>
  <c r="AW122" i="20" s="1"/>
  <c r="AU91" i="20"/>
  <c r="AQ82" i="20"/>
  <c r="AS82" i="20" s="1"/>
  <c r="AQ19" i="20"/>
  <c r="AS19" i="20" s="1"/>
  <c r="AQ80" i="20"/>
  <c r="AQ47" i="20"/>
  <c r="AS47" i="20" s="1"/>
  <c r="AN189" i="20"/>
  <c r="AP189" i="20" s="1"/>
  <c r="AR189" i="20" s="1"/>
  <c r="AO130" i="20"/>
  <c r="AQ117" i="20"/>
  <c r="AU98" i="20"/>
  <c r="AO46" i="20"/>
  <c r="AQ46" i="20" s="1"/>
  <c r="AS81" i="20"/>
  <c r="AF70" i="20"/>
  <c r="AF77" i="20"/>
  <c r="AF90" i="20"/>
  <c r="AF65" i="20"/>
  <c r="AF37" i="20"/>
  <c r="AF44" i="20"/>
  <c r="AF43" i="20"/>
  <c r="R130" i="19"/>
  <c r="AM115" i="20"/>
  <c r="AO115" i="20" s="1"/>
  <c r="AQ109" i="20"/>
  <c r="AM116" i="20"/>
  <c r="AS124" i="20"/>
  <c r="AU124" i="20" s="1"/>
  <c r="AQ97" i="20"/>
  <c r="AO18" i="20"/>
  <c r="AS96" i="20"/>
  <c r="AO111" i="20"/>
  <c r="AM112" i="20"/>
  <c r="AQ95" i="20"/>
  <c r="AO17" i="20"/>
  <c r="AQ17" i="20" s="1"/>
  <c r="AO16" i="20"/>
  <c r="AQ16" i="20" s="1"/>
  <c r="AS16" i="20" s="1"/>
  <c r="X20" i="19"/>
  <c r="AE18" i="19"/>
  <c r="AG18" i="19" s="1"/>
  <c r="AG16" i="19"/>
  <c r="AE15" i="19"/>
  <c r="AE17" i="19"/>
  <c r="AG17" i="19" s="1"/>
  <c r="AR82" i="19"/>
  <c r="AR64" i="19"/>
  <c r="D56" i="19"/>
  <c r="AT189" i="20" l="1"/>
  <c r="AV203" i="22"/>
  <c r="BC171" i="22"/>
  <c r="BE171" i="22" s="1"/>
  <c r="BG176" i="22"/>
  <c r="BI176" i="22" s="1"/>
  <c r="BE182" i="22"/>
  <c r="BG182" i="22" s="1"/>
  <c r="BG164" i="22"/>
  <c r="BI164" i="22" s="1"/>
  <c r="BG169" i="22"/>
  <c r="BI169" i="22" s="1"/>
  <c r="BI165" i="22"/>
  <c r="BE190" i="22"/>
  <c r="BG190" i="22" s="1"/>
  <c r="BE177" i="22"/>
  <c r="BG177" i="22" s="1"/>
  <c r="BI177" i="22" s="1"/>
  <c r="BI144" i="22"/>
  <c r="BI146" i="22"/>
  <c r="BE174" i="22"/>
  <c r="BG174" i="22" s="1"/>
  <c r="BC183" i="22"/>
  <c r="BE183" i="22" s="1"/>
  <c r="BG183" i="22" s="1"/>
  <c r="BA163" i="22"/>
  <c r="BA173" i="22"/>
  <c r="BC173" i="22" s="1"/>
  <c r="BE173" i="22" s="1"/>
  <c r="BF202" i="22"/>
  <c r="BM180" i="23" s="1"/>
  <c r="BI178" i="22"/>
  <c r="BI161" i="22"/>
  <c r="BA189" i="22"/>
  <c r="BC189" i="22" s="1"/>
  <c r="BC132" i="20"/>
  <c r="BE132" i="20" s="1"/>
  <c r="BE133" i="20"/>
  <c r="BA48" i="20"/>
  <c r="BC22" i="20"/>
  <c r="BE22" i="20" s="1"/>
  <c r="AY102" i="20"/>
  <c r="AU103" i="20"/>
  <c r="AW103" i="20" s="1"/>
  <c r="AW138" i="20"/>
  <c r="AY138" i="20" s="1"/>
  <c r="BE86" i="20"/>
  <c r="BA137" i="20"/>
  <c r="BC137" i="20" s="1"/>
  <c r="AW121" i="20"/>
  <c r="AY120" i="20"/>
  <c r="BA120" i="20" s="1"/>
  <c r="AQ119" i="20"/>
  <c r="AS119" i="20" s="1"/>
  <c r="AU119" i="20" s="1"/>
  <c r="AW119" i="20" s="1"/>
  <c r="BA107" i="20"/>
  <c r="BC107" i="20" s="1"/>
  <c r="BE107" i="20" s="1"/>
  <c r="AS118" i="20"/>
  <c r="BE106" i="20"/>
  <c r="AU105" i="20"/>
  <c r="BE53" i="20"/>
  <c r="BA23" i="20"/>
  <c r="AU50" i="20"/>
  <c r="BE28" i="20"/>
  <c r="AW108" i="20"/>
  <c r="AY108" i="20" s="1"/>
  <c r="AS29" i="20"/>
  <c r="AS30" i="20"/>
  <c r="AY122" i="20"/>
  <c r="BA122" i="20" s="1"/>
  <c r="BC122" i="20" s="1"/>
  <c r="BE122" i="20" s="1"/>
  <c r="AW91" i="20"/>
  <c r="AY91" i="20" s="1"/>
  <c r="BA91" i="20" s="1"/>
  <c r="BC91" i="20" s="1"/>
  <c r="AU82" i="20"/>
  <c r="AU19" i="20"/>
  <c r="AW19" i="20" s="1"/>
  <c r="AS80" i="20"/>
  <c r="AU47" i="20"/>
  <c r="BE58" i="20"/>
  <c r="AQ130" i="20"/>
  <c r="AS130" i="20" s="1"/>
  <c r="AS117" i="20"/>
  <c r="AW98" i="20"/>
  <c r="AY98" i="20" s="1"/>
  <c r="AU81" i="20"/>
  <c r="AS46" i="20"/>
  <c r="AU46" i="20" s="1"/>
  <c r="AW46" i="20" s="1"/>
  <c r="AO64" i="20"/>
  <c r="AQ115" i="20"/>
  <c r="AS115" i="20" s="1"/>
  <c r="AU115" i="20" s="1"/>
  <c r="AO116" i="20"/>
  <c r="AS109" i="20"/>
  <c r="AW124" i="20"/>
  <c r="AO92" i="20"/>
  <c r="AS17" i="20"/>
  <c r="AU17" i="20" s="1"/>
  <c r="AS97" i="20"/>
  <c r="AQ18" i="20"/>
  <c r="AS18" i="20" s="1"/>
  <c r="AU96" i="20"/>
  <c r="AW96" i="20" s="1"/>
  <c r="AQ111" i="20"/>
  <c r="AS111" i="20" s="1"/>
  <c r="AO112" i="20"/>
  <c r="AS95" i="20"/>
  <c r="AU95" i="20" s="1"/>
  <c r="AU16" i="20"/>
  <c r="AW16" i="20" s="1"/>
  <c r="AY16" i="20" s="1"/>
  <c r="AI17" i="19"/>
  <c r="AK17" i="19" s="1"/>
  <c r="AI18" i="19"/>
  <c r="AI16" i="19"/>
  <c r="AK16" i="19" s="1"/>
  <c r="AM16" i="19" s="1"/>
  <c r="AG15" i="19"/>
  <c r="P32" i="19"/>
  <c r="D67" i="19"/>
  <c r="AV189" i="20" l="1"/>
  <c r="AX203" i="22"/>
  <c r="BG171" i="22"/>
  <c r="BI171" i="22" s="1"/>
  <c r="BI182" i="22"/>
  <c r="BG173" i="22"/>
  <c r="BI173" i="22" s="1"/>
  <c r="BI190" i="22"/>
  <c r="BE189" i="22"/>
  <c r="BG189" i="22" s="1"/>
  <c r="BI189" i="22" s="1"/>
  <c r="BI174" i="22"/>
  <c r="BC163" i="22"/>
  <c r="BH202" i="22"/>
  <c r="BO180" i="23" s="1"/>
  <c r="BI183" i="22"/>
  <c r="BC48" i="20"/>
  <c r="BE48" i="20" s="1"/>
  <c r="BA102" i="20"/>
  <c r="AY103" i="20"/>
  <c r="BA103" i="20" s="1"/>
  <c r="BE137" i="20"/>
  <c r="BA138" i="20"/>
  <c r="BC138" i="20" s="1"/>
  <c r="AU118" i="20"/>
  <c r="BC120" i="20"/>
  <c r="BE120" i="20" s="1"/>
  <c r="AY119" i="20"/>
  <c r="BA119" i="20" s="1"/>
  <c r="AY121" i="20"/>
  <c r="BA121" i="20" s="1"/>
  <c r="AW105" i="20"/>
  <c r="BC83" i="20"/>
  <c r="BE83" i="20" s="1"/>
  <c r="BE51" i="20"/>
  <c r="BC23" i="20"/>
  <c r="BE23" i="20" s="1"/>
  <c r="AW50" i="20"/>
  <c r="AY50" i="20" s="1"/>
  <c r="BE54" i="20"/>
  <c r="BE26" i="20"/>
  <c r="AU29" i="20"/>
  <c r="AU30" i="20"/>
  <c r="AW30" i="20" s="1"/>
  <c r="BE56" i="20"/>
  <c r="BA108" i="20"/>
  <c r="BC108" i="20" s="1"/>
  <c r="BE108" i="20" s="1"/>
  <c r="BE91" i="20"/>
  <c r="AW82" i="20"/>
  <c r="AY19" i="20"/>
  <c r="AU80" i="20"/>
  <c r="AW47" i="20"/>
  <c r="BE36" i="20"/>
  <c r="BE61" i="20"/>
  <c r="BA98" i="20"/>
  <c r="BC98" i="20" s="1"/>
  <c r="BE98" i="20" s="1"/>
  <c r="AU130" i="20"/>
  <c r="AW130" i="20" s="1"/>
  <c r="AY130" i="20" s="1"/>
  <c r="BA130" i="20" s="1"/>
  <c r="BC130" i="20" s="1"/>
  <c r="AU117" i="20"/>
  <c r="AW81" i="20"/>
  <c r="AY81" i="20" s="1"/>
  <c r="AY46" i="20"/>
  <c r="AQ64" i="20"/>
  <c r="AW115" i="20"/>
  <c r="AY115" i="20" s="1"/>
  <c r="AQ116" i="20"/>
  <c r="AU109" i="20"/>
  <c r="AW109" i="20" s="1"/>
  <c r="AY124" i="20"/>
  <c r="AQ92" i="20"/>
  <c r="AU18" i="20"/>
  <c r="AW18" i="20" s="1"/>
  <c r="AY18" i="20" s="1"/>
  <c r="AY96" i="20"/>
  <c r="BA96" i="20" s="1"/>
  <c r="AU97" i="20"/>
  <c r="AW97" i="20" s="1"/>
  <c r="AU111" i="20"/>
  <c r="AW111" i="20" s="1"/>
  <c r="AQ112" i="20"/>
  <c r="AW95" i="20"/>
  <c r="AW17" i="20"/>
  <c r="AY17" i="20" s="1"/>
  <c r="BA16" i="20"/>
  <c r="BC16" i="20" s="1"/>
  <c r="BE16" i="20" s="1"/>
  <c r="AM17" i="19"/>
  <c r="AO17" i="19" s="1"/>
  <c r="AK18" i="19"/>
  <c r="AI15" i="19"/>
  <c r="AK15" i="19" s="1"/>
  <c r="AO16" i="19"/>
  <c r="D74" i="19"/>
  <c r="E74" i="19" s="1"/>
  <c r="AP74" i="19"/>
  <c r="E69" i="19"/>
  <c r="AN70" i="19"/>
  <c r="AX189" i="20" l="1"/>
  <c r="AZ203" i="22"/>
  <c r="BE163" i="22"/>
  <c r="BC102" i="20"/>
  <c r="BE102" i="20" s="1"/>
  <c r="AW101" i="20"/>
  <c r="AY101" i="20" s="1"/>
  <c r="BC103" i="20"/>
  <c r="BE103" i="20" s="1"/>
  <c r="BE138" i="20"/>
  <c r="BE135" i="20"/>
  <c r="BC136" i="20"/>
  <c r="BC119" i="20"/>
  <c r="BE119" i="20" s="1"/>
  <c r="BC121" i="20"/>
  <c r="BE121" i="20" s="1"/>
  <c r="AW118" i="20"/>
  <c r="BE84" i="20"/>
  <c r="AY105" i="20"/>
  <c r="BA50" i="20"/>
  <c r="BC50" i="20" s="1"/>
  <c r="BC55" i="20"/>
  <c r="BE55" i="20" s="1"/>
  <c r="AW29" i="20"/>
  <c r="AY29" i="20" s="1"/>
  <c r="AY30" i="20"/>
  <c r="BA30" i="20" s="1"/>
  <c r="BC62" i="20"/>
  <c r="BE57" i="20"/>
  <c r="AY82" i="20"/>
  <c r="BA82" i="20" s="1"/>
  <c r="BC82" i="20" s="1"/>
  <c r="BA19" i="20"/>
  <c r="BC19" i="20" s="1"/>
  <c r="BE19" i="20" s="1"/>
  <c r="AW80" i="20"/>
  <c r="AY80" i="20" s="1"/>
  <c r="AY47" i="20"/>
  <c r="BC60" i="20"/>
  <c r="BE60" i="20" s="1"/>
  <c r="BE130" i="20"/>
  <c r="AW117" i="20"/>
  <c r="AY117" i="20" s="1"/>
  <c r="BA81" i="20"/>
  <c r="BC81" i="20" s="1"/>
  <c r="BA46" i="20"/>
  <c r="BC46" i="20" s="1"/>
  <c r="AS64" i="20"/>
  <c r="BA115" i="20"/>
  <c r="BC115" i="20" s="1"/>
  <c r="BE115" i="20" s="1"/>
  <c r="AS116" i="20"/>
  <c r="AY109" i="20"/>
  <c r="BA124" i="20"/>
  <c r="AS92" i="20"/>
  <c r="AW45" i="20"/>
  <c r="AY45" i="20" s="1"/>
  <c r="BA45" i="20" s="1"/>
  <c r="BE40" i="20"/>
  <c r="BA17" i="20"/>
  <c r="BC17" i="20" s="1"/>
  <c r="BE17" i="20" s="1"/>
  <c r="BC96" i="20"/>
  <c r="BE96" i="20" s="1"/>
  <c r="AY111" i="20"/>
  <c r="AY97" i="20"/>
  <c r="BA97" i="20" s="1"/>
  <c r="BA18" i="20"/>
  <c r="BC18" i="20" s="1"/>
  <c r="BA43" i="20"/>
  <c r="BC43" i="20" s="1"/>
  <c r="AS112" i="20"/>
  <c r="AY95" i="20"/>
  <c r="AQ16" i="19"/>
  <c r="AM18" i="19"/>
  <c r="AW19" i="19"/>
  <c r="AQ17" i="19"/>
  <c r="AS17" i="19" s="1"/>
  <c r="AM15" i="19"/>
  <c r="AN62" i="19"/>
  <c r="E62" i="19"/>
  <c r="W62" i="19" s="1"/>
  <c r="AU65" i="19"/>
  <c r="W26" i="19"/>
  <c r="U26" i="19"/>
  <c r="S26" i="19"/>
  <c r="Q26" i="19"/>
  <c r="O26" i="19"/>
  <c r="M26" i="19"/>
  <c r="K26" i="19"/>
  <c r="I26" i="19"/>
  <c r="G26" i="19"/>
  <c r="W25" i="19"/>
  <c r="U25" i="19"/>
  <c r="S25" i="19"/>
  <c r="Q25" i="19"/>
  <c r="O25" i="19"/>
  <c r="M25" i="19"/>
  <c r="K25" i="19"/>
  <c r="I25" i="19"/>
  <c r="G25" i="19"/>
  <c r="W24" i="19"/>
  <c r="U24" i="19"/>
  <c r="S24" i="19"/>
  <c r="Q24" i="19"/>
  <c r="O24" i="19"/>
  <c r="M24" i="19"/>
  <c r="K24" i="19"/>
  <c r="I24" i="19"/>
  <c r="G24" i="19"/>
  <c r="W23" i="19"/>
  <c r="U23" i="19"/>
  <c r="S23" i="19"/>
  <c r="Q23" i="19"/>
  <c r="O23" i="19"/>
  <c r="M23" i="19"/>
  <c r="K23" i="19"/>
  <c r="I23" i="19"/>
  <c r="G23" i="19"/>
  <c r="W22" i="19"/>
  <c r="U22" i="19"/>
  <c r="S22" i="19"/>
  <c r="Q22" i="19"/>
  <c r="O22" i="19"/>
  <c r="M22" i="19"/>
  <c r="K22" i="19"/>
  <c r="I22" i="19"/>
  <c r="G22" i="19"/>
  <c r="V38" i="19"/>
  <c r="W35" i="19"/>
  <c r="U35" i="19"/>
  <c r="S35" i="19"/>
  <c r="Q35" i="19"/>
  <c r="O35" i="19"/>
  <c r="M35" i="19"/>
  <c r="K35" i="19"/>
  <c r="I35" i="19"/>
  <c r="G35" i="19"/>
  <c r="W34" i="19"/>
  <c r="U34" i="19"/>
  <c r="S34" i="19"/>
  <c r="Q34" i="19"/>
  <c r="O34" i="19"/>
  <c r="M34" i="19"/>
  <c r="K34" i="19"/>
  <c r="I34" i="19"/>
  <c r="G34" i="19"/>
  <c r="W33" i="19"/>
  <c r="U33" i="19"/>
  <c r="S33" i="19"/>
  <c r="Q33" i="19"/>
  <c r="O33" i="19"/>
  <c r="M33" i="19"/>
  <c r="K33" i="19"/>
  <c r="I33" i="19"/>
  <c r="G33" i="19"/>
  <c r="W32" i="19"/>
  <c r="U32" i="19"/>
  <c r="S32" i="19"/>
  <c r="Q32" i="19"/>
  <c r="O32" i="19"/>
  <c r="M32" i="19"/>
  <c r="K32" i="19"/>
  <c r="I32" i="19"/>
  <c r="G32" i="19"/>
  <c r="W31" i="19"/>
  <c r="U31" i="19"/>
  <c r="S31" i="19"/>
  <c r="Q31" i="19"/>
  <c r="O31" i="19"/>
  <c r="M31" i="19"/>
  <c r="K31" i="19"/>
  <c r="I31" i="19"/>
  <c r="G31" i="19"/>
  <c r="X129" i="19"/>
  <c r="W27" i="19"/>
  <c r="W28" i="19"/>
  <c r="W29" i="19"/>
  <c r="W30" i="19"/>
  <c r="W36" i="19"/>
  <c r="W37" i="19"/>
  <c r="W39" i="19"/>
  <c r="W40" i="19"/>
  <c r="W41" i="19"/>
  <c r="W42" i="19"/>
  <c r="W43" i="19"/>
  <c r="W44" i="19"/>
  <c r="W45" i="19"/>
  <c r="W46" i="19"/>
  <c r="W47" i="19"/>
  <c r="W48" i="19"/>
  <c r="W50" i="19"/>
  <c r="W51" i="19"/>
  <c r="W52" i="19"/>
  <c r="W53" i="19"/>
  <c r="W54" i="19"/>
  <c r="W55" i="19"/>
  <c r="W56" i="19"/>
  <c r="W57" i="19"/>
  <c r="W60" i="19"/>
  <c r="W61" i="19"/>
  <c r="W64" i="19"/>
  <c r="W66" i="19"/>
  <c r="W69" i="19"/>
  <c r="W71" i="19"/>
  <c r="W72" i="19"/>
  <c r="W73" i="19"/>
  <c r="W76" i="19"/>
  <c r="W80" i="19"/>
  <c r="W82" i="19"/>
  <c r="W83" i="19"/>
  <c r="W84" i="19"/>
  <c r="W85" i="19"/>
  <c r="W86" i="19"/>
  <c r="W87" i="19"/>
  <c r="W88" i="19"/>
  <c r="W89" i="19"/>
  <c r="W90" i="19"/>
  <c r="W91" i="19"/>
  <c r="W93" i="19"/>
  <c r="W94" i="19"/>
  <c r="W95" i="19"/>
  <c r="W96" i="19"/>
  <c r="W127" i="19"/>
  <c r="W128" i="19"/>
  <c r="X128" i="19" s="1"/>
  <c r="W21" i="19"/>
  <c r="W14" i="19"/>
  <c r="Y71" i="19"/>
  <c r="U39" i="19"/>
  <c r="S39" i="19"/>
  <c r="Q39" i="19"/>
  <c r="O39" i="19"/>
  <c r="M39" i="19"/>
  <c r="K39" i="19"/>
  <c r="I39" i="19"/>
  <c r="G39" i="19"/>
  <c r="AQ14" i="19"/>
  <c r="AS14" i="19" s="1"/>
  <c r="U29" i="19"/>
  <c r="S29" i="19"/>
  <c r="Q29" i="19"/>
  <c r="O29" i="19"/>
  <c r="M29" i="19"/>
  <c r="K29" i="19"/>
  <c r="I29" i="19"/>
  <c r="G29" i="19"/>
  <c r="U28" i="19"/>
  <c r="S28" i="19"/>
  <c r="Q28" i="19"/>
  <c r="O28" i="19"/>
  <c r="M28" i="19"/>
  <c r="K28" i="19"/>
  <c r="I28" i="19"/>
  <c r="G28" i="19"/>
  <c r="U27" i="19"/>
  <c r="S27" i="19"/>
  <c r="Q27" i="19"/>
  <c r="O27" i="19"/>
  <c r="M27" i="19"/>
  <c r="K27" i="19"/>
  <c r="I27" i="19"/>
  <c r="G27" i="19"/>
  <c r="U21" i="19"/>
  <c r="S21" i="19"/>
  <c r="Q21" i="19"/>
  <c r="O21" i="19"/>
  <c r="M21" i="19"/>
  <c r="K21" i="19"/>
  <c r="I21" i="19"/>
  <c r="G21" i="19"/>
  <c r="U36" i="19"/>
  <c r="S36" i="19"/>
  <c r="Q36" i="19"/>
  <c r="O36" i="19"/>
  <c r="M36" i="19"/>
  <c r="K36" i="19"/>
  <c r="I36" i="19"/>
  <c r="G36" i="19"/>
  <c r="U30" i="19"/>
  <c r="S30" i="19"/>
  <c r="Q30" i="19"/>
  <c r="O30" i="19"/>
  <c r="M30" i="19"/>
  <c r="K30" i="19"/>
  <c r="I30" i="19"/>
  <c r="G30" i="19"/>
  <c r="U37" i="19"/>
  <c r="S37" i="19"/>
  <c r="Q37" i="19"/>
  <c r="O37" i="19"/>
  <c r="M37" i="19"/>
  <c r="K37" i="19"/>
  <c r="I37" i="19"/>
  <c r="G37" i="19"/>
  <c r="U14" i="19"/>
  <c r="S14" i="19"/>
  <c r="Q14" i="19"/>
  <c r="O14" i="19"/>
  <c r="M14" i="19"/>
  <c r="K14" i="19"/>
  <c r="I14" i="19"/>
  <c r="G14" i="19"/>
  <c r="G38" i="19"/>
  <c r="I38" i="19"/>
  <c r="K38" i="19"/>
  <c r="M38" i="19"/>
  <c r="O38" i="19"/>
  <c r="Q38" i="19"/>
  <c r="S38" i="19"/>
  <c r="U38" i="19"/>
  <c r="G40" i="19"/>
  <c r="I40" i="19"/>
  <c r="K40" i="19"/>
  <c r="M40" i="19"/>
  <c r="O40" i="19"/>
  <c r="Q40" i="19"/>
  <c r="S40" i="19"/>
  <c r="U40" i="19"/>
  <c r="AM75" i="19"/>
  <c r="U43" i="19"/>
  <c r="S43" i="19"/>
  <c r="Q43" i="19"/>
  <c r="O43" i="19"/>
  <c r="M43" i="19"/>
  <c r="K43" i="19"/>
  <c r="I43" i="19"/>
  <c r="G43" i="19"/>
  <c r="U42" i="19"/>
  <c r="S42" i="19"/>
  <c r="Q42" i="19"/>
  <c r="O42" i="19"/>
  <c r="M42" i="19"/>
  <c r="K42" i="19"/>
  <c r="I42" i="19"/>
  <c r="G42" i="19"/>
  <c r="U41" i="19"/>
  <c r="S41" i="19"/>
  <c r="Q41" i="19"/>
  <c r="O41" i="19"/>
  <c r="M41" i="19"/>
  <c r="K41" i="19"/>
  <c r="I41" i="19"/>
  <c r="G41" i="19"/>
  <c r="U44" i="19"/>
  <c r="S44" i="19"/>
  <c r="Q44" i="19"/>
  <c r="O44" i="19"/>
  <c r="M44" i="19"/>
  <c r="K44" i="19"/>
  <c r="I44" i="19"/>
  <c r="G44" i="19"/>
  <c r="T58" i="19"/>
  <c r="P58" i="19"/>
  <c r="AE49" i="19"/>
  <c r="C49" i="19"/>
  <c r="D49" i="19" s="1"/>
  <c r="AJ80" i="19"/>
  <c r="AH74" i="19"/>
  <c r="AH80" i="19"/>
  <c r="D20" i="14"/>
  <c r="AF49" i="19"/>
  <c r="F49" i="19"/>
  <c r="U48" i="19"/>
  <c r="S48" i="19"/>
  <c r="Q48" i="19"/>
  <c r="O48" i="19"/>
  <c r="M48" i="19"/>
  <c r="K48" i="19"/>
  <c r="I48" i="19"/>
  <c r="G48" i="19"/>
  <c r="U47" i="19"/>
  <c r="S47" i="19"/>
  <c r="Q47" i="19"/>
  <c r="O47" i="19"/>
  <c r="M47" i="19"/>
  <c r="K47" i="19"/>
  <c r="I47" i="19"/>
  <c r="G47" i="19"/>
  <c r="D47" i="19"/>
  <c r="D50" i="19"/>
  <c r="G50" i="19"/>
  <c r="I50" i="19"/>
  <c r="K50" i="19"/>
  <c r="M50" i="19"/>
  <c r="O50" i="19"/>
  <c r="Q50" i="19"/>
  <c r="S50" i="19"/>
  <c r="U50" i="19"/>
  <c r="U46" i="19"/>
  <c r="S46" i="19"/>
  <c r="Q46" i="19"/>
  <c r="O46" i="19"/>
  <c r="M46" i="19"/>
  <c r="K46" i="19"/>
  <c r="I46" i="19"/>
  <c r="G46" i="19"/>
  <c r="D46" i="19"/>
  <c r="AF68" i="19"/>
  <c r="P81" i="19"/>
  <c r="J81" i="19"/>
  <c r="J130" i="19" s="1"/>
  <c r="F81" i="19"/>
  <c r="L81" i="19"/>
  <c r="AF81" i="19"/>
  <c r="C53" i="18"/>
  <c r="U45" i="19"/>
  <c r="S45" i="19"/>
  <c r="Q45" i="19"/>
  <c r="O45" i="19"/>
  <c r="M45" i="19"/>
  <c r="K45" i="19"/>
  <c r="I45" i="19"/>
  <c r="G45" i="19"/>
  <c r="U55" i="19"/>
  <c r="S55" i="19"/>
  <c r="Q55" i="19"/>
  <c r="O55" i="19"/>
  <c r="M55" i="19"/>
  <c r="K55" i="19"/>
  <c r="I55" i="19"/>
  <c r="G55" i="19"/>
  <c r="U54" i="19"/>
  <c r="S54" i="19"/>
  <c r="Q54" i="19"/>
  <c r="O54" i="19"/>
  <c r="M54" i="19"/>
  <c r="K54" i="19"/>
  <c r="I54" i="19"/>
  <c r="G54" i="19"/>
  <c r="U53" i="19"/>
  <c r="S53" i="19"/>
  <c r="Q53" i="19"/>
  <c r="O53" i="19"/>
  <c r="M53" i="19"/>
  <c r="K53" i="19"/>
  <c r="I53" i="19"/>
  <c r="G53" i="19"/>
  <c r="D53" i="19"/>
  <c r="D52" i="19"/>
  <c r="U56" i="19"/>
  <c r="S56" i="19"/>
  <c r="Q56" i="19"/>
  <c r="O56" i="19"/>
  <c r="M56" i="19"/>
  <c r="K56" i="19"/>
  <c r="I56" i="19"/>
  <c r="G56" i="19"/>
  <c r="U52" i="19"/>
  <c r="S52" i="19"/>
  <c r="Q52" i="19"/>
  <c r="O52" i="19"/>
  <c r="M52" i="19"/>
  <c r="K52" i="19"/>
  <c r="I52" i="19"/>
  <c r="G52" i="19"/>
  <c r="U51" i="19"/>
  <c r="S51" i="19"/>
  <c r="Q51" i="19"/>
  <c r="O51" i="19"/>
  <c r="M51" i="19"/>
  <c r="K51" i="19"/>
  <c r="I51" i="19"/>
  <c r="G51" i="19"/>
  <c r="H74" i="19"/>
  <c r="W74" i="19"/>
  <c r="F69" i="18"/>
  <c r="AA67" i="19"/>
  <c r="AB67" i="19" s="1"/>
  <c r="AZ189" i="20" l="1"/>
  <c r="BB203" i="22"/>
  <c r="BG163" i="22"/>
  <c r="BA101" i="20"/>
  <c r="AY118" i="20"/>
  <c r="BE136" i="20"/>
  <c r="BE50" i="20"/>
  <c r="BA105" i="20"/>
  <c r="BC105" i="20" s="1"/>
  <c r="BE105" i="20" s="1"/>
  <c r="BE27" i="20"/>
  <c r="BA29" i="20"/>
  <c r="BC29" i="20" s="1"/>
  <c r="BE29" i="20" s="1"/>
  <c r="BC30" i="20"/>
  <c r="BE30" i="20" s="1"/>
  <c r="BE62" i="20"/>
  <c r="BE82" i="20"/>
  <c r="BA80" i="20"/>
  <c r="BC80" i="20" s="1"/>
  <c r="BE80" i="20" s="1"/>
  <c r="BA47" i="20"/>
  <c r="BC47" i="20" s="1"/>
  <c r="BE47" i="20" s="1"/>
  <c r="BE59" i="20"/>
  <c r="BA117" i="20"/>
  <c r="BE81" i="20"/>
  <c r="BE46" i="20"/>
  <c r="AU64" i="20"/>
  <c r="AW64" i="20" s="1"/>
  <c r="BA109" i="20"/>
  <c r="AU116" i="20"/>
  <c r="AW116" i="20" s="1"/>
  <c r="BC124" i="20"/>
  <c r="BE124" i="20" s="1"/>
  <c r="AU92" i="20"/>
  <c r="AW92" i="20" s="1"/>
  <c r="BE79" i="20"/>
  <c r="BA111" i="20"/>
  <c r="BC111" i="20" s="1"/>
  <c r="BE111" i="20" s="1"/>
  <c r="BC45" i="20"/>
  <c r="BE45" i="20" s="1"/>
  <c r="BC97" i="20"/>
  <c r="BE97" i="20" s="1"/>
  <c r="BE18" i="20"/>
  <c r="BE88" i="20"/>
  <c r="BE43" i="20"/>
  <c r="BE63" i="20"/>
  <c r="AU112" i="20"/>
  <c r="AW112" i="20" s="1"/>
  <c r="BC75" i="20"/>
  <c r="BA95" i="20"/>
  <c r="BC95" i="20" s="1"/>
  <c r="AU17" i="19"/>
  <c r="AW17" i="19" s="1"/>
  <c r="AO18" i="19"/>
  <c r="AQ18" i="19" s="1"/>
  <c r="AO15" i="19"/>
  <c r="AS16" i="19"/>
  <c r="AU16" i="19" s="1"/>
  <c r="W38" i="19"/>
  <c r="X38" i="19" s="1"/>
  <c r="V130" i="19"/>
  <c r="N130" i="19"/>
  <c r="L130" i="19"/>
  <c r="F130" i="19"/>
  <c r="X52" i="19"/>
  <c r="X23" i="19"/>
  <c r="X24" i="19"/>
  <c r="X25" i="19"/>
  <c r="X26" i="19"/>
  <c r="X32" i="19"/>
  <c r="X22" i="19"/>
  <c r="X45" i="19"/>
  <c r="X55" i="19"/>
  <c r="X37" i="19"/>
  <c r="X53" i="19"/>
  <c r="X30" i="19"/>
  <c r="X46" i="19"/>
  <c r="X43" i="19"/>
  <c r="X29" i="19"/>
  <c r="X33" i="19"/>
  <c r="X54" i="19"/>
  <c r="X51" i="19"/>
  <c r="X42" i="19"/>
  <c r="X28" i="19"/>
  <c r="X50" i="19"/>
  <c r="X41" i="19"/>
  <c r="X27" i="19"/>
  <c r="X34" i="19"/>
  <c r="X36" i="19"/>
  <c r="X21" i="19"/>
  <c r="X40" i="19"/>
  <c r="X56" i="19"/>
  <c r="X48" i="19"/>
  <c r="X14" i="19"/>
  <c r="X47" i="19"/>
  <c r="X31" i="19"/>
  <c r="X35" i="19"/>
  <c r="X39" i="19"/>
  <c r="X44" i="19"/>
  <c r="AU14" i="19"/>
  <c r="AW14" i="19" s="1"/>
  <c r="AW40" i="19"/>
  <c r="E49" i="19"/>
  <c r="AK49" i="19"/>
  <c r="AA46" i="19"/>
  <c r="P77" i="19"/>
  <c r="E77" i="19"/>
  <c r="T75" i="19"/>
  <c r="P75" i="19"/>
  <c r="E75" i="19"/>
  <c r="Z71" i="19"/>
  <c r="Z133" i="19" s="1"/>
  <c r="J36" i="18"/>
  <c r="C36" i="18"/>
  <c r="C56" i="18"/>
  <c r="N84" i="19"/>
  <c r="Q84" i="19"/>
  <c r="AA73" i="19"/>
  <c r="C10" i="19"/>
  <c r="C11" i="19"/>
  <c r="C12" i="19"/>
  <c r="C9" i="19"/>
  <c r="AB133" i="19"/>
  <c r="AJ185" i="20" s="1"/>
  <c r="U127" i="19"/>
  <c r="X127" i="19" s="1"/>
  <c r="U96" i="19"/>
  <c r="S96" i="19"/>
  <c r="Q96" i="19"/>
  <c r="O96" i="19"/>
  <c r="M96" i="19"/>
  <c r="K96" i="19"/>
  <c r="I96" i="19"/>
  <c r="G96" i="19"/>
  <c r="U95" i="19"/>
  <c r="S95" i="19"/>
  <c r="Q95" i="19"/>
  <c r="O95" i="19"/>
  <c r="M95" i="19"/>
  <c r="K95" i="19"/>
  <c r="I95" i="19"/>
  <c r="G95" i="19"/>
  <c r="U94" i="19"/>
  <c r="S94" i="19"/>
  <c r="Q94" i="19"/>
  <c r="O94" i="19"/>
  <c r="M94" i="19"/>
  <c r="K94" i="19"/>
  <c r="I94" i="19"/>
  <c r="G94" i="19"/>
  <c r="U93" i="19"/>
  <c r="S93" i="19"/>
  <c r="Q93" i="19"/>
  <c r="O93" i="19"/>
  <c r="M93" i="19"/>
  <c r="K93" i="19"/>
  <c r="I93" i="19"/>
  <c r="G93" i="19"/>
  <c r="U91" i="19"/>
  <c r="X91" i="19" s="1"/>
  <c r="U90" i="19"/>
  <c r="S90" i="19"/>
  <c r="Q90" i="19"/>
  <c r="O90" i="19"/>
  <c r="M90" i="19"/>
  <c r="K90" i="19"/>
  <c r="I90" i="19"/>
  <c r="G90" i="19"/>
  <c r="U89" i="19"/>
  <c r="S89" i="19"/>
  <c r="Q89" i="19"/>
  <c r="O89" i="19"/>
  <c r="M89" i="19"/>
  <c r="K89" i="19"/>
  <c r="I89" i="19"/>
  <c r="G89" i="19"/>
  <c r="U88" i="19"/>
  <c r="S88" i="19"/>
  <c r="Q88" i="19"/>
  <c r="O88" i="19"/>
  <c r="M88" i="19"/>
  <c r="K88" i="19"/>
  <c r="I88" i="19"/>
  <c r="G88" i="19"/>
  <c r="U87" i="19"/>
  <c r="S87" i="19"/>
  <c r="Q87" i="19"/>
  <c r="O87" i="19"/>
  <c r="M87" i="19"/>
  <c r="K87" i="19"/>
  <c r="I87" i="19"/>
  <c r="G87" i="19"/>
  <c r="U86" i="19"/>
  <c r="S86" i="19"/>
  <c r="Q86" i="19"/>
  <c r="O86" i="19"/>
  <c r="M86" i="19"/>
  <c r="K86" i="19"/>
  <c r="I86" i="19"/>
  <c r="G86" i="19"/>
  <c r="U85" i="19"/>
  <c r="S85" i="19"/>
  <c r="Q85" i="19"/>
  <c r="O85" i="19"/>
  <c r="M85" i="19"/>
  <c r="K85" i="19"/>
  <c r="I85" i="19"/>
  <c r="G85" i="19"/>
  <c r="S84" i="19"/>
  <c r="K84" i="19"/>
  <c r="I84" i="19"/>
  <c r="G84" i="19"/>
  <c r="U83" i="19"/>
  <c r="S83" i="19"/>
  <c r="Q83" i="19"/>
  <c r="O83" i="19"/>
  <c r="M83" i="19"/>
  <c r="K83" i="19"/>
  <c r="I83" i="19"/>
  <c r="G83" i="19"/>
  <c r="U82" i="19"/>
  <c r="S82" i="19"/>
  <c r="Q82" i="19"/>
  <c r="O82" i="19"/>
  <c r="M82" i="19"/>
  <c r="K82" i="19"/>
  <c r="I82" i="19"/>
  <c r="G82" i="19"/>
  <c r="U80" i="19"/>
  <c r="S80" i="19"/>
  <c r="Q80" i="19"/>
  <c r="O80" i="19"/>
  <c r="M80" i="19"/>
  <c r="K80" i="19"/>
  <c r="I80" i="19"/>
  <c r="G80" i="19"/>
  <c r="U76" i="19"/>
  <c r="S76" i="19"/>
  <c r="Q76" i="19"/>
  <c r="O76" i="19"/>
  <c r="M76" i="19"/>
  <c r="K76" i="19"/>
  <c r="I76" i="19"/>
  <c r="G76" i="19"/>
  <c r="U74" i="19"/>
  <c r="S74" i="19"/>
  <c r="Q74" i="19"/>
  <c r="O74" i="19"/>
  <c r="M74" i="19"/>
  <c r="K74" i="19"/>
  <c r="I74" i="19"/>
  <c r="G74" i="19"/>
  <c r="U73" i="19"/>
  <c r="S73" i="19"/>
  <c r="Q73" i="19"/>
  <c r="O73" i="19"/>
  <c r="M73" i="19"/>
  <c r="K73" i="19"/>
  <c r="I73" i="19"/>
  <c r="G73" i="19"/>
  <c r="U72" i="19"/>
  <c r="S72" i="19"/>
  <c r="Q72" i="19"/>
  <c r="O72" i="19"/>
  <c r="M72" i="19"/>
  <c r="K72" i="19"/>
  <c r="I72" i="19"/>
  <c r="G72" i="19"/>
  <c r="U71" i="19"/>
  <c r="S71" i="19"/>
  <c r="Q71" i="19"/>
  <c r="O71" i="19"/>
  <c r="M71" i="19"/>
  <c r="K71" i="19"/>
  <c r="I71" i="19"/>
  <c r="G71" i="19"/>
  <c r="U69" i="19"/>
  <c r="S69" i="19"/>
  <c r="Q69" i="19"/>
  <c r="O69" i="19"/>
  <c r="M69" i="19"/>
  <c r="K69" i="19"/>
  <c r="I69" i="19"/>
  <c r="G69" i="19"/>
  <c r="U66" i="19"/>
  <c r="S66" i="19"/>
  <c r="Q66" i="19"/>
  <c r="O66" i="19"/>
  <c r="M66" i="19"/>
  <c r="K66" i="19"/>
  <c r="I66" i="19"/>
  <c r="G66" i="19"/>
  <c r="U64" i="19"/>
  <c r="S64" i="19"/>
  <c r="Q64" i="19"/>
  <c r="O64" i="19"/>
  <c r="M64" i="19"/>
  <c r="K64" i="19"/>
  <c r="I64" i="19"/>
  <c r="G64" i="19"/>
  <c r="U62" i="19"/>
  <c r="S62" i="19"/>
  <c r="Q62" i="19"/>
  <c r="O62" i="19"/>
  <c r="M62" i="19"/>
  <c r="K62" i="19"/>
  <c r="I62" i="19"/>
  <c r="G62" i="19"/>
  <c r="U61" i="19"/>
  <c r="S61" i="19"/>
  <c r="Q61" i="19"/>
  <c r="O61" i="19"/>
  <c r="M61" i="19"/>
  <c r="K61" i="19"/>
  <c r="I61" i="19"/>
  <c r="G61" i="19"/>
  <c r="U60" i="19"/>
  <c r="S60" i="19"/>
  <c r="Q60" i="19"/>
  <c r="O60" i="19"/>
  <c r="M60" i="19"/>
  <c r="K60" i="19"/>
  <c r="I60" i="19"/>
  <c r="G60" i="19"/>
  <c r="U57" i="19"/>
  <c r="S57" i="19"/>
  <c r="Q57" i="19"/>
  <c r="O57" i="19"/>
  <c r="M57" i="19"/>
  <c r="K57" i="19"/>
  <c r="I57" i="19"/>
  <c r="G57" i="19"/>
  <c r="E94" i="18"/>
  <c r="AT42" i="18"/>
  <c r="C27" i="18"/>
  <c r="D21" i="18"/>
  <c r="C21" i="18"/>
  <c r="AT76" i="18"/>
  <c r="C76" i="18"/>
  <c r="AT57" i="18"/>
  <c r="C57" i="18"/>
  <c r="C42" i="18"/>
  <c r="AT26" i="18"/>
  <c r="AT54" i="18"/>
  <c r="C54" i="18"/>
  <c r="C65" i="18"/>
  <c r="AR76" i="18"/>
  <c r="AR36" i="18"/>
  <c r="C24" i="18"/>
  <c r="AP76" i="18"/>
  <c r="E87" i="22" l="1"/>
  <c r="BB189" i="20"/>
  <c r="BD203" i="22"/>
  <c r="BI163" i="22"/>
  <c r="BC101" i="20"/>
  <c r="BE101" i="20" s="1"/>
  <c r="BA118" i="20"/>
  <c r="BC118" i="20" s="1"/>
  <c r="BC85" i="20"/>
  <c r="BE85" i="20" s="1"/>
  <c r="BE31" i="20"/>
  <c r="BC117" i="20"/>
  <c r="BE117" i="20" s="1"/>
  <c r="AY64" i="20"/>
  <c r="BA64" i="20" s="1"/>
  <c r="BC64" i="20" s="1"/>
  <c r="BE64" i="20" s="1"/>
  <c r="Z138" i="19"/>
  <c r="AH190" i="20" s="1"/>
  <c r="AH194" i="20" s="1"/>
  <c r="AH185" i="20"/>
  <c r="P130" i="19"/>
  <c r="BC109" i="20"/>
  <c r="BE109" i="20" s="1"/>
  <c r="AY116" i="20"/>
  <c r="BA116" i="20" s="1"/>
  <c r="AY92" i="20"/>
  <c r="BA92" i="20" s="1"/>
  <c r="BC92" i="20" s="1"/>
  <c r="AY112" i="20"/>
  <c r="BA112" i="20" s="1"/>
  <c r="BE75" i="20"/>
  <c r="BE95" i="20"/>
  <c r="AW16" i="19"/>
  <c r="AQ15" i="19"/>
  <c r="AS15" i="19" s="1"/>
  <c r="AS18" i="19"/>
  <c r="AU18" i="19" s="1"/>
  <c r="X74" i="19"/>
  <c r="X82" i="19"/>
  <c r="X57" i="19"/>
  <c r="X62" i="19"/>
  <c r="X69" i="19"/>
  <c r="X73" i="19"/>
  <c r="X80" i="19"/>
  <c r="X83" i="19"/>
  <c r="X71" i="19"/>
  <c r="X87" i="19"/>
  <c r="X90" i="19"/>
  <c r="X96" i="19"/>
  <c r="X88" i="19"/>
  <c r="X89" i="19"/>
  <c r="X95" i="19"/>
  <c r="X61" i="19"/>
  <c r="X64" i="19"/>
  <c r="X76" i="19"/>
  <c r="K77" i="19"/>
  <c r="W77" i="19"/>
  <c r="K49" i="19"/>
  <c r="W49" i="19"/>
  <c r="X85" i="19"/>
  <c r="X86" i="19"/>
  <c r="G75" i="19"/>
  <c r="W75" i="19"/>
  <c r="X93" i="19"/>
  <c r="X94" i="19"/>
  <c r="X60" i="19"/>
  <c r="X66" i="19"/>
  <c r="X72" i="19"/>
  <c r="S75" i="19"/>
  <c r="U49" i="19"/>
  <c r="Q49" i="19"/>
  <c r="S49" i="19"/>
  <c r="M49" i="19"/>
  <c r="O49" i="19"/>
  <c r="I49" i="19"/>
  <c r="G49" i="19"/>
  <c r="AK47" i="19"/>
  <c r="I77" i="19"/>
  <c r="AC46" i="19"/>
  <c r="AE46" i="19" s="1"/>
  <c r="U75" i="19"/>
  <c r="AK45" i="19"/>
  <c r="I75" i="19"/>
  <c r="K75" i="19"/>
  <c r="U84" i="19"/>
  <c r="G77" i="19"/>
  <c r="M77" i="19"/>
  <c r="O77" i="19"/>
  <c r="Q77" i="19"/>
  <c r="S77" i="19"/>
  <c r="U77" i="19"/>
  <c r="Q75" i="19"/>
  <c r="M75" i="19"/>
  <c r="O75" i="19"/>
  <c r="M84" i="19"/>
  <c r="O84" i="19"/>
  <c r="AC73" i="19"/>
  <c r="AB138" i="19"/>
  <c r="AJ190" i="20" s="1"/>
  <c r="AJ194" i="20" s="1"/>
  <c r="AD133" i="19"/>
  <c r="AL185" i="20" s="1"/>
  <c r="AO27" i="18"/>
  <c r="C73" i="18"/>
  <c r="D89" i="18"/>
  <c r="AN73" i="18"/>
  <c r="C26" i="18"/>
  <c r="AN76" i="18"/>
  <c r="C62" i="18"/>
  <c r="D62" i="18" s="1"/>
  <c r="AO62" i="18" s="1"/>
  <c r="AL76" i="18"/>
  <c r="AY87" i="22" l="1"/>
  <c r="G87" i="22"/>
  <c r="AE87" i="22"/>
  <c r="O87" i="22"/>
  <c r="AA87" i="22"/>
  <c r="AG87" i="22"/>
  <c r="I87" i="22"/>
  <c r="W87" i="22"/>
  <c r="Y87" i="22"/>
  <c r="K87" i="22"/>
  <c r="Q87" i="22"/>
  <c r="AI87" i="22"/>
  <c r="S87" i="22"/>
  <c r="AC87" i="22"/>
  <c r="U87" i="22"/>
  <c r="M87" i="22"/>
  <c r="BD189" i="20"/>
  <c r="BH203" i="22" s="1"/>
  <c r="BF203" i="22"/>
  <c r="BE118" i="20"/>
  <c r="BE52" i="20"/>
  <c r="BC116" i="20"/>
  <c r="BE116" i="20" s="1"/>
  <c r="BA87" i="20"/>
  <c r="BE92" i="20"/>
  <c r="BE35" i="20"/>
  <c r="BC112" i="20"/>
  <c r="BE112" i="20" s="1"/>
  <c r="AW18" i="19"/>
  <c r="AU15" i="19"/>
  <c r="AW15" i="19" s="1"/>
  <c r="AW20" i="19"/>
  <c r="D94" i="20" s="1"/>
  <c r="AN146" i="18"/>
  <c r="AP134" i="19" s="1"/>
  <c r="AX186" i="20" s="1"/>
  <c r="X75" i="19"/>
  <c r="X84" i="19"/>
  <c r="X49" i="19"/>
  <c r="X77" i="19"/>
  <c r="AG48" i="19"/>
  <c r="AM47" i="19"/>
  <c r="AO47" i="19" s="1"/>
  <c r="AG46" i="19"/>
  <c r="AM45" i="19"/>
  <c r="AE73" i="19"/>
  <c r="AG73" i="19" s="1"/>
  <c r="AI73" i="19" s="1"/>
  <c r="AD138" i="19"/>
  <c r="AL190" i="20" s="1"/>
  <c r="AL194" i="20" s="1"/>
  <c r="AJ69" i="18"/>
  <c r="L48" i="18"/>
  <c r="T48" i="18"/>
  <c r="R48" i="18"/>
  <c r="P48" i="18"/>
  <c r="N48" i="18"/>
  <c r="J48" i="18"/>
  <c r="H48" i="18"/>
  <c r="C48" i="18"/>
  <c r="D37" i="18"/>
  <c r="F36" i="18"/>
  <c r="D36" i="18"/>
  <c r="E36" i="18" s="1"/>
  <c r="U36" i="18" s="1"/>
  <c r="R47" i="18"/>
  <c r="E47" i="18"/>
  <c r="C47" i="18"/>
  <c r="H39" i="18"/>
  <c r="U37" i="18"/>
  <c r="S37" i="18"/>
  <c r="Q37" i="18"/>
  <c r="O37" i="18"/>
  <c r="M37" i="18"/>
  <c r="K37" i="18"/>
  <c r="I37" i="18"/>
  <c r="G37" i="18"/>
  <c r="U35" i="18"/>
  <c r="S35" i="18"/>
  <c r="Q35" i="18"/>
  <c r="O35" i="18"/>
  <c r="M35" i="18"/>
  <c r="K35" i="18"/>
  <c r="I35" i="18"/>
  <c r="G35" i="18"/>
  <c r="D35" i="18"/>
  <c r="U34" i="18"/>
  <c r="S34" i="18"/>
  <c r="Q34" i="18"/>
  <c r="O34" i="18"/>
  <c r="M34" i="18"/>
  <c r="K34" i="18"/>
  <c r="I34" i="18"/>
  <c r="G34" i="18"/>
  <c r="D34" i="18"/>
  <c r="U33" i="18"/>
  <c r="S33" i="18"/>
  <c r="Q33" i="18"/>
  <c r="O33" i="18"/>
  <c r="M33" i="18"/>
  <c r="K33" i="18"/>
  <c r="I33" i="18"/>
  <c r="G33" i="18"/>
  <c r="D33" i="18"/>
  <c r="U32" i="18"/>
  <c r="S32" i="18"/>
  <c r="Q32" i="18"/>
  <c r="O32" i="18"/>
  <c r="M32" i="18"/>
  <c r="K32" i="18"/>
  <c r="I32" i="18"/>
  <c r="G32" i="18"/>
  <c r="U31" i="18"/>
  <c r="S31" i="18"/>
  <c r="Q31" i="18"/>
  <c r="O31" i="18"/>
  <c r="M31" i="18"/>
  <c r="K31" i="18"/>
  <c r="I31" i="18"/>
  <c r="G31" i="18"/>
  <c r="U30" i="18"/>
  <c r="S30" i="18"/>
  <c r="Q30" i="18"/>
  <c r="O30" i="18"/>
  <c r="M30" i="18"/>
  <c r="K30" i="18"/>
  <c r="I30" i="18"/>
  <c r="G30" i="18"/>
  <c r="D30" i="18"/>
  <c r="U29" i="18"/>
  <c r="S29" i="18"/>
  <c r="Q29" i="18"/>
  <c r="O29" i="18"/>
  <c r="M29" i="18"/>
  <c r="K29" i="18"/>
  <c r="I29" i="18"/>
  <c r="G29" i="18"/>
  <c r="D29" i="18"/>
  <c r="U28" i="18"/>
  <c r="S28" i="18"/>
  <c r="Q28" i="18"/>
  <c r="O28" i="18"/>
  <c r="M28" i="18"/>
  <c r="K28" i="18"/>
  <c r="I28" i="18"/>
  <c r="G28" i="18"/>
  <c r="D28" i="18"/>
  <c r="D27" i="18"/>
  <c r="E27" i="18" s="1"/>
  <c r="K27" i="18" s="1"/>
  <c r="D26" i="18"/>
  <c r="E26" i="18" s="1"/>
  <c r="O26" i="18" s="1"/>
  <c r="U25" i="18"/>
  <c r="S25" i="18"/>
  <c r="Q25" i="18"/>
  <c r="O25" i="18"/>
  <c r="M25" i="18"/>
  <c r="K25" i="18"/>
  <c r="I25" i="18"/>
  <c r="G25" i="18"/>
  <c r="D25" i="18"/>
  <c r="U24" i="18"/>
  <c r="S24" i="18"/>
  <c r="Q24" i="18"/>
  <c r="O24" i="18"/>
  <c r="M24" i="18"/>
  <c r="K24" i="18"/>
  <c r="I24" i="18"/>
  <c r="G24" i="18"/>
  <c r="D24" i="18"/>
  <c r="U23" i="18"/>
  <c r="S23" i="18"/>
  <c r="Q23" i="18"/>
  <c r="O23" i="18"/>
  <c r="M23" i="18"/>
  <c r="K23" i="18"/>
  <c r="I23" i="18"/>
  <c r="G23" i="18"/>
  <c r="D23" i="18"/>
  <c r="U22" i="18"/>
  <c r="S22" i="18"/>
  <c r="Q22" i="18"/>
  <c r="O22" i="18"/>
  <c r="M22" i="18"/>
  <c r="K22" i="18"/>
  <c r="I22" i="18"/>
  <c r="G22" i="18"/>
  <c r="D22" i="18"/>
  <c r="U21" i="18"/>
  <c r="S21" i="18"/>
  <c r="Q21" i="18"/>
  <c r="O21" i="18"/>
  <c r="M21" i="18"/>
  <c r="K21" i="18"/>
  <c r="I21" i="18"/>
  <c r="G21" i="18"/>
  <c r="D20" i="18"/>
  <c r="E20" i="18" s="1"/>
  <c r="G20" i="18" s="1"/>
  <c r="U19" i="18"/>
  <c r="S19" i="18"/>
  <c r="Q19" i="18"/>
  <c r="O19" i="18"/>
  <c r="M19" i="18"/>
  <c r="K19" i="18"/>
  <c r="I19" i="18"/>
  <c r="G19" i="18"/>
  <c r="D19" i="18"/>
  <c r="U18" i="18"/>
  <c r="S18" i="18"/>
  <c r="Q18" i="18"/>
  <c r="O18" i="18"/>
  <c r="M18" i="18"/>
  <c r="K18" i="18"/>
  <c r="I18" i="18"/>
  <c r="G18" i="18"/>
  <c r="D18" i="18"/>
  <c r="Y18" i="18" s="1"/>
  <c r="AA18" i="18" s="1"/>
  <c r="U17" i="18"/>
  <c r="S17" i="18"/>
  <c r="Q17" i="18"/>
  <c r="O17" i="18"/>
  <c r="M17" i="18"/>
  <c r="K17" i="18"/>
  <c r="I17" i="18"/>
  <c r="G17" i="18"/>
  <c r="D17" i="18"/>
  <c r="Y17" i="18" s="1"/>
  <c r="U38" i="18"/>
  <c r="S38" i="18"/>
  <c r="Q38" i="18"/>
  <c r="O38" i="18"/>
  <c r="M38" i="18"/>
  <c r="K38" i="18"/>
  <c r="I38" i="18"/>
  <c r="G38" i="18"/>
  <c r="D38" i="18"/>
  <c r="U16" i="18"/>
  <c r="S16" i="18"/>
  <c r="Q16" i="18"/>
  <c r="O16" i="18"/>
  <c r="M16" i="18"/>
  <c r="K16" i="18"/>
  <c r="I16" i="18"/>
  <c r="G16" i="18"/>
  <c r="D16" i="18"/>
  <c r="AA16" i="18" s="1"/>
  <c r="U15" i="18"/>
  <c r="S15" i="18"/>
  <c r="Q15" i="18"/>
  <c r="O15" i="18"/>
  <c r="M15" i="18"/>
  <c r="K15" i="18"/>
  <c r="I15" i="18"/>
  <c r="G15" i="18"/>
  <c r="D15" i="18"/>
  <c r="Y15" i="18" s="1"/>
  <c r="AA15" i="18" s="1"/>
  <c r="U14" i="18"/>
  <c r="S14" i="18"/>
  <c r="Q14" i="18"/>
  <c r="O14" i="18"/>
  <c r="M14" i="18"/>
  <c r="K14" i="18"/>
  <c r="I14" i="18"/>
  <c r="G14" i="18"/>
  <c r="D14" i="18"/>
  <c r="Y14" i="18" s="1"/>
  <c r="AH68" i="18"/>
  <c r="AH76" i="18"/>
  <c r="AH66" i="18"/>
  <c r="BA87" i="22" l="1"/>
  <c r="BC87" i="22" s="1"/>
  <c r="AJ87" i="22"/>
  <c r="AI94" i="20"/>
  <c r="E94" i="20"/>
  <c r="BC87" i="20"/>
  <c r="BE87" i="20" s="1"/>
  <c r="BE39" i="20"/>
  <c r="O36" i="18"/>
  <c r="AS27" i="19"/>
  <c r="M27" i="18"/>
  <c r="O27" i="18"/>
  <c r="I36" i="18"/>
  <c r="Q27" i="18"/>
  <c r="K36" i="18"/>
  <c r="M36" i="18"/>
  <c r="G36" i="18"/>
  <c r="O20" i="18"/>
  <c r="G27" i="18"/>
  <c r="S36" i="18"/>
  <c r="Q36" i="18"/>
  <c r="S20" i="18"/>
  <c r="I27" i="18"/>
  <c r="AI48" i="19"/>
  <c r="AK48" i="19" s="1"/>
  <c r="AM48" i="19" s="1"/>
  <c r="AM49" i="19"/>
  <c r="AQ47" i="19"/>
  <c r="AI46" i="19"/>
  <c r="S27" i="18"/>
  <c r="AO45" i="19"/>
  <c r="I20" i="18"/>
  <c r="K20" i="18"/>
  <c r="M20" i="18"/>
  <c r="Q20" i="18"/>
  <c r="U27" i="18"/>
  <c r="U20" i="18"/>
  <c r="AF133" i="19"/>
  <c r="AK73" i="19"/>
  <c r="AM73" i="19" s="1"/>
  <c r="AO73" i="19" s="1"/>
  <c r="AQ73" i="19" s="1"/>
  <c r="S26" i="18"/>
  <c r="H26" i="18"/>
  <c r="I26" i="18" s="1"/>
  <c r="G26" i="18"/>
  <c r="K26" i="18"/>
  <c r="M26" i="18"/>
  <c r="Q26" i="18"/>
  <c r="V32" i="18"/>
  <c r="V29" i="18"/>
  <c r="V30" i="18"/>
  <c r="V35" i="18"/>
  <c r="V31" i="18"/>
  <c r="V37" i="18"/>
  <c r="V21" i="18"/>
  <c r="V28" i="18"/>
  <c r="V33" i="18"/>
  <c r="V34" i="18"/>
  <c r="V25" i="18"/>
  <c r="V24" i="18"/>
  <c r="V23" i="18"/>
  <c r="V22" i="18"/>
  <c r="V19" i="18"/>
  <c r="V15" i="18"/>
  <c r="V18" i="18"/>
  <c r="V17" i="18"/>
  <c r="V38" i="18"/>
  <c r="V16" i="18"/>
  <c r="AA19" i="18"/>
  <c r="AA17" i="18"/>
  <c r="AC17" i="18" s="1"/>
  <c r="AC18" i="18"/>
  <c r="V14" i="18"/>
  <c r="AC15" i="18"/>
  <c r="AE15" i="18" s="1"/>
  <c r="AC16" i="18"/>
  <c r="AA14" i="18"/>
  <c r="AE102" i="18"/>
  <c r="AF101" i="18"/>
  <c r="BE87" i="22" l="1"/>
  <c r="BG87" i="22" s="1"/>
  <c r="AC94" i="20"/>
  <c r="S94" i="20"/>
  <c r="AA94" i="20"/>
  <c r="I94" i="20"/>
  <c r="AK94" i="20"/>
  <c r="AM94" i="20" s="1"/>
  <c r="AF138" i="19"/>
  <c r="AN190" i="20" s="1"/>
  <c r="AN194" i="20" s="1"/>
  <c r="AN185" i="20"/>
  <c r="W94" i="20"/>
  <c r="L94" i="20"/>
  <c r="L181" i="20" s="1"/>
  <c r="U94" i="20"/>
  <c r="G94" i="20"/>
  <c r="Y94" i="20"/>
  <c r="AE94" i="20"/>
  <c r="K94" i="20"/>
  <c r="O94" i="20"/>
  <c r="Q94" i="20"/>
  <c r="AO31" i="19"/>
  <c r="AW34" i="19"/>
  <c r="D32" i="20" s="1"/>
  <c r="AW28" i="19"/>
  <c r="D126" i="20" s="1"/>
  <c r="AU27" i="19"/>
  <c r="AW27" i="19" s="1"/>
  <c r="AW29" i="19"/>
  <c r="AW37" i="19"/>
  <c r="AW43" i="19"/>
  <c r="V20" i="18"/>
  <c r="V36" i="18"/>
  <c r="V27" i="18"/>
  <c r="AO48" i="19"/>
  <c r="AQ48" i="19" s="1"/>
  <c r="AO49" i="19"/>
  <c r="AS47" i="19"/>
  <c r="AU47" i="19" s="1"/>
  <c r="AK46" i="19"/>
  <c r="AM46" i="19" s="1"/>
  <c r="AO46" i="19" s="1"/>
  <c r="AQ45" i="19"/>
  <c r="AS45" i="19" s="1"/>
  <c r="AU45" i="19" s="1"/>
  <c r="AW45" i="19" s="1"/>
  <c r="AH133" i="19"/>
  <c r="AJ133" i="19"/>
  <c r="AR185" i="20" s="1"/>
  <c r="AS73" i="19"/>
  <c r="AU73" i="19" s="1"/>
  <c r="AW73" i="19" s="1"/>
  <c r="D128" i="20" s="1"/>
  <c r="T26" i="18"/>
  <c r="U26" i="18" s="1"/>
  <c r="V26" i="18" s="1"/>
  <c r="AE18" i="18"/>
  <c r="AE17" i="18"/>
  <c r="AG17" i="18" s="1"/>
  <c r="AC19" i="18"/>
  <c r="AG15" i="18"/>
  <c r="AI15" i="18" s="1"/>
  <c r="AE16" i="18"/>
  <c r="AG16" i="18" s="1"/>
  <c r="AC14" i="18"/>
  <c r="BI87" i="22" l="1"/>
  <c r="AO94" i="20"/>
  <c r="AQ94" i="20" s="1"/>
  <c r="M94" i="20"/>
  <c r="AF94" i="20" s="1"/>
  <c r="AH138" i="19"/>
  <c r="AP190" i="20" s="1"/>
  <c r="AP194" i="20" s="1"/>
  <c r="AP185" i="20"/>
  <c r="AM126" i="20"/>
  <c r="AO126" i="20" s="1"/>
  <c r="AI128" i="20"/>
  <c r="AQ31" i="19"/>
  <c r="AS31" i="19" s="1"/>
  <c r="AU31" i="19" s="1"/>
  <c r="AW25" i="19"/>
  <c r="AW23" i="19"/>
  <c r="AW22" i="19"/>
  <c r="D76" i="20" s="1"/>
  <c r="AW24" i="19"/>
  <c r="D93" i="20" s="1"/>
  <c r="AW26" i="19"/>
  <c r="AW42" i="19"/>
  <c r="AW44" i="19"/>
  <c r="AS48" i="19"/>
  <c r="AU48" i="19" s="1"/>
  <c r="AW48" i="19" s="1"/>
  <c r="AW47" i="19"/>
  <c r="AQ49" i="19"/>
  <c r="AS49" i="19" s="1"/>
  <c r="AQ46" i="19"/>
  <c r="AS46" i="19" s="1"/>
  <c r="AW53" i="19"/>
  <c r="AU56" i="19"/>
  <c r="AW56" i="19" s="1"/>
  <c r="AN133" i="19"/>
  <c r="AV185" i="20" s="1"/>
  <c r="AP133" i="19"/>
  <c r="AX185" i="20" s="1"/>
  <c r="AW72" i="19"/>
  <c r="AJ138" i="19"/>
  <c r="AR190" i="20" s="1"/>
  <c r="AR194" i="20" s="1"/>
  <c r="AU28" i="18"/>
  <c r="AI17" i="18"/>
  <c r="AK17" i="18" s="1"/>
  <c r="AE14" i="18"/>
  <c r="AG14" i="18" s="1"/>
  <c r="AI14" i="18" s="1"/>
  <c r="AE19" i="18"/>
  <c r="AG18" i="18"/>
  <c r="AK15" i="18"/>
  <c r="AI16" i="18"/>
  <c r="AK16" i="18" s="1"/>
  <c r="U45" i="18"/>
  <c r="S45" i="18"/>
  <c r="Q45" i="18"/>
  <c r="O45" i="18"/>
  <c r="M45" i="18"/>
  <c r="K45" i="18"/>
  <c r="I45" i="18"/>
  <c r="G45" i="18"/>
  <c r="U44" i="18"/>
  <c r="S44" i="18"/>
  <c r="Q44" i="18"/>
  <c r="O44" i="18"/>
  <c r="M44" i="18"/>
  <c r="K44" i="18"/>
  <c r="I44" i="18"/>
  <c r="G44" i="18"/>
  <c r="D44" i="18"/>
  <c r="U42" i="18"/>
  <c r="S42" i="18"/>
  <c r="Q42" i="18"/>
  <c r="O42" i="18"/>
  <c r="M42" i="18"/>
  <c r="K42" i="18"/>
  <c r="I42" i="18"/>
  <c r="G42" i="18"/>
  <c r="D42" i="18"/>
  <c r="U43" i="18"/>
  <c r="S43" i="18"/>
  <c r="Q43" i="18"/>
  <c r="O43" i="18"/>
  <c r="M43" i="18"/>
  <c r="K43" i="18"/>
  <c r="I43" i="18"/>
  <c r="G43" i="18"/>
  <c r="D43" i="18"/>
  <c r="U41" i="18"/>
  <c r="S41" i="18"/>
  <c r="Q41" i="18"/>
  <c r="O41" i="18"/>
  <c r="M41" i="18"/>
  <c r="K41" i="18"/>
  <c r="I41" i="18"/>
  <c r="G41" i="18"/>
  <c r="D41" i="18"/>
  <c r="U40" i="18"/>
  <c r="S40" i="18"/>
  <c r="Q40" i="18"/>
  <c r="O40" i="18"/>
  <c r="M40" i="18"/>
  <c r="K40" i="18"/>
  <c r="I40" i="18"/>
  <c r="G40" i="18"/>
  <c r="U39" i="18"/>
  <c r="S39" i="18"/>
  <c r="Q39" i="18"/>
  <c r="O39" i="18"/>
  <c r="M39" i="18"/>
  <c r="K39" i="18"/>
  <c r="I39" i="18"/>
  <c r="G39" i="18"/>
  <c r="D39" i="18"/>
  <c r="D76" i="18"/>
  <c r="D61" i="18"/>
  <c r="D58" i="18"/>
  <c r="F59" i="18"/>
  <c r="AD98" i="18"/>
  <c r="F71" i="18"/>
  <c r="AS94" i="20" l="1"/>
  <c r="AU94" i="20" s="1"/>
  <c r="AQ126" i="20"/>
  <c r="AS126" i="20" s="1"/>
  <c r="AU126" i="20" s="1"/>
  <c r="AW126" i="20" s="1"/>
  <c r="AK128" i="20"/>
  <c r="AK93" i="20"/>
  <c r="AM93" i="20" s="1"/>
  <c r="AO89" i="20"/>
  <c r="BE32" i="20"/>
  <c r="AW33" i="19"/>
  <c r="D110" i="20" s="1"/>
  <c r="AW31" i="19"/>
  <c r="AW32" i="19"/>
  <c r="D73" i="20" s="1"/>
  <c r="AW35" i="19"/>
  <c r="AW36" i="19"/>
  <c r="AW30" i="19"/>
  <c r="D125" i="20" s="1"/>
  <c r="AW38" i="19"/>
  <c r="D70" i="20" s="1"/>
  <c r="AW41" i="19"/>
  <c r="AU49" i="19"/>
  <c r="AW49" i="19" s="1"/>
  <c r="AW50" i="19"/>
  <c r="AU46" i="19"/>
  <c r="AW46" i="19" s="1"/>
  <c r="E76" i="18"/>
  <c r="U76" i="18" s="1"/>
  <c r="AU76" i="18"/>
  <c r="AL133" i="19"/>
  <c r="AR133" i="19"/>
  <c r="AZ185" i="20" s="1"/>
  <c r="AK33" i="18"/>
  <c r="AM17" i="18"/>
  <c r="AO17" i="18" s="1"/>
  <c r="AI18" i="18"/>
  <c r="AG19" i="18"/>
  <c r="AM16" i="18"/>
  <c r="AO16" i="18" s="1"/>
  <c r="AQ16" i="18" s="1"/>
  <c r="AM15" i="18"/>
  <c r="AK14" i="18"/>
  <c r="V42" i="18"/>
  <c r="V40" i="18"/>
  <c r="V45" i="18"/>
  <c r="V43" i="18"/>
  <c r="V39" i="18"/>
  <c r="V41" i="18"/>
  <c r="V44" i="18"/>
  <c r="S76" i="18"/>
  <c r="H67" i="18"/>
  <c r="R66" i="18"/>
  <c r="F66" i="18"/>
  <c r="T66" i="18"/>
  <c r="AW94" i="20" l="1"/>
  <c r="AY94" i="20" s="1"/>
  <c r="BA94" i="20" s="1"/>
  <c r="AY126" i="20"/>
  <c r="BA126" i="20" s="1"/>
  <c r="BC126" i="20" s="1"/>
  <c r="AO93" i="20"/>
  <c r="AQ89" i="20"/>
  <c r="AS89" i="20" s="1"/>
  <c r="AI110" i="20"/>
  <c r="AK110" i="20" s="1"/>
  <c r="AM110" i="20" s="1"/>
  <c r="AO110" i="20" s="1"/>
  <c r="E71" i="20"/>
  <c r="AM128" i="20"/>
  <c r="AL138" i="19"/>
  <c r="AT190" i="20" s="1"/>
  <c r="AT194" i="20" s="1"/>
  <c r="AT185" i="20"/>
  <c r="AW39" i="19"/>
  <c r="AW21" i="19"/>
  <c r="AW54" i="19"/>
  <c r="AQ36" i="18"/>
  <c r="AU36" i="18" s="1"/>
  <c r="AU32" i="18"/>
  <c r="AM33" i="18"/>
  <c r="AO33" i="18" s="1"/>
  <c r="AU30" i="18"/>
  <c r="C71" i="19" s="1"/>
  <c r="D71" i="19" s="1"/>
  <c r="AU34" i="18"/>
  <c r="AU24" i="18"/>
  <c r="AK18" i="18"/>
  <c r="AI19" i="18"/>
  <c r="AK19" i="18" s="1"/>
  <c r="AM19" i="18" s="1"/>
  <c r="AQ17" i="18"/>
  <c r="AS17" i="18" s="1"/>
  <c r="AU17" i="18" s="1"/>
  <c r="AO15" i="18"/>
  <c r="AQ15" i="18" s="1"/>
  <c r="AS15" i="18" s="1"/>
  <c r="AU15" i="18" s="1"/>
  <c r="D58" i="19" s="1"/>
  <c r="AU58" i="19" s="1"/>
  <c r="AS16" i="18"/>
  <c r="AU16" i="18" s="1"/>
  <c r="D59" i="19" s="1"/>
  <c r="E59" i="19" s="1"/>
  <c r="AM14" i="18"/>
  <c r="AE45" i="18"/>
  <c r="AG40" i="18"/>
  <c r="T57" i="18"/>
  <c r="U57" i="18" s="1"/>
  <c r="V141" i="18"/>
  <c r="V142" i="18"/>
  <c r="U46" i="18"/>
  <c r="U47" i="18"/>
  <c r="U48" i="18"/>
  <c r="U49" i="18"/>
  <c r="U50" i="18"/>
  <c r="U51" i="18"/>
  <c r="U52" i="18"/>
  <c r="U54" i="18"/>
  <c r="U55" i="18"/>
  <c r="U58" i="18"/>
  <c r="U59" i="18"/>
  <c r="U60" i="18"/>
  <c r="U61" i="18"/>
  <c r="U62" i="18"/>
  <c r="U63" i="18"/>
  <c r="U64" i="18"/>
  <c r="U66" i="18"/>
  <c r="U67" i="18"/>
  <c r="U68" i="18"/>
  <c r="U69" i="18"/>
  <c r="U70" i="18"/>
  <c r="U71" i="18"/>
  <c r="U72" i="18"/>
  <c r="U74" i="18"/>
  <c r="U75" i="18"/>
  <c r="U77" i="18"/>
  <c r="U78" i="18"/>
  <c r="U79" i="18"/>
  <c r="U80" i="18"/>
  <c r="U81" i="18"/>
  <c r="V81" i="18" s="1"/>
  <c r="U83" i="18"/>
  <c r="U84" i="18"/>
  <c r="U85" i="18"/>
  <c r="U86" i="18"/>
  <c r="U87" i="18"/>
  <c r="U88" i="18"/>
  <c r="U90" i="18"/>
  <c r="U91" i="18"/>
  <c r="U92" i="18"/>
  <c r="U93" i="18"/>
  <c r="U94" i="18"/>
  <c r="U95" i="18"/>
  <c r="U97" i="18"/>
  <c r="U99" i="18"/>
  <c r="U100" i="18"/>
  <c r="U101" i="18"/>
  <c r="U103" i="18"/>
  <c r="U104" i="18"/>
  <c r="U105" i="18"/>
  <c r="U107" i="18"/>
  <c r="U108" i="18"/>
  <c r="U109" i="18"/>
  <c r="U140" i="18"/>
  <c r="V140" i="18" s="1"/>
  <c r="T143" i="18"/>
  <c r="S48" i="18"/>
  <c r="Q48" i="18"/>
  <c r="O48" i="18"/>
  <c r="M48" i="18"/>
  <c r="K48" i="18"/>
  <c r="I48" i="18"/>
  <c r="G48" i="18"/>
  <c r="D48" i="18"/>
  <c r="S47" i="18"/>
  <c r="Q47" i="18"/>
  <c r="O47" i="18"/>
  <c r="M47" i="18"/>
  <c r="K47" i="18"/>
  <c r="I47" i="18"/>
  <c r="G47" i="18"/>
  <c r="D47" i="18"/>
  <c r="S46" i="18"/>
  <c r="Q46" i="18"/>
  <c r="O46" i="18"/>
  <c r="M46" i="18"/>
  <c r="K46" i="18"/>
  <c r="I46" i="18"/>
  <c r="G46" i="18"/>
  <c r="D46" i="18"/>
  <c r="S50" i="18"/>
  <c r="Q50" i="18"/>
  <c r="O50" i="18"/>
  <c r="M50" i="18"/>
  <c r="K50" i="18"/>
  <c r="I50" i="18"/>
  <c r="G50" i="18"/>
  <c r="D50" i="18"/>
  <c r="S49" i="18"/>
  <c r="Q49" i="18"/>
  <c r="O49" i="18"/>
  <c r="M49" i="18"/>
  <c r="K49" i="18"/>
  <c r="I49" i="18"/>
  <c r="G49" i="18"/>
  <c r="D49" i="18"/>
  <c r="S51" i="18"/>
  <c r="Q51" i="18"/>
  <c r="O51" i="18"/>
  <c r="M51" i="18"/>
  <c r="K51" i="18"/>
  <c r="I51" i="18"/>
  <c r="G51" i="18"/>
  <c r="D51" i="18"/>
  <c r="BE126" i="20" l="1"/>
  <c r="AC71" i="20"/>
  <c r="S71" i="20"/>
  <c r="AA71" i="20"/>
  <c r="I71" i="20"/>
  <c r="BE123" i="20"/>
  <c r="AS78" i="20"/>
  <c r="BC94" i="20"/>
  <c r="BE94" i="20" s="1"/>
  <c r="AQ93" i="20"/>
  <c r="AS93" i="20" s="1"/>
  <c r="AU93" i="20" s="1"/>
  <c r="AO125" i="20"/>
  <c r="AQ125" i="20" s="1"/>
  <c r="AU89" i="20"/>
  <c r="AW89" i="20" s="1"/>
  <c r="AY89" i="20" s="1"/>
  <c r="AQ110" i="20"/>
  <c r="AS110" i="20" s="1"/>
  <c r="AU110" i="20" s="1"/>
  <c r="BA113" i="20"/>
  <c r="AO128" i="20"/>
  <c r="AQ128" i="20" s="1"/>
  <c r="C73" i="19"/>
  <c r="C128" i="20"/>
  <c r="U71" i="20"/>
  <c r="W71" i="20"/>
  <c r="Y71" i="20"/>
  <c r="Q71" i="20"/>
  <c r="O71" i="20"/>
  <c r="G71" i="20"/>
  <c r="AE71" i="20"/>
  <c r="M71" i="20"/>
  <c r="K71" i="20"/>
  <c r="AN138" i="19"/>
  <c r="AV190" i="20" s="1"/>
  <c r="AV194" i="20" s="1"/>
  <c r="AQ77" i="20"/>
  <c r="AS77" i="20" s="1"/>
  <c r="E58" i="19"/>
  <c r="W58" i="19" s="1"/>
  <c r="W59" i="19"/>
  <c r="I59" i="19"/>
  <c r="O59" i="19"/>
  <c r="G59" i="19"/>
  <c r="U59" i="19"/>
  <c r="S59" i="19"/>
  <c r="Q59" i="19"/>
  <c r="M59" i="19"/>
  <c r="K59" i="19"/>
  <c r="AW55" i="19"/>
  <c r="D41" i="20" s="1"/>
  <c r="D60" i="19"/>
  <c r="AA71" i="19"/>
  <c r="AC71" i="19" s="1"/>
  <c r="AT133" i="19"/>
  <c r="BB185" i="20" s="1"/>
  <c r="AP138" i="19"/>
  <c r="AX190" i="20" s="1"/>
  <c r="AX194" i="20" s="1"/>
  <c r="AU26" i="18"/>
  <c r="C68" i="19" s="1"/>
  <c r="D68" i="19" s="1"/>
  <c r="AO31" i="18"/>
  <c r="AQ33" i="18"/>
  <c r="AS33" i="18" s="1"/>
  <c r="AU33" i="18" s="1"/>
  <c r="AU22" i="18"/>
  <c r="AM18" i="18"/>
  <c r="AO18" i="18" s="1"/>
  <c r="AO19" i="18"/>
  <c r="AQ19" i="18" s="1"/>
  <c r="AO14" i="18"/>
  <c r="AQ14" i="18" s="1"/>
  <c r="AI40" i="18"/>
  <c r="AK40" i="18" s="1"/>
  <c r="AG45" i="18"/>
  <c r="V47" i="18"/>
  <c r="V48" i="18"/>
  <c r="V50" i="18"/>
  <c r="V46" i="18"/>
  <c r="V49" i="18"/>
  <c r="V51" i="18"/>
  <c r="AD102" i="18"/>
  <c r="E41" i="20" l="1"/>
  <c r="C41" i="20"/>
  <c r="AF71" i="20"/>
  <c r="AU78" i="20"/>
  <c r="AW78" i="20" s="1"/>
  <c r="AY78" i="20" s="1"/>
  <c r="BA78" i="20" s="1"/>
  <c r="BC78" i="20" s="1"/>
  <c r="BE78" i="20" s="1"/>
  <c r="AS125" i="20"/>
  <c r="AU125" i="20" s="1"/>
  <c r="AW93" i="20"/>
  <c r="AY93" i="20" s="1"/>
  <c r="BA93" i="20" s="1"/>
  <c r="BA89" i="20"/>
  <c r="BC89" i="20" s="1"/>
  <c r="BE89" i="20" s="1"/>
  <c r="BC113" i="20"/>
  <c r="BE113" i="20" s="1"/>
  <c r="AW110" i="20"/>
  <c r="AY34" i="20"/>
  <c r="BA34" i="20" s="1"/>
  <c r="AU77" i="20"/>
  <c r="AW77" i="20" s="1"/>
  <c r="AS128" i="20"/>
  <c r="AU128" i="20" s="1"/>
  <c r="AQ73" i="20"/>
  <c r="AS73" i="20" s="1"/>
  <c r="AU76" i="20"/>
  <c r="AW76" i="20" s="1"/>
  <c r="I58" i="19"/>
  <c r="AS71" i="20"/>
  <c r="AU71" i="20" s="1"/>
  <c r="K58" i="19"/>
  <c r="O58" i="19"/>
  <c r="S58" i="19"/>
  <c r="M58" i="19"/>
  <c r="Q58" i="19"/>
  <c r="U58" i="19"/>
  <c r="G58" i="19"/>
  <c r="X59" i="19"/>
  <c r="AA60" i="19"/>
  <c r="AC60" i="19" s="1"/>
  <c r="AE71" i="19"/>
  <c r="AG71" i="19" s="1"/>
  <c r="AI71" i="19" s="1"/>
  <c r="AK71" i="19" s="1"/>
  <c r="E68" i="19"/>
  <c r="AV133" i="19"/>
  <c r="BD185" i="20" s="1"/>
  <c r="AR138" i="19"/>
  <c r="AZ190" i="20" s="1"/>
  <c r="AZ194" i="20" s="1"/>
  <c r="AU35" i="18"/>
  <c r="C75" i="19" s="1"/>
  <c r="AQ31" i="18"/>
  <c r="AS31" i="18" s="1"/>
  <c r="AU27" i="18"/>
  <c r="AU29" i="18"/>
  <c r="E70" i="19" s="1"/>
  <c r="AU37" i="18"/>
  <c r="AQ18" i="18"/>
  <c r="AS18" i="18" s="1"/>
  <c r="AU18" i="18" s="1"/>
  <c r="AU25" i="18"/>
  <c r="E67" i="19" s="1"/>
  <c r="W67" i="19" s="1"/>
  <c r="AS20" i="18"/>
  <c r="AS19" i="18"/>
  <c r="AU19" i="18" s="1"/>
  <c r="AS14" i="18"/>
  <c r="AU14" i="18" s="1"/>
  <c r="AI45" i="18"/>
  <c r="AM40" i="18"/>
  <c r="AO40" i="18" s="1"/>
  <c r="AI47" i="18"/>
  <c r="AB106" i="18"/>
  <c r="AD101" i="18"/>
  <c r="K41" i="20" l="1"/>
  <c r="AC41" i="20"/>
  <c r="AE41" i="20"/>
  <c r="G41" i="20"/>
  <c r="Y41" i="20"/>
  <c r="W41" i="20"/>
  <c r="U41" i="20"/>
  <c r="S41" i="20"/>
  <c r="I41" i="20"/>
  <c r="Q41" i="20"/>
  <c r="O41" i="20"/>
  <c r="AA41" i="20"/>
  <c r="M41" i="20"/>
  <c r="AY44" i="20"/>
  <c r="BA44" i="20" s="1"/>
  <c r="BC44" i="20" s="1"/>
  <c r="BE44" i="20" s="1"/>
  <c r="BC38" i="20"/>
  <c r="BE38" i="20" s="1"/>
  <c r="AY110" i="20"/>
  <c r="BA110" i="20" s="1"/>
  <c r="AY76" i="20"/>
  <c r="BA76" i="20" s="1"/>
  <c r="BC76" i="20" s="1"/>
  <c r="BE76" i="20" s="1"/>
  <c r="BC93" i="20"/>
  <c r="BE93" i="20" s="1"/>
  <c r="AY77" i="20"/>
  <c r="BA77" i="20" s="1"/>
  <c r="BC77" i="20" s="1"/>
  <c r="BE77" i="20" s="1"/>
  <c r="AU73" i="20"/>
  <c r="AW73" i="20" s="1"/>
  <c r="AW125" i="20"/>
  <c r="AY125" i="20" s="1"/>
  <c r="AW128" i="20"/>
  <c r="AY128" i="20" s="1"/>
  <c r="BA128" i="20" s="1"/>
  <c r="BC128" i="20" s="1"/>
  <c r="BC34" i="20"/>
  <c r="BE34" i="20" s="1"/>
  <c r="AW71" i="20"/>
  <c r="AY71" i="20" s="1"/>
  <c r="BE37" i="20"/>
  <c r="D45" i="22" s="1"/>
  <c r="X58" i="19"/>
  <c r="W70" i="19"/>
  <c r="I70" i="19"/>
  <c r="Q70" i="19"/>
  <c r="O70" i="19"/>
  <c r="G70" i="19"/>
  <c r="U70" i="19"/>
  <c r="S70" i="19"/>
  <c r="M70" i="19"/>
  <c r="K70" i="19"/>
  <c r="S68" i="19"/>
  <c r="W68" i="19"/>
  <c r="AE60" i="19"/>
  <c r="AG60" i="19" s="1"/>
  <c r="AE68" i="19"/>
  <c r="AG68" i="19" s="1"/>
  <c r="AI68" i="19" s="1"/>
  <c r="AK68" i="19" s="1"/>
  <c r="K67" i="19"/>
  <c r="O67" i="19"/>
  <c r="Q67" i="19"/>
  <c r="U67" i="19"/>
  <c r="S67" i="19"/>
  <c r="M67" i="19"/>
  <c r="I67" i="19"/>
  <c r="G67" i="19"/>
  <c r="O68" i="19"/>
  <c r="M68" i="19"/>
  <c r="G68" i="19"/>
  <c r="K68" i="19"/>
  <c r="Q68" i="19"/>
  <c r="H68" i="19"/>
  <c r="AM71" i="19"/>
  <c r="AO71" i="19" s="1"/>
  <c r="D57" i="19"/>
  <c r="AT138" i="19"/>
  <c r="BB190" i="20" s="1"/>
  <c r="BB194" i="20" s="1"/>
  <c r="AU31" i="18"/>
  <c r="AS21" i="18"/>
  <c r="AU21" i="18" s="1"/>
  <c r="AU20" i="18"/>
  <c r="AK43" i="18"/>
  <c r="AM43" i="18" s="1"/>
  <c r="AO43" i="18" s="1"/>
  <c r="AQ43" i="18" s="1"/>
  <c r="AK45" i="18"/>
  <c r="AU41" i="18"/>
  <c r="C77" i="19" s="1"/>
  <c r="AQ40" i="18"/>
  <c r="AS40" i="18" s="1"/>
  <c r="AK39" i="18"/>
  <c r="AK47" i="18"/>
  <c r="AM47" i="18" s="1"/>
  <c r="AG51" i="18"/>
  <c r="AI51" i="18" s="1"/>
  <c r="D57" i="18"/>
  <c r="D55" i="18"/>
  <c r="D56" i="18"/>
  <c r="S55" i="18"/>
  <c r="Q55" i="18"/>
  <c r="O55" i="18"/>
  <c r="M55" i="18"/>
  <c r="K55" i="18"/>
  <c r="I55" i="18"/>
  <c r="G55" i="18"/>
  <c r="S54" i="18"/>
  <c r="Q54" i="18"/>
  <c r="O54" i="18"/>
  <c r="M54" i="18"/>
  <c r="K54" i="18"/>
  <c r="I54" i="18"/>
  <c r="G54" i="18"/>
  <c r="D54" i="18"/>
  <c r="S52" i="18"/>
  <c r="Q52" i="18"/>
  <c r="O52" i="18"/>
  <c r="M52" i="18"/>
  <c r="K52" i="18"/>
  <c r="I52" i="18"/>
  <c r="G52" i="18"/>
  <c r="D52" i="18"/>
  <c r="E45" i="22" l="1"/>
  <c r="AF41" i="20"/>
  <c r="BC110" i="20"/>
  <c r="BE110" i="20" s="1"/>
  <c r="BA71" i="20"/>
  <c r="BC71" i="20" s="1"/>
  <c r="BE71" i="20" s="1"/>
  <c r="BA125" i="20"/>
  <c r="BC125" i="20" s="1"/>
  <c r="BE90" i="20"/>
  <c r="D88" i="22" s="1"/>
  <c r="C63" i="19"/>
  <c r="D63" i="19" s="1"/>
  <c r="C127" i="20"/>
  <c r="AY73" i="20"/>
  <c r="BA73" i="20" s="1"/>
  <c r="BE128" i="20"/>
  <c r="I68" i="19"/>
  <c r="H130" i="19"/>
  <c r="X70" i="19"/>
  <c r="X67" i="19"/>
  <c r="T68" i="19"/>
  <c r="AW59" i="19"/>
  <c r="D66" i="20" s="1"/>
  <c r="AM68" i="19"/>
  <c r="AI60" i="19"/>
  <c r="H56" i="18"/>
  <c r="E56" i="18"/>
  <c r="AO75" i="19"/>
  <c r="AA77" i="19"/>
  <c r="AC77" i="19" s="1"/>
  <c r="AE77" i="19" s="1"/>
  <c r="AG61" i="19"/>
  <c r="AQ71" i="19"/>
  <c r="AS71" i="19" s="1"/>
  <c r="AA63" i="19"/>
  <c r="AC63" i="19" s="1"/>
  <c r="E63" i="19"/>
  <c r="W63" i="19" s="1"/>
  <c r="AV138" i="19"/>
  <c r="BD190" i="20" s="1"/>
  <c r="BD194" i="20" s="1"/>
  <c r="AU23" i="18"/>
  <c r="W65" i="19" s="1"/>
  <c r="AS43" i="18"/>
  <c r="AU43" i="18" s="1"/>
  <c r="D51" i="19" s="1"/>
  <c r="AU40" i="18"/>
  <c r="AM45" i="18"/>
  <c r="AU42" i="18"/>
  <c r="C78" i="19" s="1"/>
  <c r="D78" i="19" s="1"/>
  <c r="AM39" i="18"/>
  <c r="V52" i="18"/>
  <c r="V55" i="18"/>
  <c r="V54" i="18"/>
  <c r="AO47" i="18"/>
  <c r="AQ47" i="18" s="1"/>
  <c r="AS47" i="18" s="1"/>
  <c r="AE49" i="18"/>
  <c r="AG49" i="18" s="1"/>
  <c r="AI49" i="18" s="1"/>
  <c r="AK51" i="18"/>
  <c r="AM51" i="18" s="1"/>
  <c r="AB101" i="18"/>
  <c r="AB89" i="18"/>
  <c r="E88" i="22" l="1"/>
  <c r="E194" i="22" s="1"/>
  <c r="BI88" i="22"/>
  <c r="D194" i="22"/>
  <c r="AM196" i="22"/>
  <c r="AM201" i="22" s="1"/>
  <c r="AG45" i="22"/>
  <c r="AE45" i="22"/>
  <c r="W45" i="22"/>
  <c r="U45" i="22"/>
  <c r="AA45" i="22"/>
  <c r="O45" i="22"/>
  <c r="M45" i="22"/>
  <c r="AI45" i="22"/>
  <c r="S45" i="22"/>
  <c r="Q45" i="22"/>
  <c r="Y45" i="22"/>
  <c r="I45" i="22"/>
  <c r="AC45" i="22"/>
  <c r="G45" i="22"/>
  <c r="K45" i="22"/>
  <c r="BE125" i="20"/>
  <c r="E66" i="20"/>
  <c r="BE70" i="20"/>
  <c r="BC73" i="20"/>
  <c r="BE73" i="20" s="1"/>
  <c r="AQ41" i="20"/>
  <c r="U68" i="19"/>
  <c r="X68" i="19" s="1"/>
  <c r="T130" i="19"/>
  <c r="I56" i="18"/>
  <c r="AO70" i="19"/>
  <c r="AQ70" i="19" s="1"/>
  <c r="AO68" i="19"/>
  <c r="AQ68" i="19" s="1"/>
  <c r="AK60" i="19"/>
  <c r="U56" i="18"/>
  <c r="S56" i="18"/>
  <c r="Q56" i="18"/>
  <c r="O56" i="18"/>
  <c r="K56" i="18"/>
  <c r="G56" i="18"/>
  <c r="M56" i="18"/>
  <c r="U65" i="19"/>
  <c r="I65" i="19"/>
  <c r="G65" i="19"/>
  <c r="Q65" i="19"/>
  <c r="S65" i="19"/>
  <c r="O65" i="19"/>
  <c r="K65" i="19"/>
  <c r="M65" i="19"/>
  <c r="AW69" i="19"/>
  <c r="AG77" i="19"/>
  <c r="E78" i="19"/>
  <c r="W78" i="19" s="1"/>
  <c r="AA78" i="19"/>
  <c r="AC78" i="19" s="1"/>
  <c r="U63" i="19"/>
  <c r="Q63" i="19"/>
  <c r="S63" i="19"/>
  <c r="K63" i="19"/>
  <c r="I63" i="19"/>
  <c r="O63" i="19"/>
  <c r="G63" i="19"/>
  <c r="M63" i="19"/>
  <c r="AE63" i="19"/>
  <c r="AG63" i="19" s="1"/>
  <c r="AU66" i="19"/>
  <c r="AW66" i="19" s="1"/>
  <c r="D67" i="20" s="1"/>
  <c r="AQ75" i="19"/>
  <c r="AS75" i="19" s="1"/>
  <c r="AU75" i="19" s="1"/>
  <c r="AU71" i="19"/>
  <c r="AW71" i="19" s="1"/>
  <c r="AI61" i="19"/>
  <c r="AW64" i="19"/>
  <c r="D69" i="20" s="1"/>
  <c r="AU44" i="18"/>
  <c r="E79" i="19" s="1"/>
  <c r="D79" i="19" s="1"/>
  <c r="C79" i="19" s="1"/>
  <c r="AO45" i="18"/>
  <c r="AO39" i="18"/>
  <c r="AU47" i="18"/>
  <c r="AU50" i="18"/>
  <c r="AK49" i="18"/>
  <c r="AM49" i="18" s="1"/>
  <c r="AO51" i="18"/>
  <c r="F73" i="18"/>
  <c r="D74" i="18"/>
  <c r="G74" i="18"/>
  <c r="I74" i="18"/>
  <c r="K74" i="18"/>
  <c r="M74" i="18"/>
  <c r="O74" i="18"/>
  <c r="Q74" i="18"/>
  <c r="S74" i="18"/>
  <c r="D53" i="18"/>
  <c r="E53" i="18" s="1"/>
  <c r="U53" i="18" s="1"/>
  <c r="D75" i="18"/>
  <c r="G75" i="18"/>
  <c r="I75" i="18"/>
  <c r="K75" i="18"/>
  <c r="M75" i="18"/>
  <c r="O75" i="18"/>
  <c r="Q75" i="18"/>
  <c r="S75" i="18"/>
  <c r="G76" i="18"/>
  <c r="I76" i="18"/>
  <c r="K76" i="18"/>
  <c r="M76" i="18"/>
  <c r="O76" i="18"/>
  <c r="Q76" i="18"/>
  <c r="D77" i="18"/>
  <c r="Y77" i="18" s="1"/>
  <c r="G77" i="18"/>
  <c r="I77" i="18"/>
  <c r="K77" i="18"/>
  <c r="M77" i="18"/>
  <c r="O77" i="18"/>
  <c r="Q77" i="18"/>
  <c r="S77" i="18"/>
  <c r="D78" i="18"/>
  <c r="Y78" i="18" s="1"/>
  <c r="AA78" i="18" s="1"/>
  <c r="AC78" i="18" s="1"/>
  <c r="G78" i="18"/>
  <c r="I78" i="18"/>
  <c r="K78" i="18"/>
  <c r="M78" i="18"/>
  <c r="O78" i="18"/>
  <c r="Q78" i="18"/>
  <c r="S78" i="18"/>
  <c r="D79" i="18"/>
  <c r="G79" i="18"/>
  <c r="I79" i="18"/>
  <c r="K79" i="18"/>
  <c r="M79" i="18"/>
  <c r="O79" i="18"/>
  <c r="Q79" i="18"/>
  <c r="S79" i="18"/>
  <c r="D59" i="18"/>
  <c r="G72" i="18"/>
  <c r="D72" i="18"/>
  <c r="I72" i="18"/>
  <c r="K72" i="18"/>
  <c r="M72" i="18"/>
  <c r="O72" i="18"/>
  <c r="Q72" i="18"/>
  <c r="S72" i="18"/>
  <c r="D73" i="18"/>
  <c r="E73" i="18" s="1"/>
  <c r="U73" i="18" s="1"/>
  <c r="D80" i="18"/>
  <c r="Y80" i="18" s="1"/>
  <c r="G80" i="18"/>
  <c r="I80" i="18"/>
  <c r="K80" i="18"/>
  <c r="M80" i="18"/>
  <c r="O80" i="18"/>
  <c r="Q80" i="18"/>
  <c r="S80" i="18"/>
  <c r="F58" i="18"/>
  <c r="G58" i="18" s="1"/>
  <c r="AA88" i="22" l="1"/>
  <c r="W88" i="22"/>
  <c r="S88" i="22"/>
  <c r="AC88" i="22"/>
  <c r="U88" i="22"/>
  <c r="AG88" i="22"/>
  <c r="M88" i="22"/>
  <c r="Q88" i="22"/>
  <c r="Y88" i="22"/>
  <c r="O88" i="22"/>
  <c r="AE88" i="22"/>
  <c r="AI88" i="22"/>
  <c r="I88" i="22"/>
  <c r="K88" i="22"/>
  <c r="G88" i="22"/>
  <c r="AJ45" i="22"/>
  <c r="AG194" i="22"/>
  <c r="K194" i="22"/>
  <c r="U194" i="22"/>
  <c r="I194" i="22"/>
  <c r="AE194" i="22" s="1"/>
  <c r="Q194" i="22"/>
  <c r="O194" i="22"/>
  <c r="G194" i="22"/>
  <c r="M194" i="22"/>
  <c r="Y194" i="22"/>
  <c r="AI194" i="22"/>
  <c r="W194" i="22"/>
  <c r="AA194" i="22"/>
  <c r="AO196" i="22"/>
  <c r="AO201" i="22" s="1"/>
  <c r="AQ196" i="22"/>
  <c r="AC66" i="20"/>
  <c r="S66" i="20"/>
  <c r="AA66" i="20"/>
  <c r="I66" i="20"/>
  <c r="E69" i="20"/>
  <c r="E72" i="20"/>
  <c r="AO72" i="20"/>
  <c r="AS41" i="20"/>
  <c r="AI67" i="20"/>
  <c r="AK67" i="20" s="1"/>
  <c r="AM67" i="20" s="1"/>
  <c r="M66" i="20"/>
  <c r="K66" i="20"/>
  <c r="O66" i="20"/>
  <c r="Q66" i="20"/>
  <c r="AE66" i="20"/>
  <c r="G66" i="20"/>
  <c r="Y66" i="20"/>
  <c r="U66" i="20"/>
  <c r="W66" i="20"/>
  <c r="X63" i="19"/>
  <c r="X65" i="19"/>
  <c r="O53" i="18"/>
  <c r="M53" i="18"/>
  <c r="G53" i="18"/>
  <c r="AS70" i="19"/>
  <c r="AU70" i="19" s="1"/>
  <c r="AW70" i="19" s="1"/>
  <c r="AS68" i="19"/>
  <c r="AU68" i="19" s="1"/>
  <c r="AW68" i="19" s="1"/>
  <c r="AM60" i="19"/>
  <c r="AI77" i="19"/>
  <c r="AK77" i="19" s="1"/>
  <c r="K53" i="18"/>
  <c r="I53" i="18"/>
  <c r="S53" i="18"/>
  <c r="Q53" i="18"/>
  <c r="V56" i="18"/>
  <c r="AQ62" i="19"/>
  <c r="AS62" i="19" s="1"/>
  <c r="AU62" i="19" s="1"/>
  <c r="AW62" i="19" s="1"/>
  <c r="W79" i="19"/>
  <c r="AE78" i="19"/>
  <c r="AW58" i="19"/>
  <c r="AK61" i="19"/>
  <c r="AQ67" i="19"/>
  <c r="AS67" i="19" s="1"/>
  <c r="I78" i="19"/>
  <c r="M78" i="19"/>
  <c r="K78" i="19"/>
  <c r="O78" i="19"/>
  <c r="S78" i="19"/>
  <c r="Q78" i="19"/>
  <c r="U78" i="19"/>
  <c r="G78" i="19"/>
  <c r="AW75" i="19"/>
  <c r="AI63" i="19"/>
  <c r="AK63" i="19" s="1"/>
  <c r="AQ45" i="18"/>
  <c r="AS45" i="18" s="1"/>
  <c r="AQ39" i="18"/>
  <c r="V77" i="18"/>
  <c r="V74" i="18"/>
  <c r="V80" i="18"/>
  <c r="V78" i="18"/>
  <c r="V75" i="18"/>
  <c r="V79" i="18"/>
  <c r="V76" i="18"/>
  <c r="AO49" i="18"/>
  <c r="AQ49" i="18" s="1"/>
  <c r="AS49" i="18" s="1"/>
  <c r="AU49" i="18" s="1"/>
  <c r="V72" i="18"/>
  <c r="AO46" i="18"/>
  <c r="AQ46" i="18" s="1"/>
  <c r="AQ51" i="18"/>
  <c r="AU56" i="18"/>
  <c r="AE78" i="18"/>
  <c r="AG78" i="18" s="1"/>
  <c r="AA79" i="18"/>
  <c r="AC75" i="18"/>
  <c r="AA77" i="18"/>
  <c r="M73" i="18"/>
  <c r="K73" i="18"/>
  <c r="Q73" i="18"/>
  <c r="S73" i="18"/>
  <c r="G73" i="18"/>
  <c r="I73" i="18"/>
  <c r="O73" i="18"/>
  <c r="AA80" i="18"/>
  <c r="AC80" i="18" s="1"/>
  <c r="P71" i="18"/>
  <c r="C60" i="18"/>
  <c r="D60" i="18" s="1"/>
  <c r="AJ88" i="22" l="1"/>
  <c r="AS196" i="22"/>
  <c r="AQ201" i="22"/>
  <c r="AJ194" i="22"/>
  <c r="AC72" i="20"/>
  <c r="S72" i="20"/>
  <c r="AC69" i="20"/>
  <c r="S69" i="20"/>
  <c r="AF66" i="20"/>
  <c r="AA69" i="20"/>
  <c r="I69" i="20"/>
  <c r="AA72" i="20"/>
  <c r="I72" i="20"/>
  <c r="AW66" i="20"/>
  <c r="AO67" i="20"/>
  <c r="AQ67" i="20" s="1"/>
  <c r="AQ72" i="20"/>
  <c r="AS72" i="20" s="1"/>
  <c r="AU41" i="20"/>
  <c r="AO69" i="20"/>
  <c r="U72" i="20"/>
  <c r="W72" i="20"/>
  <c r="Q72" i="20"/>
  <c r="G72" i="20"/>
  <c r="M72" i="20"/>
  <c r="O72" i="20"/>
  <c r="AE72" i="20"/>
  <c r="K72" i="20"/>
  <c r="Y72" i="20"/>
  <c r="M69" i="20"/>
  <c r="G69" i="20"/>
  <c r="W69" i="20"/>
  <c r="Y69" i="20"/>
  <c r="K69" i="20"/>
  <c r="U69" i="20"/>
  <c r="Q69" i="20"/>
  <c r="AE69" i="20"/>
  <c r="O69" i="20"/>
  <c r="X78" i="19"/>
  <c r="V53" i="18"/>
  <c r="AO60" i="19"/>
  <c r="AM77" i="19"/>
  <c r="AO77" i="19" s="1"/>
  <c r="AQ77" i="19" s="1"/>
  <c r="AQ74" i="19"/>
  <c r="AS74" i="19" s="1"/>
  <c r="AW76" i="19"/>
  <c r="AU67" i="19"/>
  <c r="AW67" i="19" s="1"/>
  <c r="AM61" i="19"/>
  <c r="S79" i="19"/>
  <c r="U79" i="19"/>
  <c r="I79" i="19"/>
  <c r="G79" i="19"/>
  <c r="M79" i="19"/>
  <c r="O79" i="19"/>
  <c r="Q79" i="19"/>
  <c r="K79" i="19"/>
  <c r="AG78" i="19"/>
  <c r="AM63" i="19"/>
  <c r="AO63" i="19" s="1"/>
  <c r="AQ63" i="19" s="1"/>
  <c r="AU45" i="18"/>
  <c r="AS39" i="18"/>
  <c r="AU39" i="18" s="1"/>
  <c r="V73" i="18"/>
  <c r="AS46" i="18"/>
  <c r="AU46" i="18" s="1"/>
  <c r="AU48" i="18"/>
  <c r="AS51" i="18"/>
  <c r="AU51" i="18" s="1"/>
  <c r="AC77" i="18"/>
  <c r="AE77" i="18" s="1"/>
  <c r="AC79" i="18"/>
  <c r="AE79" i="18" s="1"/>
  <c r="AI78" i="18"/>
  <c r="AE75" i="18"/>
  <c r="AE80" i="18"/>
  <c r="S60" i="18"/>
  <c r="Q60" i="18"/>
  <c r="O60" i="18"/>
  <c r="M60" i="18"/>
  <c r="K60" i="18"/>
  <c r="I60" i="18"/>
  <c r="G60" i="18"/>
  <c r="S59" i="18"/>
  <c r="Q59" i="18"/>
  <c r="O59" i="18"/>
  <c r="M59" i="18"/>
  <c r="K59" i="18"/>
  <c r="I59" i="18"/>
  <c r="G59" i="18"/>
  <c r="S57" i="18"/>
  <c r="Q57" i="18"/>
  <c r="O57" i="18"/>
  <c r="M57" i="18"/>
  <c r="K57" i="18"/>
  <c r="I57" i="18"/>
  <c r="G57" i="18"/>
  <c r="AU45" i="22" l="1"/>
  <c r="AU196" i="22" s="1"/>
  <c r="AS201" i="22"/>
  <c r="AF72" i="20"/>
  <c r="AF69" i="20"/>
  <c r="AS67" i="20"/>
  <c r="AU67" i="20" s="1"/>
  <c r="AW67" i="20" s="1"/>
  <c r="AY67" i="20" s="1"/>
  <c r="BA67" i="20" s="1"/>
  <c r="AY66" i="20"/>
  <c r="BA66" i="20" s="1"/>
  <c r="BC66" i="20" s="1"/>
  <c r="BE66" i="20" s="1"/>
  <c r="AW41" i="20"/>
  <c r="AQ69" i="20"/>
  <c r="AS69" i="20" s="1"/>
  <c r="AU69" i="20" s="1"/>
  <c r="AU72" i="20"/>
  <c r="X79" i="19"/>
  <c r="AQ60" i="19"/>
  <c r="AS60" i="19" s="1"/>
  <c r="AS77" i="19"/>
  <c r="AU77" i="19" s="1"/>
  <c r="AW77" i="19" s="1"/>
  <c r="AU74" i="19"/>
  <c r="AW74" i="19" s="1"/>
  <c r="AS63" i="19"/>
  <c r="AI78" i="19"/>
  <c r="AK78" i="19" s="1"/>
  <c r="AO61" i="19"/>
  <c r="V59" i="18"/>
  <c r="V60" i="18"/>
  <c r="V57" i="18"/>
  <c r="AG52" i="18"/>
  <c r="AG77" i="18"/>
  <c r="AI77" i="18" s="1"/>
  <c r="AK77" i="18" s="1"/>
  <c r="AG79" i="18"/>
  <c r="AI79" i="18" s="1"/>
  <c r="AK78" i="18"/>
  <c r="AM78" i="18" s="1"/>
  <c r="AG75" i="18"/>
  <c r="AG80" i="18"/>
  <c r="AI80" i="18" s="1"/>
  <c r="AK80" i="18" s="1"/>
  <c r="N94" i="18"/>
  <c r="L94" i="18"/>
  <c r="J94" i="18"/>
  <c r="H94" i="18"/>
  <c r="AW45" i="22" l="1"/>
  <c r="AW196" i="22" s="1"/>
  <c r="AU201" i="22"/>
  <c r="BC67" i="20"/>
  <c r="BE67" i="20" s="1"/>
  <c r="AW72" i="20"/>
  <c r="AY72" i="20" s="1"/>
  <c r="AK68" i="20"/>
  <c r="AY41" i="20"/>
  <c r="AW69" i="20"/>
  <c r="AY69" i="20" s="1"/>
  <c r="BE42" i="20"/>
  <c r="AW57" i="19"/>
  <c r="D74" i="20" s="1"/>
  <c r="C74" i="20" s="1"/>
  <c r="AU60" i="19"/>
  <c r="AW60" i="19" s="1"/>
  <c r="AO78" i="19"/>
  <c r="AU63" i="19"/>
  <c r="AW63" i="19" s="1"/>
  <c r="D127" i="20" s="1"/>
  <c r="AQ61" i="19"/>
  <c r="AI52" i="18"/>
  <c r="AK52" i="18" s="1"/>
  <c r="AO78" i="18"/>
  <c r="AK79" i="18"/>
  <c r="AM79" i="18" s="1"/>
  <c r="AO79" i="18" s="1"/>
  <c r="AM77" i="18"/>
  <c r="AI75" i="18"/>
  <c r="AM80" i="18"/>
  <c r="AO80" i="18" s="1"/>
  <c r="P102" i="18"/>
  <c r="N102" i="18"/>
  <c r="L102" i="18"/>
  <c r="J102" i="18"/>
  <c r="H102" i="18"/>
  <c r="F43" i="14"/>
  <c r="F102" i="18" s="1"/>
  <c r="N98" i="18"/>
  <c r="P39" i="14"/>
  <c r="P98" i="18" s="1"/>
  <c r="L39" i="14"/>
  <c r="L98" i="18" s="1"/>
  <c r="H39" i="14"/>
  <c r="H98" i="18" s="1"/>
  <c r="F39" i="14"/>
  <c r="F98" i="18" s="1"/>
  <c r="L96" i="18"/>
  <c r="AY45" i="22" l="1"/>
  <c r="BA45" i="22" s="1"/>
  <c r="AW201" i="22"/>
  <c r="BA72" i="20"/>
  <c r="BC72" i="20" s="1"/>
  <c r="AM68" i="20"/>
  <c r="AO68" i="20" s="1"/>
  <c r="BA69" i="20"/>
  <c r="BC69" i="20" s="1"/>
  <c r="BE69" i="20" s="1"/>
  <c r="AI127" i="20"/>
  <c r="AK127" i="20" s="1"/>
  <c r="AM127" i="20" s="1"/>
  <c r="AO127" i="20" s="1"/>
  <c r="E127" i="20"/>
  <c r="BA41" i="20"/>
  <c r="AS61" i="19"/>
  <c r="AU61" i="19" s="1"/>
  <c r="AQ78" i="19"/>
  <c r="AM52" i="18"/>
  <c r="AQ79" i="18"/>
  <c r="AS79" i="18" s="1"/>
  <c r="AU79" i="18" s="1"/>
  <c r="AQ78" i="18"/>
  <c r="AS78" i="18" s="1"/>
  <c r="AU74" i="18"/>
  <c r="AO77" i="18"/>
  <c r="AQ77" i="18" s="1"/>
  <c r="AK75" i="18"/>
  <c r="AM75" i="18" s="1"/>
  <c r="AU72" i="18"/>
  <c r="AQ80" i="18"/>
  <c r="F35" i="14"/>
  <c r="F94" i="18" s="1"/>
  <c r="N92" i="18"/>
  <c r="L92" i="18"/>
  <c r="J92" i="18"/>
  <c r="H92" i="18"/>
  <c r="F92" i="18"/>
  <c r="F84" i="18"/>
  <c r="L84" i="18"/>
  <c r="J84" i="18"/>
  <c r="H84" i="18"/>
  <c r="F22" i="14"/>
  <c r="L89" i="18"/>
  <c r="J89" i="18"/>
  <c r="H89" i="18"/>
  <c r="F89" i="18"/>
  <c r="F27" i="14"/>
  <c r="H82" i="18"/>
  <c r="F82" i="18"/>
  <c r="E82" i="18"/>
  <c r="U82" i="18" s="1"/>
  <c r="F20" i="14"/>
  <c r="D65" i="18"/>
  <c r="S62" i="18"/>
  <c r="Q62" i="18"/>
  <c r="O62" i="18"/>
  <c r="M62" i="18"/>
  <c r="K62" i="18"/>
  <c r="I62" i="18"/>
  <c r="G62" i="18"/>
  <c r="S61" i="18"/>
  <c r="Q61" i="18"/>
  <c r="O61" i="18"/>
  <c r="M61" i="18"/>
  <c r="K61" i="18"/>
  <c r="I61" i="18"/>
  <c r="G61" i="18"/>
  <c r="S63" i="18"/>
  <c r="Q63" i="18"/>
  <c r="O63" i="18"/>
  <c r="M63" i="18"/>
  <c r="K63" i="18"/>
  <c r="I63" i="18"/>
  <c r="G63" i="18"/>
  <c r="Y58" i="18"/>
  <c r="AC64" i="18"/>
  <c r="AY196" i="22" l="1"/>
  <c r="AY201" i="22" s="1"/>
  <c r="BC45" i="22"/>
  <c r="BA196" i="22"/>
  <c r="AC127" i="20"/>
  <c r="S127" i="20"/>
  <c r="AA127" i="20"/>
  <c r="I127" i="20"/>
  <c r="BE72" i="20"/>
  <c r="C89" i="19"/>
  <c r="D89" i="19" s="1"/>
  <c r="BC41" i="20"/>
  <c r="AQ127" i="20"/>
  <c r="AS127" i="20" s="1"/>
  <c r="AU127" i="20" s="1"/>
  <c r="AQ68" i="20"/>
  <c r="C85" i="19"/>
  <c r="O127" i="20"/>
  <c r="M127" i="20"/>
  <c r="Y127" i="20"/>
  <c r="Q127" i="20"/>
  <c r="W127" i="20"/>
  <c r="AE127" i="20"/>
  <c r="U127" i="20"/>
  <c r="K127" i="20"/>
  <c r="G127" i="20"/>
  <c r="C86" i="19"/>
  <c r="D86" i="19" s="1"/>
  <c r="C114" i="20"/>
  <c r="AW51" i="19"/>
  <c r="AW61" i="19"/>
  <c r="AA89" i="19"/>
  <c r="AC89" i="19" s="1"/>
  <c r="AS78" i="19"/>
  <c r="AU78" i="19" s="1"/>
  <c r="AW78" i="19" s="1"/>
  <c r="AE85" i="19"/>
  <c r="AG85" i="19" s="1"/>
  <c r="AA58" i="18"/>
  <c r="AC58" i="18" s="1"/>
  <c r="V63" i="18"/>
  <c r="V61" i="18"/>
  <c r="V62" i="18"/>
  <c r="AO52" i="18"/>
  <c r="AQ52" i="18" s="1"/>
  <c r="AU78" i="18"/>
  <c r="AO75" i="18"/>
  <c r="AS77" i="18"/>
  <c r="AU77" i="18" s="1"/>
  <c r="AO73" i="18"/>
  <c r="AS80" i="18"/>
  <c r="AU80" i="18" s="1"/>
  <c r="E65" i="18"/>
  <c r="AA65" i="18"/>
  <c r="AC65" i="18" s="1"/>
  <c r="AE64" i="18"/>
  <c r="AR146" i="18"/>
  <c r="AT134" i="19" s="1"/>
  <c r="BB186" i="20" s="1"/>
  <c r="AL146" i="18"/>
  <c r="AN134" i="19" s="1"/>
  <c r="AV186" i="20" s="1"/>
  <c r="AJ146" i="18"/>
  <c r="AL134" i="19" s="1"/>
  <c r="AT186" i="20" s="1"/>
  <c r="AH146" i="18"/>
  <c r="AJ134" i="19" s="1"/>
  <c r="AR186" i="20" s="1"/>
  <c r="AF146" i="18"/>
  <c r="AH134" i="19" s="1"/>
  <c r="AP186" i="20" s="1"/>
  <c r="AD146" i="18"/>
  <c r="AF134" i="19" s="1"/>
  <c r="AN186" i="20" s="1"/>
  <c r="X146" i="18"/>
  <c r="Z146" i="18"/>
  <c r="AB134" i="19" s="1"/>
  <c r="AJ186" i="20" s="1"/>
  <c r="AP146" i="18"/>
  <c r="AR134" i="19" s="1"/>
  <c r="AZ186" i="20" s="1"/>
  <c r="S109" i="18"/>
  <c r="Q109" i="18"/>
  <c r="O109" i="18"/>
  <c r="M109" i="18"/>
  <c r="K109" i="18"/>
  <c r="I109" i="18"/>
  <c r="G109" i="18"/>
  <c r="S108" i="18"/>
  <c r="Q108" i="18"/>
  <c r="O108" i="18"/>
  <c r="M108" i="18"/>
  <c r="K108" i="18"/>
  <c r="I108" i="18"/>
  <c r="G108" i="18"/>
  <c r="S107" i="18"/>
  <c r="Q107" i="18"/>
  <c r="O107" i="18"/>
  <c r="M107" i="18"/>
  <c r="K107" i="18"/>
  <c r="I107" i="18"/>
  <c r="G107" i="18"/>
  <c r="S105" i="18"/>
  <c r="Q105" i="18"/>
  <c r="O105" i="18"/>
  <c r="M105" i="18"/>
  <c r="K105" i="18"/>
  <c r="I105" i="18"/>
  <c r="G105" i="18"/>
  <c r="S104" i="18"/>
  <c r="Q104" i="18"/>
  <c r="O104" i="18"/>
  <c r="M104" i="18"/>
  <c r="K104" i="18"/>
  <c r="I104" i="18"/>
  <c r="G104" i="18"/>
  <c r="S103" i="18"/>
  <c r="Q103" i="18"/>
  <c r="O103" i="18"/>
  <c r="M103" i="18"/>
  <c r="K103" i="18"/>
  <c r="I103" i="18"/>
  <c r="G103" i="18"/>
  <c r="S101" i="18"/>
  <c r="Q101" i="18"/>
  <c r="O101" i="18"/>
  <c r="M101" i="18"/>
  <c r="K101" i="18"/>
  <c r="I101" i="18"/>
  <c r="G101" i="18"/>
  <c r="S100" i="18"/>
  <c r="S99" i="18"/>
  <c r="Q99" i="18"/>
  <c r="O99" i="18"/>
  <c r="M99" i="18"/>
  <c r="K99" i="18"/>
  <c r="I99" i="18"/>
  <c r="G99" i="18"/>
  <c r="P143" i="18"/>
  <c r="M95" i="18"/>
  <c r="S94" i="18"/>
  <c r="Q94" i="18"/>
  <c r="O94" i="18"/>
  <c r="M94" i="18"/>
  <c r="K94" i="18"/>
  <c r="I94" i="18"/>
  <c r="G94" i="18"/>
  <c r="AT146" i="18"/>
  <c r="AV134" i="19" s="1"/>
  <c r="BD186" i="20" s="1"/>
  <c r="S93" i="18"/>
  <c r="Q93" i="18"/>
  <c r="O93" i="18"/>
  <c r="M93" i="18"/>
  <c r="K93" i="18"/>
  <c r="I93" i="18"/>
  <c r="G93" i="18"/>
  <c r="S71" i="18"/>
  <c r="Q71" i="18"/>
  <c r="O71" i="18"/>
  <c r="M71" i="18"/>
  <c r="K71" i="18"/>
  <c r="I71" i="18"/>
  <c r="G71" i="18"/>
  <c r="S92" i="18"/>
  <c r="Q92" i="18"/>
  <c r="O92" i="18"/>
  <c r="M92" i="18"/>
  <c r="K92" i="18"/>
  <c r="I92" i="18"/>
  <c r="G92" i="18"/>
  <c r="S91" i="18"/>
  <c r="Q91" i="18"/>
  <c r="O91" i="18"/>
  <c r="M91" i="18"/>
  <c r="K91" i="18"/>
  <c r="I91" i="18"/>
  <c r="G91" i="18"/>
  <c r="S70" i="18"/>
  <c r="Q70" i="18"/>
  <c r="O70" i="18"/>
  <c r="M70" i="18"/>
  <c r="K70" i="18"/>
  <c r="I70" i="18"/>
  <c r="G70" i="18"/>
  <c r="S90" i="18"/>
  <c r="Q90" i="18"/>
  <c r="O90" i="18"/>
  <c r="M90" i="18"/>
  <c r="K90" i="18"/>
  <c r="I90" i="18"/>
  <c r="G90" i="18"/>
  <c r="S88" i="18"/>
  <c r="Q88" i="18"/>
  <c r="O88" i="18"/>
  <c r="M88" i="18"/>
  <c r="K88" i="18"/>
  <c r="I88" i="18"/>
  <c r="G88" i="18"/>
  <c r="S87" i="18"/>
  <c r="Q87" i="18"/>
  <c r="O87" i="18"/>
  <c r="M87" i="18"/>
  <c r="K87" i="18"/>
  <c r="I87" i="18"/>
  <c r="G87" i="18"/>
  <c r="S86" i="18"/>
  <c r="Q86" i="18"/>
  <c r="O86" i="18"/>
  <c r="M86" i="18"/>
  <c r="I86" i="18"/>
  <c r="G86" i="18"/>
  <c r="S85" i="18"/>
  <c r="Q85" i="18"/>
  <c r="O85" i="18"/>
  <c r="M85" i="18"/>
  <c r="K85" i="18"/>
  <c r="I85" i="18"/>
  <c r="G85" i="18"/>
  <c r="S84" i="18"/>
  <c r="Q84" i="18"/>
  <c r="O84" i="18"/>
  <c r="M84" i="18"/>
  <c r="K84" i="18"/>
  <c r="I84" i="18"/>
  <c r="G84" i="18"/>
  <c r="S83" i="18"/>
  <c r="Q83" i="18"/>
  <c r="O83" i="18"/>
  <c r="M83" i="18"/>
  <c r="K83" i="18"/>
  <c r="I83" i="18"/>
  <c r="G83" i="18"/>
  <c r="S82" i="18"/>
  <c r="Q82" i="18"/>
  <c r="O82" i="18"/>
  <c r="M82" i="18"/>
  <c r="K82" i="18"/>
  <c r="I82" i="18"/>
  <c r="G82" i="18"/>
  <c r="S69" i="18"/>
  <c r="Q69" i="18"/>
  <c r="O69" i="18"/>
  <c r="M69" i="18"/>
  <c r="K69" i="18"/>
  <c r="I69" i="18"/>
  <c r="G69" i="18"/>
  <c r="S68" i="18"/>
  <c r="Q68" i="18"/>
  <c r="O68" i="18"/>
  <c r="M68" i="18"/>
  <c r="K68" i="18"/>
  <c r="H68" i="18"/>
  <c r="I68" i="18" s="1"/>
  <c r="G68" i="18"/>
  <c r="R67" i="18"/>
  <c r="S67" i="18" s="1"/>
  <c r="Q67" i="18"/>
  <c r="O67" i="18"/>
  <c r="M67" i="18"/>
  <c r="K67" i="18"/>
  <c r="G67" i="18"/>
  <c r="S66" i="18"/>
  <c r="Q66" i="18"/>
  <c r="O66" i="18"/>
  <c r="M66" i="18"/>
  <c r="K66" i="18"/>
  <c r="I66" i="18"/>
  <c r="S64" i="18"/>
  <c r="Q64" i="18"/>
  <c r="O64" i="18"/>
  <c r="M64" i="18"/>
  <c r="K64" i="18"/>
  <c r="I64" i="18"/>
  <c r="G64" i="18"/>
  <c r="S58" i="18"/>
  <c r="Q58" i="18"/>
  <c r="O58" i="18"/>
  <c r="M58" i="18"/>
  <c r="K58" i="18"/>
  <c r="I58" i="18"/>
  <c r="AB146" i="18"/>
  <c r="AD134" i="19" s="1"/>
  <c r="AL186" i="20" s="1"/>
  <c r="BA201" i="22" l="1"/>
  <c r="BC196" i="22"/>
  <c r="BE45" i="22"/>
  <c r="AF127" i="20"/>
  <c r="C87" i="19"/>
  <c r="D87" i="19" s="1"/>
  <c r="AA87" i="19" s="1"/>
  <c r="AC87" i="19" s="1"/>
  <c r="C129" i="20"/>
  <c r="BE41" i="20"/>
  <c r="AW127" i="20"/>
  <c r="AY127" i="20" s="1"/>
  <c r="C90" i="19"/>
  <c r="D90" i="19" s="1"/>
  <c r="AA90" i="19" s="1"/>
  <c r="AC90" i="19" s="1"/>
  <c r="C142" i="20"/>
  <c r="C88" i="19"/>
  <c r="D88" i="19" s="1"/>
  <c r="AA88" i="19" s="1"/>
  <c r="AC88" i="19" s="1"/>
  <c r="AS68" i="20"/>
  <c r="AE89" i="19"/>
  <c r="AG89" i="19" s="1"/>
  <c r="AI89" i="19" s="1"/>
  <c r="AK89" i="19" s="1"/>
  <c r="X151" i="18"/>
  <c r="Z139" i="19" s="1"/>
  <c r="AH191" i="20" s="1"/>
  <c r="Z134" i="19"/>
  <c r="AH186" i="20" s="1"/>
  <c r="AI85" i="19"/>
  <c r="AK85" i="19" s="1"/>
  <c r="AM85" i="19" s="1"/>
  <c r="AO85" i="19" s="1"/>
  <c r="AW79" i="19"/>
  <c r="V93" i="18"/>
  <c r="V108" i="18"/>
  <c r="V82" i="18"/>
  <c r="V88" i="18"/>
  <c r="V69" i="18"/>
  <c r="V90" i="18"/>
  <c r="V101" i="18"/>
  <c r="V109" i="18"/>
  <c r="V83" i="18"/>
  <c r="V70" i="18"/>
  <c r="V94" i="18"/>
  <c r="V103" i="18"/>
  <c r="V58" i="18"/>
  <c r="V84" i="18"/>
  <c r="V91" i="18"/>
  <c r="V104" i="18"/>
  <c r="V64" i="18"/>
  <c r="V85" i="18"/>
  <c r="V86" i="18"/>
  <c r="V92" i="18"/>
  <c r="V105" i="18"/>
  <c r="S65" i="18"/>
  <c r="U65" i="18"/>
  <c r="V68" i="18"/>
  <c r="V87" i="18"/>
  <c r="V71" i="18"/>
  <c r="V99" i="18"/>
  <c r="V107" i="18"/>
  <c r="AU55" i="18"/>
  <c r="AS52" i="18"/>
  <c r="AU52" i="18" s="1"/>
  <c r="AQ75" i="18"/>
  <c r="AS75" i="18" s="1"/>
  <c r="AU75" i="18" s="1"/>
  <c r="AQ73" i="18"/>
  <c r="AS73" i="18" s="1"/>
  <c r="G65" i="18"/>
  <c r="Q65" i="18"/>
  <c r="M65" i="18"/>
  <c r="O65" i="18"/>
  <c r="I65" i="18"/>
  <c r="K65" i="18"/>
  <c r="F143" i="18"/>
  <c r="H143" i="18"/>
  <c r="AG64" i="18"/>
  <c r="AI64" i="18" s="1"/>
  <c r="AE65" i="18"/>
  <c r="AG65" i="18" s="1"/>
  <c r="AE58" i="18"/>
  <c r="G97" i="18"/>
  <c r="G95" i="18"/>
  <c r="G100" i="18"/>
  <c r="I67" i="18"/>
  <c r="V67" i="18" s="1"/>
  <c r="I95" i="18"/>
  <c r="I100" i="18"/>
  <c r="K95" i="18"/>
  <c r="L143" i="18"/>
  <c r="N143" i="18"/>
  <c r="K100" i="18"/>
  <c r="R143" i="18"/>
  <c r="M100" i="18"/>
  <c r="O95" i="18"/>
  <c r="O100" i="18"/>
  <c r="Q95" i="18"/>
  <c r="Q100" i="18"/>
  <c r="G66" i="18"/>
  <c r="V66" i="18" s="1"/>
  <c r="S95" i="18"/>
  <c r="J52" i="14"/>
  <c r="C52" i="14"/>
  <c r="D52" i="14" s="1"/>
  <c r="F19" i="14"/>
  <c r="H18" i="14"/>
  <c r="R17" i="14"/>
  <c r="H17" i="14"/>
  <c r="R16" i="14"/>
  <c r="F16" i="14"/>
  <c r="BC201" i="22" l="1"/>
  <c r="BG45" i="22"/>
  <c r="BE196" i="22"/>
  <c r="D142" i="20"/>
  <c r="AI142" i="20" s="1"/>
  <c r="AK142" i="20" s="1"/>
  <c r="Z151" i="18"/>
  <c r="AB139" i="19" s="1"/>
  <c r="AJ191" i="20" s="1"/>
  <c r="AS74" i="20"/>
  <c r="AU74" i="20" s="1"/>
  <c r="AW74" i="20" s="1"/>
  <c r="AY74" i="20" s="1"/>
  <c r="C65" i="20"/>
  <c r="AU68" i="20"/>
  <c r="BA127" i="20"/>
  <c r="BC127" i="20" s="1"/>
  <c r="AM89" i="19"/>
  <c r="AO89" i="19" s="1"/>
  <c r="AE88" i="19"/>
  <c r="AG88" i="19" s="1"/>
  <c r="AQ85" i="19"/>
  <c r="AS85" i="19" s="1"/>
  <c r="AU85" i="19" s="1"/>
  <c r="AW85" i="19" s="1"/>
  <c r="D141" i="20" s="1"/>
  <c r="AE87" i="19"/>
  <c r="AG87" i="19" s="1"/>
  <c r="AE90" i="19"/>
  <c r="AW65" i="19"/>
  <c r="V100" i="18"/>
  <c r="V95" i="18"/>
  <c r="V65" i="18"/>
  <c r="AU53" i="18"/>
  <c r="C81" i="19" s="1"/>
  <c r="D81" i="19" s="1"/>
  <c r="E81" i="19" s="1"/>
  <c r="W81" i="19" s="1"/>
  <c r="AU73" i="18"/>
  <c r="AQ59" i="18"/>
  <c r="AK64" i="18"/>
  <c r="AM64" i="18" s="1"/>
  <c r="AG58" i="18"/>
  <c r="AI65" i="18"/>
  <c r="AK65" i="18" s="1"/>
  <c r="AB151" i="18"/>
  <c r="Q97" i="18"/>
  <c r="S97" i="18"/>
  <c r="O97" i="18"/>
  <c r="M97" i="18"/>
  <c r="K97" i="18"/>
  <c r="I97" i="18"/>
  <c r="AR34" i="14"/>
  <c r="AR38" i="14"/>
  <c r="C38" i="14"/>
  <c r="D38" i="14" s="1"/>
  <c r="BE201" i="22" l="1"/>
  <c r="BI45" i="22"/>
  <c r="BI201" i="22" s="1"/>
  <c r="BG196" i="22"/>
  <c r="AM142" i="20"/>
  <c r="AO142" i="20" s="1"/>
  <c r="BA74" i="20"/>
  <c r="BC74" i="20" s="1"/>
  <c r="BE74" i="20" s="1"/>
  <c r="AQ65" i="20"/>
  <c r="AS65" i="20" s="1"/>
  <c r="AU65" i="20" s="1"/>
  <c r="AW68" i="20"/>
  <c r="AY68" i="20" s="1"/>
  <c r="AI141" i="20"/>
  <c r="AK141" i="20" s="1"/>
  <c r="BE127" i="20"/>
  <c r="AQ89" i="19"/>
  <c r="AS89" i="19" s="1"/>
  <c r="AU89" i="19" s="1"/>
  <c r="AW89" i="19" s="1"/>
  <c r="AI88" i="19"/>
  <c r="AK88" i="19" s="1"/>
  <c r="S81" i="19"/>
  <c r="I81" i="19"/>
  <c r="G81" i="19"/>
  <c r="U81" i="19"/>
  <c r="Q81" i="19"/>
  <c r="O81" i="19"/>
  <c r="M81" i="19"/>
  <c r="K81" i="19"/>
  <c r="AD151" i="18"/>
  <c r="AF139" i="19" s="1"/>
  <c r="AN191" i="20" s="1"/>
  <c r="AD139" i="19"/>
  <c r="AL191" i="20" s="1"/>
  <c r="AE81" i="19"/>
  <c r="AI87" i="19"/>
  <c r="AG90" i="19"/>
  <c r="AI90" i="19" s="1"/>
  <c r="AK90" i="19" s="1"/>
  <c r="V97" i="18"/>
  <c r="AU60" i="18"/>
  <c r="AS59" i="18"/>
  <c r="AU59" i="18" s="1"/>
  <c r="AU57" i="18"/>
  <c r="AO64" i="18"/>
  <c r="AQ64" i="18" s="1"/>
  <c r="AS64" i="18" s="1"/>
  <c r="AK63" i="18"/>
  <c r="AI58" i="18"/>
  <c r="AK58" i="18" s="1"/>
  <c r="AM65" i="18"/>
  <c r="AO65" i="18" s="1"/>
  <c r="C47" i="14"/>
  <c r="AN53" i="14"/>
  <c r="C53" i="14"/>
  <c r="BG201" i="22" l="1"/>
  <c r="AQ142" i="20"/>
  <c r="AM141" i="20"/>
  <c r="AO141" i="20" s="1"/>
  <c r="AQ141" i="20" s="1"/>
  <c r="AS141" i="20" s="1"/>
  <c r="AW65" i="20"/>
  <c r="AY65" i="20" s="1"/>
  <c r="BA65" i="20" s="1"/>
  <c r="BA68" i="20"/>
  <c r="BC68" i="20" s="1"/>
  <c r="X81" i="19"/>
  <c r="AF151" i="18"/>
  <c r="AH139" i="19" s="1"/>
  <c r="AP191" i="20" s="1"/>
  <c r="AR191" i="20" s="1"/>
  <c r="AT191" i="20" s="1"/>
  <c r="AV191" i="20" s="1"/>
  <c r="AX191" i="20" s="1"/>
  <c r="AZ191" i="20" s="1"/>
  <c r="BB191" i="20" s="1"/>
  <c r="BD191" i="20" s="1"/>
  <c r="AM88" i="19"/>
  <c r="AO88" i="19" s="1"/>
  <c r="AW80" i="19"/>
  <c r="AK87" i="19"/>
  <c r="AM87" i="19" s="1"/>
  <c r="AO87" i="19" s="1"/>
  <c r="AM90" i="19"/>
  <c r="AG81" i="19"/>
  <c r="AM63" i="18"/>
  <c r="AO63" i="18" s="1"/>
  <c r="AQ63" i="18" s="1"/>
  <c r="AM58" i="18"/>
  <c r="E54" i="14"/>
  <c r="S54" i="14" s="1"/>
  <c r="E67" i="14"/>
  <c r="S67" i="14" s="1"/>
  <c r="E64" i="14"/>
  <c r="S64" i="14" s="1"/>
  <c r="E77" i="14"/>
  <c r="Q77" i="14" s="1"/>
  <c r="E73" i="14"/>
  <c r="O73" i="14" s="1"/>
  <c r="E72" i="14"/>
  <c r="G72" i="14" s="1"/>
  <c r="E68" i="14"/>
  <c r="O68" i="14" s="1"/>
  <c r="Q43" i="14"/>
  <c r="E41" i="14"/>
  <c r="G41" i="14" s="1"/>
  <c r="E36" i="14"/>
  <c r="O36" i="14" s="1"/>
  <c r="Q37" i="14"/>
  <c r="E38" i="14"/>
  <c r="I38" i="14" s="1"/>
  <c r="E58" i="14"/>
  <c r="S58" i="14" s="1"/>
  <c r="E57" i="14"/>
  <c r="S57" i="14" s="1"/>
  <c r="E56" i="14"/>
  <c r="M56" i="14" s="1"/>
  <c r="E53" i="14"/>
  <c r="Q53" i="14" s="1"/>
  <c r="E52" i="14"/>
  <c r="Q52" i="14" s="1"/>
  <c r="E51" i="14"/>
  <c r="O51" i="14" s="1"/>
  <c r="E47" i="14"/>
  <c r="I47" i="14" s="1"/>
  <c r="S39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40" i="14"/>
  <c r="S42" i="14"/>
  <c r="S44" i="14"/>
  <c r="S45" i="14"/>
  <c r="S46" i="14"/>
  <c r="S48" i="14"/>
  <c r="S49" i="14"/>
  <c r="S50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40" i="14"/>
  <c r="Q42" i="14"/>
  <c r="Q44" i="14"/>
  <c r="Q45" i="14"/>
  <c r="Q46" i="14"/>
  <c r="Q48" i="14"/>
  <c r="Q49" i="14"/>
  <c r="Q50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40" i="14"/>
  <c r="O42" i="14"/>
  <c r="O44" i="14"/>
  <c r="O45" i="14"/>
  <c r="O46" i="14"/>
  <c r="O48" i="14"/>
  <c r="O49" i="14"/>
  <c r="O50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40" i="14"/>
  <c r="M42" i="14"/>
  <c r="M44" i="14"/>
  <c r="M45" i="14"/>
  <c r="M46" i="14"/>
  <c r="M48" i="14"/>
  <c r="M49" i="14"/>
  <c r="M50" i="14"/>
  <c r="K14" i="14"/>
  <c r="K15" i="14"/>
  <c r="K16" i="14"/>
  <c r="K17" i="14"/>
  <c r="K18" i="14"/>
  <c r="K19" i="14"/>
  <c r="K20" i="14"/>
  <c r="K21" i="14"/>
  <c r="K22" i="14"/>
  <c r="K23" i="14"/>
  <c r="K25" i="14"/>
  <c r="K26" i="14"/>
  <c r="K27" i="14"/>
  <c r="K28" i="14"/>
  <c r="K29" i="14"/>
  <c r="K30" i="14"/>
  <c r="K31" i="14"/>
  <c r="K32" i="14"/>
  <c r="K33" i="14"/>
  <c r="K34" i="14"/>
  <c r="K35" i="14"/>
  <c r="K40" i="14"/>
  <c r="K42" i="14"/>
  <c r="K44" i="14"/>
  <c r="K45" i="14"/>
  <c r="K46" i="14"/>
  <c r="K48" i="14"/>
  <c r="K49" i="14"/>
  <c r="K50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40" i="14"/>
  <c r="I42" i="14"/>
  <c r="I44" i="14"/>
  <c r="I45" i="14"/>
  <c r="I46" i="14"/>
  <c r="I48" i="14"/>
  <c r="I49" i="14"/>
  <c r="I50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40" i="14"/>
  <c r="G42" i="14"/>
  <c r="G44" i="14"/>
  <c r="G45" i="14"/>
  <c r="G46" i="14"/>
  <c r="G48" i="14"/>
  <c r="G49" i="14"/>
  <c r="G50" i="14"/>
  <c r="S13" i="14"/>
  <c r="Q13" i="14"/>
  <c r="O13" i="14"/>
  <c r="M13" i="14"/>
  <c r="K13" i="14"/>
  <c r="I13" i="14"/>
  <c r="G13" i="14"/>
  <c r="F37" i="14"/>
  <c r="G37" i="14" s="1"/>
  <c r="F38" i="14"/>
  <c r="F47" i="14"/>
  <c r="H84" i="14"/>
  <c r="J39" i="14"/>
  <c r="R84" i="14"/>
  <c r="BC65" i="20" l="1"/>
  <c r="BE65" i="20" s="1"/>
  <c r="AS142" i="20"/>
  <c r="AH151" i="18"/>
  <c r="AJ139" i="19" s="1"/>
  <c r="BE68" i="20"/>
  <c r="AU141" i="20"/>
  <c r="AW141" i="20" s="1"/>
  <c r="AY141" i="20" s="1"/>
  <c r="AQ88" i="19"/>
  <c r="AS88" i="19" s="1"/>
  <c r="AW86" i="19"/>
  <c r="D114" i="20" s="1"/>
  <c r="AQ87" i="19"/>
  <c r="AS87" i="19" s="1"/>
  <c r="AU87" i="19" s="1"/>
  <c r="AW87" i="19" s="1"/>
  <c r="D129" i="20" s="1"/>
  <c r="AO90" i="19"/>
  <c r="AQ90" i="19" s="1"/>
  <c r="AI81" i="19"/>
  <c r="AK81" i="19" s="1"/>
  <c r="AM81" i="19" s="1"/>
  <c r="Q67" i="14"/>
  <c r="M67" i="14"/>
  <c r="M54" i="14"/>
  <c r="Q54" i="14"/>
  <c r="O67" i="14"/>
  <c r="G67" i="14"/>
  <c r="I67" i="14"/>
  <c r="K67" i="14"/>
  <c r="M51" i="14"/>
  <c r="G54" i="14"/>
  <c r="I54" i="14"/>
  <c r="K51" i="14"/>
  <c r="G52" i="14"/>
  <c r="I51" i="14"/>
  <c r="M52" i="14"/>
  <c r="O47" i="14"/>
  <c r="J84" i="14"/>
  <c r="J98" i="18"/>
  <c r="I37" i="14"/>
  <c r="K37" i="14"/>
  <c r="AU61" i="18"/>
  <c r="AS63" i="18"/>
  <c r="AU63" i="18" s="1"/>
  <c r="AO58" i="18"/>
  <c r="AQ58" i="18" s="1"/>
  <c r="AS58" i="18" s="1"/>
  <c r="AJ151" i="18"/>
  <c r="AL139" i="19" s="1"/>
  <c r="M39" i="14"/>
  <c r="K77" i="14"/>
  <c r="O54" i="14"/>
  <c r="O52" i="14"/>
  <c r="G58" i="14"/>
  <c r="G51" i="14"/>
  <c r="Q51" i="14"/>
  <c r="S73" i="14"/>
  <c r="K54" i="14"/>
  <c r="S52" i="14"/>
  <c r="K52" i="14"/>
  <c r="M73" i="14"/>
  <c r="S51" i="14"/>
  <c r="T42" i="14"/>
  <c r="T25" i="14"/>
  <c r="T46" i="14"/>
  <c r="T40" i="14"/>
  <c r="T32" i="14"/>
  <c r="T28" i="14"/>
  <c r="T24" i="14"/>
  <c r="T20" i="14"/>
  <c r="T16" i="14"/>
  <c r="T29" i="14"/>
  <c r="T21" i="14"/>
  <c r="Q39" i="14"/>
  <c r="G39" i="14"/>
  <c r="I53" i="14"/>
  <c r="I43" i="14"/>
  <c r="S77" i="14"/>
  <c r="T50" i="14"/>
  <c r="T45" i="14"/>
  <c r="T35" i="14"/>
  <c r="T31" i="14"/>
  <c r="T27" i="14"/>
  <c r="T23" i="14"/>
  <c r="T19" i="14"/>
  <c r="T15" i="14"/>
  <c r="T13" i="14"/>
  <c r="T48" i="14"/>
  <c r="T33" i="14"/>
  <c r="T17" i="14"/>
  <c r="T49" i="14"/>
  <c r="T44" i="14"/>
  <c r="T34" i="14"/>
  <c r="T30" i="14"/>
  <c r="T26" i="14"/>
  <c r="T22" i="14"/>
  <c r="T18" i="14"/>
  <c r="T14" i="14"/>
  <c r="S53" i="14"/>
  <c r="G53" i="14"/>
  <c r="M53" i="14"/>
  <c r="S43" i="14"/>
  <c r="G43" i="14"/>
  <c r="M43" i="14"/>
  <c r="Q73" i="14"/>
  <c r="I73" i="14"/>
  <c r="K53" i="14"/>
  <c r="O77" i="14"/>
  <c r="O39" i="14"/>
  <c r="O53" i="14"/>
  <c r="O43" i="14"/>
  <c r="K43" i="14"/>
  <c r="G77" i="14"/>
  <c r="O56" i="14"/>
  <c r="K39" i="14"/>
  <c r="G56" i="14"/>
  <c r="M41" i="14"/>
  <c r="G73" i="14"/>
  <c r="K58" i="14"/>
  <c r="O41" i="14"/>
  <c r="S56" i="14"/>
  <c r="G68" i="14"/>
  <c r="I77" i="14"/>
  <c r="I52" i="14"/>
  <c r="K56" i="14"/>
  <c r="K38" i="14"/>
  <c r="M77" i="14"/>
  <c r="O58" i="14"/>
  <c r="I41" i="14"/>
  <c r="M68" i="14"/>
  <c r="S72" i="14"/>
  <c r="S41" i="14"/>
  <c r="I58" i="14"/>
  <c r="K73" i="14"/>
  <c r="M58" i="14"/>
  <c r="Q58" i="14"/>
  <c r="S68" i="14"/>
  <c r="I56" i="14"/>
  <c r="K68" i="14"/>
  <c r="K41" i="14"/>
  <c r="M57" i="14"/>
  <c r="M38" i="14"/>
  <c r="Q56" i="14"/>
  <c r="I68" i="14"/>
  <c r="Q68" i="14"/>
  <c r="I39" i="14"/>
  <c r="M64" i="14"/>
  <c r="G64" i="14"/>
  <c r="I64" i="14"/>
  <c r="O64" i="14"/>
  <c r="K64" i="14"/>
  <c r="Q64" i="14"/>
  <c r="Q72" i="14"/>
  <c r="K72" i="14"/>
  <c r="M72" i="14"/>
  <c r="O72" i="14"/>
  <c r="I72" i="14"/>
  <c r="Q41" i="14"/>
  <c r="S36" i="14"/>
  <c r="G36" i="14"/>
  <c r="I36" i="14"/>
  <c r="K36" i="14"/>
  <c r="Q36" i="14"/>
  <c r="M36" i="14"/>
  <c r="M37" i="14"/>
  <c r="S37" i="14"/>
  <c r="O37" i="14"/>
  <c r="O38" i="14"/>
  <c r="Q38" i="14"/>
  <c r="S38" i="14"/>
  <c r="G38" i="14"/>
  <c r="O57" i="14"/>
  <c r="I57" i="14"/>
  <c r="Q57" i="14"/>
  <c r="K57" i="14"/>
  <c r="G57" i="14"/>
  <c r="K47" i="14"/>
  <c r="G47" i="14"/>
  <c r="M47" i="14"/>
  <c r="S47" i="14"/>
  <c r="Q47" i="14"/>
  <c r="P84" i="14"/>
  <c r="L84" i="14"/>
  <c r="N84" i="14"/>
  <c r="F84" i="14"/>
  <c r="AA15" i="14"/>
  <c r="AA14" i="14"/>
  <c r="AS20" i="14"/>
  <c r="C82" i="18" s="1"/>
  <c r="D82" i="18" s="1"/>
  <c r="AU142" i="20" l="1"/>
  <c r="AI129" i="20"/>
  <c r="AK129" i="20" s="1"/>
  <c r="BA141" i="20"/>
  <c r="BC141" i="20" s="1"/>
  <c r="BE141" i="20" s="1"/>
  <c r="AK83" i="19"/>
  <c r="AU88" i="19"/>
  <c r="AW88" i="19" s="1"/>
  <c r="AO81" i="19"/>
  <c r="AQ81" i="19" s="1"/>
  <c r="AS90" i="19"/>
  <c r="AU90" i="19" s="1"/>
  <c r="AW90" i="19" s="1"/>
  <c r="T67" i="14"/>
  <c r="T54" i="14"/>
  <c r="J143" i="18"/>
  <c r="AQ62" i="18"/>
  <c r="AS62" i="18" s="1"/>
  <c r="AU62" i="18" s="1"/>
  <c r="AU58" i="18"/>
  <c r="AL151" i="18"/>
  <c r="AN139" i="19" s="1"/>
  <c r="T51" i="14"/>
  <c r="T52" i="14"/>
  <c r="T73" i="14"/>
  <c r="T57" i="14"/>
  <c r="T39" i="14"/>
  <c r="T64" i="14"/>
  <c r="T58" i="14"/>
  <c r="T41" i="14"/>
  <c r="T56" i="14"/>
  <c r="T77" i="14"/>
  <c r="T36" i="14"/>
  <c r="T72" i="14"/>
  <c r="T53" i="14"/>
  <c r="T68" i="14"/>
  <c r="T47" i="14"/>
  <c r="T38" i="14"/>
  <c r="T37" i="14"/>
  <c r="T43" i="14"/>
  <c r="AC15" i="14"/>
  <c r="AE15" i="14" s="1"/>
  <c r="AC14" i="14"/>
  <c r="AE14" i="14" s="1"/>
  <c r="AK34" i="14"/>
  <c r="AQ34" i="14" s="1"/>
  <c r="C34" i="14"/>
  <c r="AW142" i="20" l="1"/>
  <c r="AY142" i="20" s="1"/>
  <c r="BA142" i="20" s="1"/>
  <c r="AM129" i="20"/>
  <c r="AO129" i="20" s="1"/>
  <c r="AQ129" i="20" s="1"/>
  <c r="AM83" i="19"/>
  <c r="AO83" i="19" s="1"/>
  <c r="AQ83" i="19" s="1"/>
  <c r="AS83" i="19" s="1"/>
  <c r="AS81" i="19"/>
  <c r="AU81" i="19" s="1"/>
  <c r="AW81" i="19" s="1"/>
  <c r="AQ82" i="19"/>
  <c r="AN151" i="18"/>
  <c r="AP139" i="19" s="1"/>
  <c r="AG15" i="14"/>
  <c r="AI15" i="14" s="1"/>
  <c r="AG14" i="14"/>
  <c r="AI14" i="14" s="1"/>
  <c r="AK14" i="14" s="1"/>
  <c r="BC142" i="20" l="1"/>
  <c r="BE142" i="20" s="1"/>
  <c r="BE140" i="20"/>
  <c r="AM139" i="20"/>
  <c r="AO139" i="20" s="1"/>
  <c r="AQ139" i="20" s="1"/>
  <c r="AS139" i="20" s="1"/>
  <c r="AU139" i="20" s="1"/>
  <c r="AW139" i="20" s="1"/>
  <c r="AS129" i="20"/>
  <c r="AU129" i="20" s="1"/>
  <c r="AW129" i="20" s="1"/>
  <c r="AU83" i="19"/>
  <c r="AW83" i="19" s="1"/>
  <c r="AS82" i="19"/>
  <c r="AU82" i="19" s="1"/>
  <c r="AU64" i="18"/>
  <c r="AP151" i="18"/>
  <c r="AR139" i="19" s="1"/>
  <c r="AK15" i="14"/>
  <c r="AM14" i="14"/>
  <c r="AO14" i="14" s="1"/>
  <c r="A69" i="16"/>
  <c r="B69" i="16"/>
  <c r="H69" i="16" s="1"/>
  <c r="A70" i="16"/>
  <c r="D70" i="16"/>
  <c r="F70" i="16"/>
  <c r="H70" i="16"/>
  <c r="J70" i="16"/>
  <c r="L70" i="16"/>
  <c r="N70" i="16"/>
  <c r="P70" i="16"/>
  <c r="R70" i="16"/>
  <c r="T70" i="16"/>
  <c r="U70" i="16"/>
  <c r="E2" i="16"/>
  <c r="G2" i="16"/>
  <c r="I2" i="16"/>
  <c r="K2" i="16"/>
  <c r="M2" i="16"/>
  <c r="O2" i="16"/>
  <c r="Q2" i="16"/>
  <c r="S2" i="16"/>
  <c r="C2" i="16"/>
  <c r="U8" i="16"/>
  <c r="U4" i="16"/>
  <c r="N6" i="16"/>
  <c r="D6" i="16"/>
  <c r="F6" i="16"/>
  <c r="A7" i="16"/>
  <c r="F7" i="16"/>
  <c r="A8" i="16"/>
  <c r="N8" i="16"/>
  <c r="A9" i="16"/>
  <c r="B9" i="16"/>
  <c r="F9" i="16" s="1"/>
  <c r="A10" i="16"/>
  <c r="B10" i="16"/>
  <c r="U10" i="16" s="1"/>
  <c r="A11" i="16"/>
  <c r="B11" i="16"/>
  <c r="F11" i="16" s="1"/>
  <c r="A12" i="16"/>
  <c r="B12" i="16"/>
  <c r="N12" i="16" s="1"/>
  <c r="A13" i="16"/>
  <c r="B13" i="16"/>
  <c r="F13" i="16" s="1"/>
  <c r="A14" i="16"/>
  <c r="B14" i="16"/>
  <c r="N14" i="16" s="1"/>
  <c r="A15" i="16"/>
  <c r="B15" i="16"/>
  <c r="F15" i="16" s="1"/>
  <c r="A16" i="16"/>
  <c r="B16" i="16"/>
  <c r="N16" i="16" s="1"/>
  <c r="A17" i="16"/>
  <c r="B17" i="16"/>
  <c r="F17" i="16" s="1"/>
  <c r="A18" i="16"/>
  <c r="B18" i="16"/>
  <c r="N18" i="16" s="1"/>
  <c r="A19" i="16"/>
  <c r="B19" i="16"/>
  <c r="F19" i="16" s="1"/>
  <c r="A20" i="16"/>
  <c r="A21" i="16"/>
  <c r="B21" i="16"/>
  <c r="T21" i="16" s="1"/>
  <c r="A22" i="16"/>
  <c r="A23" i="16"/>
  <c r="B23" i="16"/>
  <c r="F23" i="16" s="1"/>
  <c r="A24" i="16"/>
  <c r="B24" i="16"/>
  <c r="N24" i="16" s="1"/>
  <c r="A25" i="16"/>
  <c r="B25" i="16"/>
  <c r="F25" i="16" s="1"/>
  <c r="A26" i="16"/>
  <c r="B26" i="16"/>
  <c r="U26" i="16" s="1"/>
  <c r="A27" i="16"/>
  <c r="B27" i="16"/>
  <c r="F27" i="16" s="1"/>
  <c r="A28" i="16"/>
  <c r="B28" i="16"/>
  <c r="N28" i="16" s="1"/>
  <c r="A29" i="16"/>
  <c r="B29" i="16"/>
  <c r="J29" i="16" s="1"/>
  <c r="A30" i="16"/>
  <c r="B30" i="16"/>
  <c r="N30" i="16" s="1"/>
  <c r="A31" i="16"/>
  <c r="A32" i="16"/>
  <c r="B32" i="16"/>
  <c r="N32" i="16" s="1"/>
  <c r="A33" i="16"/>
  <c r="B33" i="16"/>
  <c r="J33" i="16" s="1"/>
  <c r="A34" i="16"/>
  <c r="B34" i="16"/>
  <c r="R34" i="16" s="1"/>
  <c r="A35" i="16"/>
  <c r="B35" i="16"/>
  <c r="J35" i="16" s="1"/>
  <c r="A36" i="16"/>
  <c r="A37" i="16"/>
  <c r="B37" i="16"/>
  <c r="D37" i="16" s="1"/>
  <c r="A38" i="16"/>
  <c r="B38" i="16"/>
  <c r="R38" i="16" s="1"/>
  <c r="A39" i="16"/>
  <c r="B39" i="16"/>
  <c r="J39" i="16" s="1"/>
  <c r="A40" i="16"/>
  <c r="B40" i="16"/>
  <c r="T40" i="16" s="1"/>
  <c r="A41" i="16"/>
  <c r="B41" i="16"/>
  <c r="N41" i="16" s="1"/>
  <c r="A42" i="16"/>
  <c r="A43" i="16"/>
  <c r="B43" i="16"/>
  <c r="P43" i="16" s="1"/>
  <c r="A44" i="16"/>
  <c r="B44" i="16"/>
  <c r="H44" i="16" s="1"/>
  <c r="A45" i="16"/>
  <c r="B45" i="16"/>
  <c r="D45" i="16" s="1"/>
  <c r="A46" i="16"/>
  <c r="A47" i="16"/>
  <c r="A48" i="16"/>
  <c r="A49" i="16"/>
  <c r="B49" i="16"/>
  <c r="J49" i="16" s="1"/>
  <c r="A50" i="16"/>
  <c r="A51" i="16"/>
  <c r="B51" i="16"/>
  <c r="L51" i="16" s="1"/>
  <c r="A52" i="16"/>
  <c r="B52" i="16"/>
  <c r="H52" i="16" s="1"/>
  <c r="A53" i="16"/>
  <c r="A54" i="16"/>
  <c r="B54" i="16"/>
  <c r="R54" i="16" s="1"/>
  <c r="A55" i="16"/>
  <c r="B55" i="16"/>
  <c r="P55" i="16" s="1"/>
  <c r="A56" i="16"/>
  <c r="A57" i="16"/>
  <c r="A58" i="16"/>
  <c r="A59" i="16"/>
  <c r="B59" i="16"/>
  <c r="F59" i="16" s="1"/>
  <c r="A60" i="16"/>
  <c r="B60" i="16"/>
  <c r="N60" i="16" s="1"/>
  <c r="A61" i="16"/>
  <c r="A62" i="16"/>
  <c r="A63" i="16"/>
  <c r="A64" i="16"/>
  <c r="B64" i="16"/>
  <c r="L64" i="16" s="1"/>
  <c r="A65" i="16"/>
  <c r="A66" i="16"/>
  <c r="A67" i="16"/>
  <c r="A68" i="16"/>
  <c r="P68" i="16"/>
  <c r="C69" i="17"/>
  <c r="B69" i="17"/>
  <c r="A69" i="17"/>
  <c r="A68" i="17"/>
  <c r="C67" i="17"/>
  <c r="B67" i="17"/>
  <c r="U67" i="17" s="1"/>
  <c r="A67" i="17"/>
  <c r="C66" i="17"/>
  <c r="B66" i="17"/>
  <c r="O66" i="17" s="1"/>
  <c r="A66" i="17"/>
  <c r="A65" i="17"/>
  <c r="A64" i="17"/>
  <c r="A63" i="17"/>
  <c r="C62" i="17"/>
  <c r="B62" i="17"/>
  <c r="S62" i="17" s="1"/>
  <c r="A62" i="17"/>
  <c r="A61" i="17"/>
  <c r="A60" i="17"/>
  <c r="A59" i="17"/>
  <c r="C58" i="17"/>
  <c r="B58" i="17"/>
  <c r="S58" i="17" s="1"/>
  <c r="A58" i="17"/>
  <c r="C57" i="17"/>
  <c r="B57" i="17"/>
  <c r="U57" i="17" s="1"/>
  <c r="A57" i="17"/>
  <c r="A56" i="17"/>
  <c r="A55" i="17"/>
  <c r="A54" i="17"/>
  <c r="C53" i="17"/>
  <c r="B53" i="17"/>
  <c r="A53" i="17"/>
  <c r="C52" i="17"/>
  <c r="B52" i="17"/>
  <c r="A52" i="17"/>
  <c r="A51" i="17"/>
  <c r="B50" i="17"/>
  <c r="A50" i="17"/>
  <c r="C49" i="17"/>
  <c r="B49" i="17"/>
  <c r="U49" i="17" s="1"/>
  <c r="A49" i="17"/>
  <c r="A48" i="17"/>
  <c r="B47" i="17"/>
  <c r="U47" i="17" s="1"/>
  <c r="A47" i="17"/>
  <c r="A46" i="17"/>
  <c r="A45" i="17"/>
  <c r="A44" i="17"/>
  <c r="C43" i="17"/>
  <c r="B43" i="17"/>
  <c r="Q43" i="17" s="1"/>
  <c r="A43" i="17"/>
  <c r="C42" i="17"/>
  <c r="B42" i="17"/>
  <c r="A42" i="17"/>
  <c r="C41" i="17"/>
  <c r="B41" i="17"/>
  <c r="U41" i="17" s="1"/>
  <c r="A41" i="17"/>
  <c r="A40" i="17"/>
  <c r="C39" i="17"/>
  <c r="B39" i="17"/>
  <c r="Q39" i="17" s="1"/>
  <c r="A39" i="17"/>
  <c r="C38" i="17"/>
  <c r="B38" i="17"/>
  <c r="A38" i="17"/>
  <c r="C37" i="17"/>
  <c r="B37" i="17"/>
  <c r="Q37" i="17" s="1"/>
  <c r="A37" i="17"/>
  <c r="C36" i="17"/>
  <c r="B36" i="17"/>
  <c r="Q36" i="17" s="1"/>
  <c r="A36" i="17"/>
  <c r="C35" i="17"/>
  <c r="B35" i="17"/>
  <c r="G35" i="17" s="1"/>
  <c r="A35" i="17"/>
  <c r="C34" i="17"/>
  <c r="A34" i="17"/>
  <c r="C33" i="17"/>
  <c r="B33" i="17"/>
  <c r="I33" i="17" s="1"/>
  <c r="A33" i="17"/>
  <c r="C32" i="17"/>
  <c r="B32" i="17"/>
  <c r="S32" i="17" s="1"/>
  <c r="A32" i="17"/>
  <c r="C31" i="17"/>
  <c r="B31" i="17"/>
  <c r="Q31" i="17" s="1"/>
  <c r="A31" i="17"/>
  <c r="C30" i="17"/>
  <c r="B30" i="17"/>
  <c r="S30" i="17" s="1"/>
  <c r="A30" i="17"/>
  <c r="A29" i="17"/>
  <c r="C28" i="17"/>
  <c r="B28" i="17"/>
  <c r="O28" i="17" s="1"/>
  <c r="A28" i="17"/>
  <c r="C27" i="17"/>
  <c r="B27" i="17"/>
  <c r="Q27" i="17" s="1"/>
  <c r="A27" i="17"/>
  <c r="C26" i="17"/>
  <c r="B26" i="17"/>
  <c r="G26" i="17" s="1"/>
  <c r="A26" i="17"/>
  <c r="C25" i="17"/>
  <c r="B25" i="17"/>
  <c r="M25" i="17" s="1"/>
  <c r="A25" i="17"/>
  <c r="C24" i="17"/>
  <c r="B24" i="17"/>
  <c r="K24" i="17" s="1"/>
  <c r="A24" i="17"/>
  <c r="C23" i="17"/>
  <c r="B23" i="17"/>
  <c r="M23" i="17" s="1"/>
  <c r="A23" i="17"/>
  <c r="C22" i="17"/>
  <c r="B22" i="17"/>
  <c r="A22" i="17"/>
  <c r="C21" i="17"/>
  <c r="B21" i="17"/>
  <c r="Q21" i="17" s="1"/>
  <c r="A21" i="17"/>
  <c r="A20" i="17"/>
  <c r="C19" i="17"/>
  <c r="B19" i="17"/>
  <c r="E19" i="17" s="1"/>
  <c r="A19" i="17"/>
  <c r="C18" i="17"/>
  <c r="A18" i="17"/>
  <c r="C17" i="17"/>
  <c r="B17" i="17"/>
  <c r="A17" i="17"/>
  <c r="C16" i="17"/>
  <c r="B16" i="17"/>
  <c r="Q16" i="17" s="1"/>
  <c r="A16" i="17"/>
  <c r="C15" i="17"/>
  <c r="B15" i="17"/>
  <c r="A15" i="17"/>
  <c r="C14" i="17"/>
  <c r="B14" i="17"/>
  <c r="Q14" i="17" s="1"/>
  <c r="A14" i="17"/>
  <c r="C13" i="17"/>
  <c r="B13" i="17"/>
  <c r="M13" i="17" s="1"/>
  <c r="A13" i="17"/>
  <c r="C12" i="17"/>
  <c r="B12" i="17"/>
  <c r="A12" i="17"/>
  <c r="C11" i="17"/>
  <c r="B11" i="17"/>
  <c r="A11" i="17"/>
  <c r="C10" i="17"/>
  <c r="B10" i="17"/>
  <c r="O10" i="17" s="1"/>
  <c r="A10" i="17"/>
  <c r="C9" i="17"/>
  <c r="B9" i="17"/>
  <c r="K9" i="17" s="1"/>
  <c r="A9" i="17"/>
  <c r="C8" i="17"/>
  <c r="B8" i="17"/>
  <c r="K8" i="17" s="1"/>
  <c r="A8" i="17"/>
  <c r="C7" i="17"/>
  <c r="B7" i="17"/>
  <c r="M7" i="17" s="1"/>
  <c r="A7" i="17"/>
  <c r="C6" i="17"/>
  <c r="B6" i="17"/>
  <c r="M6" i="17" s="1"/>
  <c r="A6" i="17"/>
  <c r="C5" i="17"/>
  <c r="B5" i="17"/>
  <c r="M5" i="17" s="1"/>
  <c r="A5" i="17"/>
  <c r="C4" i="17"/>
  <c r="B4" i="17"/>
  <c r="I4" i="17" s="1"/>
  <c r="A4" i="17"/>
  <c r="C3" i="17"/>
  <c r="B3" i="17"/>
  <c r="K3" i="17" s="1"/>
  <c r="A3" i="17"/>
  <c r="C2" i="17"/>
  <c r="B2" i="17"/>
  <c r="S2" i="17" s="1"/>
  <c r="A2" i="17"/>
  <c r="A5" i="16"/>
  <c r="B5" i="16"/>
  <c r="L5" i="16" s="1"/>
  <c r="R4" i="16"/>
  <c r="A4" i="16"/>
  <c r="BE114" i="20" l="1"/>
  <c r="AY139" i="20"/>
  <c r="BA139" i="20" s="1"/>
  <c r="BC139" i="20" s="1"/>
  <c r="AY129" i="20"/>
  <c r="BA129" i="20" s="1"/>
  <c r="AW82" i="19"/>
  <c r="AU82" i="18"/>
  <c r="C92" i="19" s="1"/>
  <c r="D92" i="19" s="1"/>
  <c r="AM92" i="19" s="1"/>
  <c r="AR151" i="18"/>
  <c r="AT139" i="19" s="1"/>
  <c r="AQ14" i="14"/>
  <c r="AS14" i="14" s="1"/>
  <c r="AM15" i="14"/>
  <c r="I24" i="17"/>
  <c r="S66" i="17"/>
  <c r="G24" i="17"/>
  <c r="M26" i="17"/>
  <c r="O19" i="17"/>
  <c r="G41" i="17"/>
  <c r="U6" i="17"/>
  <c r="Q30" i="17"/>
  <c r="O58" i="17"/>
  <c r="K21" i="17"/>
  <c r="E33" i="17"/>
  <c r="I35" i="17"/>
  <c r="T69" i="16"/>
  <c r="E9" i="17"/>
  <c r="E35" i="17"/>
  <c r="U69" i="16"/>
  <c r="G33" i="17"/>
  <c r="Q35" i="17"/>
  <c r="R69" i="16"/>
  <c r="L69" i="16"/>
  <c r="U4" i="17"/>
  <c r="I58" i="17"/>
  <c r="T60" i="16"/>
  <c r="P39" i="16"/>
  <c r="T19" i="16"/>
  <c r="P69" i="16"/>
  <c r="L23" i="16"/>
  <c r="H19" i="16"/>
  <c r="U64" i="16"/>
  <c r="N69" i="16"/>
  <c r="U43" i="16"/>
  <c r="U40" i="16"/>
  <c r="F69" i="16"/>
  <c r="U33" i="16"/>
  <c r="D69" i="16"/>
  <c r="U24" i="16"/>
  <c r="L9" i="16"/>
  <c r="U17" i="16"/>
  <c r="J69" i="16"/>
  <c r="U59" i="16"/>
  <c r="E3" i="17"/>
  <c r="Q5" i="17"/>
  <c r="M24" i="17"/>
  <c r="K33" i="17"/>
  <c r="O35" i="17"/>
  <c r="I37" i="17"/>
  <c r="Q58" i="17"/>
  <c r="T51" i="16"/>
  <c r="P33" i="16"/>
  <c r="J14" i="16"/>
  <c r="U51" i="16"/>
  <c r="U25" i="16"/>
  <c r="I32" i="17"/>
  <c r="I43" i="17"/>
  <c r="K67" i="17"/>
  <c r="U41" i="16"/>
  <c r="U18" i="16"/>
  <c r="U38" i="16"/>
  <c r="U14" i="16"/>
  <c r="M66" i="17"/>
  <c r="P15" i="16"/>
  <c r="U34" i="16"/>
  <c r="U11" i="16"/>
  <c r="U6" i="16"/>
  <c r="J54" i="16"/>
  <c r="U68" i="16"/>
  <c r="U60" i="16"/>
  <c r="U52" i="16"/>
  <c r="U44" i="16"/>
  <c r="U28" i="16"/>
  <c r="U12" i="16"/>
  <c r="L13" i="16"/>
  <c r="U35" i="16"/>
  <c r="U27" i="16"/>
  <c r="U19" i="16"/>
  <c r="U49" i="16"/>
  <c r="U9" i="16"/>
  <c r="U32" i="16"/>
  <c r="U16" i="16"/>
  <c r="J60" i="16"/>
  <c r="U55" i="16"/>
  <c r="U39" i="16"/>
  <c r="U23" i="16"/>
  <c r="U15" i="16"/>
  <c r="U7" i="16"/>
  <c r="U54" i="16"/>
  <c r="U30" i="16"/>
  <c r="T54" i="16"/>
  <c r="U45" i="16"/>
  <c r="U37" i="16"/>
  <c r="U29" i="16"/>
  <c r="U21" i="16"/>
  <c r="U13" i="16"/>
  <c r="U5" i="16"/>
  <c r="H9" i="16"/>
  <c r="E4" i="17"/>
  <c r="R41" i="16"/>
  <c r="J41" i="16"/>
  <c r="R35" i="16"/>
  <c r="F41" i="16"/>
  <c r="P35" i="16"/>
  <c r="D41" i="16"/>
  <c r="N35" i="16"/>
  <c r="P41" i="16"/>
  <c r="T35" i="16"/>
  <c r="H25" i="16"/>
  <c r="F60" i="16"/>
  <c r="L35" i="16"/>
  <c r="F14" i="16"/>
  <c r="D60" i="16"/>
  <c r="H35" i="16"/>
  <c r="N23" i="16"/>
  <c r="D14" i="16"/>
  <c r="T38" i="16"/>
  <c r="F35" i="16"/>
  <c r="T12" i="16"/>
  <c r="L38" i="16"/>
  <c r="D35" i="16"/>
  <c r="L27" i="16"/>
  <c r="D23" i="16"/>
  <c r="N52" i="16"/>
  <c r="T9" i="16"/>
  <c r="H13" i="16"/>
  <c r="L11" i="16"/>
  <c r="P9" i="16"/>
  <c r="F54" i="16"/>
  <c r="L52" i="16"/>
  <c r="N39" i="16"/>
  <c r="F33" i="16"/>
  <c r="J28" i="16"/>
  <c r="H27" i="16"/>
  <c r="T25" i="16"/>
  <c r="T14" i="16"/>
  <c r="T13" i="16"/>
  <c r="J12" i="16"/>
  <c r="H11" i="16"/>
  <c r="D54" i="16"/>
  <c r="J52" i="16"/>
  <c r="R49" i="16"/>
  <c r="T41" i="16"/>
  <c r="F39" i="16"/>
  <c r="D28" i="16"/>
  <c r="D27" i="16"/>
  <c r="P25" i="16"/>
  <c r="P14" i="16"/>
  <c r="P13" i="16"/>
  <c r="D12" i="16"/>
  <c r="D11" i="16"/>
  <c r="R9" i="16"/>
  <c r="P6" i="16"/>
  <c r="T59" i="16"/>
  <c r="R37" i="16"/>
  <c r="L25" i="16"/>
  <c r="N7" i="16"/>
  <c r="J32" i="16"/>
  <c r="L7" i="16"/>
  <c r="P54" i="16"/>
  <c r="D32" i="16"/>
  <c r="T27" i="16"/>
  <c r="T11" i="16"/>
  <c r="D7" i="16"/>
  <c r="N54" i="16"/>
  <c r="R52" i="16"/>
  <c r="R39" i="16"/>
  <c r="R33" i="16"/>
  <c r="R27" i="16"/>
  <c r="R11" i="16"/>
  <c r="L68" i="16"/>
  <c r="J64" i="16"/>
  <c r="P60" i="16"/>
  <c r="P59" i="16"/>
  <c r="L54" i="16"/>
  <c r="T52" i="16"/>
  <c r="R51" i="16"/>
  <c r="P49" i="16"/>
  <c r="R45" i="16"/>
  <c r="T44" i="16"/>
  <c r="L41" i="16"/>
  <c r="P37" i="16"/>
  <c r="H33" i="16"/>
  <c r="T29" i="16"/>
  <c r="L28" i="16"/>
  <c r="P27" i="16"/>
  <c r="D25" i="16"/>
  <c r="T23" i="16"/>
  <c r="T16" i="16"/>
  <c r="T15" i="16"/>
  <c r="L14" i="16"/>
  <c r="R13" i="16"/>
  <c r="L12" i="16"/>
  <c r="P11" i="16"/>
  <c r="D9" i="16"/>
  <c r="T7" i="16"/>
  <c r="L6" i="16"/>
  <c r="D68" i="16"/>
  <c r="N59" i="16"/>
  <c r="P51" i="16"/>
  <c r="N49" i="16"/>
  <c r="P45" i="16"/>
  <c r="R44" i="16"/>
  <c r="L37" i="16"/>
  <c r="R29" i="16"/>
  <c r="T17" i="16"/>
  <c r="P16" i="16"/>
  <c r="L59" i="16"/>
  <c r="J51" i="16"/>
  <c r="H49" i="16"/>
  <c r="L45" i="16"/>
  <c r="P44" i="16"/>
  <c r="P29" i="16"/>
  <c r="T18" i="16"/>
  <c r="P17" i="16"/>
  <c r="J16" i="16"/>
  <c r="L15" i="16"/>
  <c r="J45" i="16"/>
  <c r="J44" i="16"/>
  <c r="H29" i="16"/>
  <c r="R25" i="16"/>
  <c r="P18" i="16"/>
  <c r="N17" i="16"/>
  <c r="F16" i="16"/>
  <c r="H45" i="16"/>
  <c r="F44" i="16"/>
  <c r="P30" i="16"/>
  <c r="F29" i="16"/>
  <c r="F24" i="16"/>
  <c r="J18" i="16"/>
  <c r="H17" i="16"/>
  <c r="D16" i="16"/>
  <c r="F8" i="16"/>
  <c r="T33" i="16"/>
  <c r="L32" i="16"/>
  <c r="N25" i="16"/>
  <c r="F18" i="16"/>
  <c r="N9" i="16"/>
  <c r="M17" i="17"/>
  <c r="I17" i="17"/>
  <c r="E8" i="17"/>
  <c r="K11" i="17"/>
  <c r="M11" i="17"/>
  <c r="U17" i="17"/>
  <c r="Q10" i="17"/>
  <c r="E10" i="17"/>
  <c r="K22" i="17"/>
  <c r="O22" i="17"/>
  <c r="G39" i="17"/>
  <c r="S42" i="17"/>
  <c r="Q42" i="17"/>
  <c r="E6" i="17"/>
  <c r="E7" i="17"/>
  <c r="I8" i="17"/>
  <c r="M21" i="17"/>
  <c r="I21" i="17"/>
  <c r="K31" i="17"/>
  <c r="M38" i="17"/>
  <c r="O38" i="17"/>
  <c r="O39" i="17"/>
  <c r="I6" i="17"/>
  <c r="G7" i="17"/>
  <c r="G10" i="17"/>
  <c r="G22" i="17"/>
  <c r="O36" i="17"/>
  <c r="I42" i="17"/>
  <c r="G57" i="17"/>
  <c r="R55" i="16"/>
  <c r="D55" i="16"/>
  <c r="T55" i="16"/>
  <c r="F55" i="16"/>
  <c r="H55" i="16"/>
  <c r="J55" i="16"/>
  <c r="L55" i="16"/>
  <c r="N55" i="16"/>
  <c r="Q4" i="17"/>
  <c r="O4" i="17"/>
  <c r="E5" i="17"/>
  <c r="K6" i="17"/>
  <c r="I10" i="17"/>
  <c r="I14" i="17"/>
  <c r="O16" i="17"/>
  <c r="M19" i="17"/>
  <c r="G19" i="17"/>
  <c r="E21" i="17"/>
  <c r="I22" i="17"/>
  <c r="G27" i="17"/>
  <c r="S36" i="17"/>
  <c r="G38" i="17"/>
  <c r="O50" i="17"/>
  <c r="S50" i="17"/>
  <c r="R68" i="16"/>
  <c r="P64" i="16"/>
  <c r="N26" i="16"/>
  <c r="D26" i="16"/>
  <c r="F26" i="16"/>
  <c r="J26" i="16"/>
  <c r="L26" i="16"/>
  <c r="P26" i="16"/>
  <c r="T26" i="16"/>
  <c r="K10" i="17"/>
  <c r="G21" i="17"/>
  <c r="O26" i="17"/>
  <c r="Q26" i="17"/>
  <c r="I38" i="17"/>
  <c r="G47" i="17"/>
  <c r="M50" i="17"/>
  <c r="N10" i="16"/>
  <c r="D10" i="16"/>
  <c r="F10" i="16"/>
  <c r="J10" i="16"/>
  <c r="L10" i="16"/>
  <c r="P10" i="16"/>
  <c r="T10" i="16"/>
  <c r="F21" i="16"/>
  <c r="D21" i="16"/>
  <c r="H21" i="16"/>
  <c r="L21" i="16"/>
  <c r="N21" i="16"/>
  <c r="P21" i="16"/>
  <c r="R21" i="16"/>
  <c r="Q8" i="17"/>
  <c r="O8" i="17"/>
  <c r="M62" i="17"/>
  <c r="N64" i="16"/>
  <c r="D64" i="16"/>
  <c r="F64" i="16"/>
  <c r="T64" i="16"/>
  <c r="M15" i="17"/>
  <c r="O15" i="17"/>
  <c r="S28" i="17"/>
  <c r="I28" i="17"/>
  <c r="Q6" i="17"/>
  <c r="O6" i="17"/>
  <c r="F68" i="16"/>
  <c r="T68" i="16"/>
  <c r="N68" i="16"/>
  <c r="K7" i="17"/>
  <c r="U7" i="17"/>
  <c r="G15" i="17"/>
  <c r="G8" i="17"/>
  <c r="I23" i="17"/>
  <c r="Q28" i="17"/>
  <c r="Q23" i="17"/>
  <c r="G36" i="17"/>
  <c r="E49" i="17"/>
  <c r="R43" i="16"/>
  <c r="D43" i="16"/>
  <c r="T43" i="16"/>
  <c r="F43" i="16"/>
  <c r="H43" i="16"/>
  <c r="J43" i="16"/>
  <c r="L43" i="16"/>
  <c r="N43" i="16"/>
  <c r="R40" i="16"/>
  <c r="D40" i="16"/>
  <c r="F40" i="16"/>
  <c r="J40" i="16"/>
  <c r="L40" i="16"/>
  <c r="N40" i="16"/>
  <c r="P40" i="16"/>
  <c r="O13" i="17"/>
  <c r="E23" i="17"/>
  <c r="O31" i="17"/>
  <c r="E31" i="17"/>
  <c r="K5" i="17"/>
  <c r="U5" i="17"/>
  <c r="H51" i="16"/>
  <c r="D39" i="16"/>
  <c r="J38" i="16"/>
  <c r="T34" i="16"/>
  <c r="D24" i="16"/>
  <c r="D19" i="16"/>
  <c r="D8" i="16"/>
  <c r="F49" i="16"/>
  <c r="Q41" i="17"/>
  <c r="L60" i="16"/>
  <c r="R59" i="16"/>
  <c r="P52" i="16"/>
  <c r="F51" i="16"/>
  <c r="T49" i="16"/>
  <c r="D49" i="16"/>
  <c r="N45" i="16"/>
  <c r="D44" i="16"/>
  <c r="H41" i="16"/>
  <c r="T39" i="16"/>
  <c r="F38" i="16"/>
  <c r="N37" i="16"/>
  <c r="P34" i="16"/>
  <c r="D33" i="16"/>
  <c r="F32" i="16"/>
  <c r="T30" i="16"/>
  <c r="D29" i="16"/>
  <c r="F28" i="16"/>
  <c r="N27" i="16"/>
  <c r="H23" i="16"/>
  <c r="D18" i="16"/>
  <c r="L17" i="16"/>
  <c r="L16" i="16"/>
  <c r="R15" i="16"/>
  <c r="D13" i="16"/>
  <c r="F12" i="16"/>
  <c r="N11" i="16"/>
  <c r="H7" i="16"/>
  <c r="J6" i="16"/>
  <c r="D51" i="16"/>
  <c r="D38" i="16"/>
  <c r="N34" i="16"/>
  <c r="J37" i="16"/>
  <c r="L34" i="16"/>
  <c r="L30" i="16"/>
  <c r="T24" i="16"/>
  <c r="R19" i="16"/>
  <c r="D17" i="16"/>
  <c r="N15" i="16"/>
  <c r="T8" i="16"/>
  <c r="H37" i="16"/>
  <c r="J34" i="16"/>
  <c r="J30" i="16"/>
  <c r="P24" i="16"/>
  <c r="P19" i="16"/>
  <c r="P8" i="16"/>
  <c r="J59" i="16"/>
  <c r="F52" i="16"/>
  <c r="N51" i="16"/>
  <c r="L49" i="16"/>
  <c r="F45" i="16"/>
  <c r="N44" i="16"/>
  <c r="L39" i="16"/>
  <c r="P38" i="16"/>
  <c r="F37" i="16"/>
  <c r="F34" i="16"/>
  <c r="N33" i="16"/>
  <c r="T32" i="16"/>
  <c r="F30" i="16"/>
  <c r="N29" i="16"/>
  <c r="T28" i="16"/>
  <c r="L24" i="16"/>
  <c r="R23" i="16"/>
  <c r="N19" i="16"/>
  <c r="H15" i="16"/>
  <c r="L8" i="16"/>
  <c r="R7" i="16"/>
  <c r="D59" i="16"/>
  <c r="D52" i="16"/>
  <c r="T45" i="16"/>
  <c r="L44" i="16"/>
  <c r="H39" i="16"/>
  <c r="N38" i="16"/>
  <c r="T37" i="16"/>
  <c r="D34" i="16"/>
  <c r="L33" i="16"/>
  <c r="P32" i="16"/>
  <c r="D30" i="16"/>
  <c r="L29" i="16"/>
  <c r="P28" i="16"/>
  <c r="J24" i="16"/>
  <c r="P23" i="16"/>
  <c r="L19" i="16"/>
  <c r="L18" i="16"/>
  <c r="R17" i="16"/>
  <c r="D15" i="16"/>
  <c r="N13" i="16"/>
  <c r="P12" i="16"/>
  <c r="J8" i="16"/>
  <c r="P7" i="16"/>
  <c r="T6" i="16"/>
  <c r="H64" i="16"/>
  <c r="H60" i="16"/>
  <c r="H54" i="16"/>
  <c r="H40" i="16"/>
  <c r="H38" i="16"/>
  <c r="H34" i="16"/>
  <c r="H32" i="16"/>
  <c r="H30" i="16"/>
  <c r="H28" i="16"/>
  <c r="H26" i="16"/>
  <c r="H24" i="16"/>
  <c r="H18" i="16"/>
  <c r="H16" i="16"/>
  <c r="H14" i="16"/>
  <c r="H12" i="16"/>
  <c r="H10" i="16"/>
  <c r="H8" i="16"/>
  <c r="H6" i="16"/>
  <c r="J68" i="16"/>
  <c r="R64" i="16"/>
  <c r="R60" i="16"/>
  <c r="R32" i="16"/>
  <c r="R30" i="16"/>
  <c r="R28" i="16"/>
  <c r="J27" i="16"/>
  <c r="R26" i="16"/>
  <c r="J25" i="16"/>
  <c r="R24" i="16"/>
  <c r="J23" i="16"/>
  <c r="J21" i="16"/>
  <c r="J19" i="16"/>
  <c r="R18" i="16"/>
  <c r="J17" i="16"/>
  <c r="R16" i="16"/>
  <c r="J15" i="16"/>
  <c r="R14" i="16"/>
  <c r="J13" i="16"/>
  <c r="R12" i="16"/>
  <c r="J11" i="16"/>
  <c r="R10" i="16"/>
  <c r="J9" i="16"/>
  <c r="R8" i="16"/>
  <c r="J7" i="16"/>
  <c r="R6" i="16"/>
  <c r="H68" i="16"/>
  <c r="H59" i="16"/>
  <c r="K2" i="17"/>
  <c r="H4" i="16"/>
  <c r="Q2" i="17"/>
  <c r="I2" i="17"/>
  <c r="U2" i="17"/>
  <c r="O2" i="17"/>
  <c r="M2" i="17"/>
  <c r="R5" i="16"/>
  <c r="Q12" i="17"/>
  <c r="O12" i="17"/>
  <c r="M12" i="17"/>
  <c r="K12" i="17"/>
  <c r="I12" i="17"/>
  <c r="G12" i="17"/>
  <c r="E12" i="17"/>
  <c r="U12" i="17"/>
  <c r="H5" i="16"/>
  <c r="E2" i="17"/>
  <c r="G2" i="17"/>
  <c r="S12" i="17"/>
  <c r="M3" i="17"/>
  <c r="K4" i="17"/>
  <c r="S8" i="17"/>
  <c r="S10" i="17"/>
  <c r="U15" i="17"/>
  <c r="Q19" i="17"/>
  <c r="U21" i="17"/>
  <c r="Q22" i="17"/>
  <c r="U23" i="17"/>
  <c r="O24" i="17"/>
  <c r="O32" i="17"/>
  <c r="O33" i="17"/>
  <c r="O37" i="17"/>
  <c r="Q38" i="17"/>
  <c r="K43" i="17"/>
  <c r="G49" i="17"/>
  <c r="Q67" i="17"/>
  <c r="U3" i="17"/>
  <c r="M4" i="17"/>
  <c r="G5" i="17"/>
  <c r="G6" i="17"/>
  <c r="U8" i="17"/>
  <c r="U10" i="17"/>
  <c r="M14" i="17"/>
  <c r="O17" i="17"/>
  <c r="U19" i="17"/>
  <c r="Q24" i="17"/>
  <c r="K26" i="17"/>
  <c r="I31" i="17"/>
  <c r="Q33" i="17"/>
  <c r="M36" i="17"/>
  <c r="S38" i="17"/>
  <c r="O42" i="17"/>
  <c r="U43" i="17"/>
  <c r="I49" i="17"/>
  <c r="Q50" i="17"/>
  <c r="Q66" i="17"/>
  <c r="K49" i="17"/>
  <c r="S4" i="17"/>
  <c r="Q49" i="17"/>
  <c r="G4" i="17"/>
  <c r="S6" i="17"/>
  <c r="M8" i="17"/>
  <c r="M9" i="17"/>
  <c r="M10" i="17"/>
  <c r="K15" i="17"/>
  <c r="I19" i="17"/>
  <c r="O21" i="17"/>
  <c r="K23" i="17"/>
  <c r="K39" i="17"/>
  <c r="E43" i="17"/>
  <c r="Q57" i="17"/>
  <c r="G67" i="17"/>
  <c r="J4" i="16"/>
  <c r="L4" i="16"/>
  <c r="T4" i="16"/>
  <c r="D4" i="16"/>
  <c r="N4" i="16"/>
  <c r="N5" i="16"/>
  <c r="P5" i="16"/>
  <c r="T5" i="16"/>
  <c r="J5" i="16"/>
  <c r="D5" i="16"/>
  <c r="F5" i="16"/>
  <c r="P4" i="16"/>
  <c r="F4" i="16"/>
  <c r="S25" i="17"/>
  <c r="K52" i="17"/>
  <c r="G52" i="17"/>
  <c r="U52" i="17"/>
  <c r="E52" i="17"/>
  <c r="S53" i="17"/>
  <c r="O53" i="17"/>
  <c r="M53" i="17"/>
  <c r="S69" i="17"/>
  <c r="O69" i="17"/>
  <c r="M69" i="17"/>
  <c r="O3" i="17"/>
  <c r="O5" i="17"/>
  <c r="O7" i="17"/>
  <c r="O9" i="17"/>
  <c r="O11" i="17"/>
  <c r="Q13" i="17"/>
  <c r="K14" i="17"/>
  <c r="E15" i="17"/>
  <c r="K17" i="17"/>
  <c r="S19" i="17"/>
  <c r="U22" i="17"/>
  <c r="E22" i="17"/>
  <c r="S22" i="17"/>
  <c r="O23" i="17"/>
  <c r="U25" i="17"/>
  <c r="I27" i="17"/>
  <c r="G28" i="17"/>
  <c r="M32" i="17"/>
  <c r="S35" i="17"/>
  <c r="M35" i="17"/>
  <c r="U35" i="17"/>
  <c r="K37" i="17"/>
  <c r="E39" i="17"/>
  <c r="I47" i="17"/>
  <c r="I50" i="17"/>
  <c r="O62" i="17"/>
  <c r="I66" i="17"/>
  <c r="E67" i="17"/>
  <c r="Q9" i="17"/>
  <c r="S13" i="17"/>
  <c r="U16" i="17"/>
  <c r="E16" i="17"/>
  <c r="E25" i="17"/>
  <c r="E53" i="17"/>
  <c r="Q62" i="17"/>
  <c r="Q3" i="17"/>
  <c r="Q7" i="17"/>
  <c r="Q11" i="17"/>
  <c r="S16" i="17"/>
  <c r="K27" i="17"/>
  <c r="K30" i="17"/>
  <c r="U30" i="17"/>
  <c r="E30" i="17"/>
  <c r="S41" i="17"/>
  <c r="O41" i="17"/>
  <c r="M41" i="17"/>
  <c r="K47" i="17"/>
  <c r="I52" i="17"/>
  <c r="S57" i="17"/>
  <c r="O57" i="17"/>
  <c r="M57" i="17"/>
  <c r="E69" i="17"/>
  <c r="S3" i="17"/>
  <c r="S5" i="17"/>
  <c r="S7" i="17"/>
  <c r="S9" i="17"/>
  <c r="S11" i="17"/>
  <c r="U13" i="17"/>
  <c r="O14" i="17"/>
  <c r="I15" i="17"/>
  <c r="Q17" i="17"/>
  <c r="S23" i="17"/>
  <c r="G25" i="17"/>
  <c r="U26" i="17"/>
  <c r="E26" i="17"/>
  <c r="S26" i="17"/>
  <c r="O27" i="17"/>
  <c r="M28" i="17"/>
  <c r="S31" i="17"/>
  <c r="M31" i="17"/>
  <c r="U31" i="17"/>
  <c r="Q32" i="17"/>
  <c r="K36" i="17"/>
  <c r="U36" i="17"/>
  <c r="E36" i="17"/>
  <c r="I39" i="17"/>
  <c r="K42" i="17"/>
  <c r="G42" i="17"/>
  <c r="U42" i="17"/>
  <c r="E42" i="17"/>
  <c r="S43" i="17"/>
  <c r="O43" i="17"/>
  <c r="M43" i="17"/>
  <c r="Q47" i="17"/>
  <c r="M52" i="17"/>
  <c r="G53" i="17"/>
  <c r="K58" i="17"/>
  <c r="G58" i="17"/>
  <c r="U58" i="17"/>
  <c r="E58" i="17"/>
  <c r="I67" i="17"/>
  <c r="G69" i="17"/>
  <c r="U9" i="17"/>
  <c r="E11" i="17"/>
  <c r="U11" i="17"/>
  <c r="E13" i="17"/>
  <c r="G16" i="17"/>
  <c r="S17" i="17"/>
  <c r="I25" i="17"/>
  <c r="G30" i="17"/>
  <c r="S37" i="17"/>
  <c r="M37" i="17"/>
  <c r="U37" i="17"/>
  <c r="E41" i="17"/>
  <c r="O52" i="17"/>
  <c r="I53" i="17"/>
  <c r="E57" i="17"/>
  <c r="I69" i="17"/>
  <c r="G9" i="17"/>
  <c r="G13" i="17"/>
  <c r="K25" i="17"/>
  <c r="S27" i="17"/>
  <c r="M27" i="17"/>
  <c r="I30" i="17"/>
  <c r="K32" i="17"/>
  <c r="U32" i="17"/>
  <c r="E32" i="17"/>
  <c r="S47" i="17"/>
  <c r="O47" i="17"/>
  <c r="M47" i="17"/>
  <c r="K69" i="17"/>
  <c r="G3" i="17"/>
  <c r="G11" i="17"/>
  <c r="U14" i="17"/>
  <c r="E14" i="17"/>
  <c r="S14" i="17"/>
  <c r="I16" i="17"/>
  <c r="U27" i="17"/>
  <c r="Q52" i="17"/>
  <c r="K53" i="17"/>
  <c r="K62" i="17"/>
  <c r="G62" i="17"/>
  <c r="U62" i="17"/>
  <c r="E62" i="17"/>
  <c r="I3" i="17"/>
  <c r="I5" i="17"/>
  <c r="I7" i="17"/>
  <c r="I9" i="17"/>
  <c r="I11" i="17"/>
  <c r="I13" i="17"/>
  <c r="Q15" i="17"/>
  <c r="K16" i="17"/>
  <c r="E17" i="17"/>
  <c r="K19" i="17"/>
  <c r="S21" i="17"/>
  <c r="M22" i="17"/>
  <c r="G23" i="17"/>
  <c r="U24" i="17"/>
  <c r="E24" i="17"/>
  <c r="S24" i="17"/>
  <c r="O25" i="17"/>
  <c r="I26" i="17"/>
  <c r="M30" i="17"/>
  <c r="G31" i="17"/>
  <c r="S33" i="17"/>
  <c r="M33" i="17"/>
  <c r="U33" i="17"/>
  <c r="K35" i="17"/>
  <c r="I36" i="17"/>
  <c r="E37" i="17"/>
  <c r="K38" i="17"/>
  <c r="U38" i="17"/>
  <c r="E38" i="17"/>
  <c r="I41" i="17"/>
  <c r="M42" i="17"/>
  <c r="G43" i="17"/>
  <c r="S49" i="17"/>
  <c r="O49" i="17"/>
  <c r="M49" i="17"/>
  <c r="S52" i="17"/>
  <c r="Q53" i="17"/>
  <c r="I57" i="17"/>
  <c r="M58" i="17"/>
  <c r="Q69" i="17"/>
  <c r="K13" i="17"/>
  <c r="G14" i="17"/>
  <c r="S15" i="17"/>
  <c r="M16" i="17"/>
  <c r="G17" i="17"/>
  <c r="Q25" i="17"/>
  <c r="E27" i="17"/>
  <c r="K28" i="17"/>
  <c r="U28" i="17"/>
  <c r="E28" i="17"/>
  <c r="O30" i="17"/>
  <c r="G32" i="17"/>
  <c r="G37" i="17"/>
  <c r="S39" i="17"/>
  <c r="M39" i="17"/>
  <c r="U39" i="17"/>
  <c r="K41" i="17"/>
  <c r="E47" i="17"/>
  <c r="K50" i="17"/>
  <c r="G50" i="17"/>
  <c r="U50" i="17"/>
  <c r="E50" i="17"/>
  <c r="U53" i="17"/>
  <c r="K57" i="17"/>
  <c r="I62" i="17"/>
  <c r="K66" i="17"/>
  <c r="G66" i="17"/>
  <c r="U66" i="17"/>
  <c r="E66" i="17"/>
  <c r="S67" i="17"/>
  <c r="O67" i="17"/>
  <c r="M67" i="17"/>
  <c r="U69" i="17"/>
  <c r="AI49" i="14"/>
  <c r="BE139" i="20" l="1"/>
  <c r="BC129" i="20"/>
  <c r="BE129" i="20" s="1"/>
  <c r="E92" i="19"/>
  <c r="W92" i="19" s="1"/>
  <c r="AU84" i="19"/>
  <c r="AW84" i="19" s="1"/>
  <c r="AT151" i="18"/>
  <c r="AV139" i="19" s="1"/>
  <c r="AO15" i="14"/>
  <c r="AQ15" i="14" s="1"/>
  <c r="AS18" i="14"/>
  <c r="D68" i="18" s="1"/>
  <c r="B36" i="16"/>
  <c r="U36" i="16" s="1"/>
  <c r="S92" i="19" l="1"/>
  <c r="O92" i="19"/>
  <c r="M92" i="19"/>
  <c r="K92" i="19"/>
  <c r="Q92" i="19"/>
  <c r="U92" i="19"/>
  <c r="G92" i="19"/>
  <c r="I92" i="19"/>
  <c r="AS15" i="14"/>
  <c r="AS16" i="14"/>
  <c r="AS17" i="14"/>
  <c r="C67" i="18" s="1"/>
  <c r="D67" i="18" s="1"/>
  <c r="R36" i="16"/>
  <c r="J36" i="16"/>
  <c r="L36" i="16"/>
  <c r="N36" i="16"/>
  <c r="P36" i="16"/>
  <c r="T36" i="16"/>
  <c r="D36" i="16"/>
  <c r="F36" i="16"/>
  <c r="H36" i="16"/>
  <c r="B34" i="17"/>
  <c r="X92" i="19" l="1"/>
  <c r="C66" i="18"/>
  <c r="D66" i="18" s="1"/>
  <c r="O34" i="17"/>
  <c r="G34" i="17"/>
  <c r="Q34" i="17"/>
  <c r="I34" i="17"/>
  <c r="M34" i="17"/>
  <c r="E34" i="17"/>
  <c r="S34" i="17"/>
  <c r="K34" i="17"/>
  <c r="U34" i="17"/>
  <c r="AM53" i="14"/>
  <c r="AO92" i="19" l="1"/>
  <c r="AQ92" i="19" s="1"/>
  <c r="AG66" i="18"/>
  <c r="AI66" i="18" s="1"/>
  <c r="AK66" i="18" s="1"/>
  <c r="AM66" i="18" s="1"/>
  <c r="AG67" i="18"/>
  <c r="AI67" i="18" s="1"/>
  <c r="AO53" i="14"/>
  <c r="AG45" i="14"/>
  <c r="AS92" i="19" l="1"/>
  <c r="AU92" i="19" s="1"/>
  <c r="AK67" i="18"/>
  <c r="AI68" i="18"/>
  <c r="AK68" i="18" s="1"/>
  <c r="AM68" i="18" s="1"/>
  <c r="AO66" i="18"/>
  <c r="AQ66" i="18" s="1"/>
  <c r="AS66" i="18" s="1"/>
  <c r="AU66" i="18" s="1"/>
  <c r="AS22" i="14"/>
  <c r="C84" i="18" s="1"/>
  <c r="D84" i="18" s="1"/>
  <c r="AQ53" i="14"/>
  <c r="AS53" i="14" s="1"/>
  <c r="C150" i="20" s="1"/>
  <c r="S150" i="20" s="1"/>
  <c r="AG26" i="14"/>
  <c r="AI45" i="14"/>
  <c r="B20" i="16"/>
  <c r="U20" i="16" s="1"/>
  <c r="D150" i="20" l="1"/>
  <c r="AG150" i="20" s="1"/>
  <c r="AI150" i="20" s="1"/>
  <c r="AK150" i="20" s="1"/>
  <c r="AW92" i="19"/>
  <c r="C112" i="18"/>
  <c r="D112" i="18" s="1"/>
  <c r="C99" i="19"/>
  <c r="D99" i="19" s="1"/>
  <c r="Y99" i="19" s="1"/>
  <c r="AM67" i="18"/>
  <c r="AO67" i="18" s="1"/>
  <c r="AO68" i="18"/>
  <c r="AQ68" i="18" s="1"/>
  <c r="AS68" i="18" s="1"/>
  <c r="AU68" i="18" s="1"/>
  <c r="E112" i="18"/>
  <c r="U112" i="18" s="1"/>
  <c r="W112" i="18"/>
  <c r="Y112" i="18" s="1"/>
  <c r="N20" i="16"/>
  <c r="D20" i="16"/>
  <c r="F20" i="16"/>
  <c r="J20" i="16"/>
  <c r="L20" i="16"/>
  <c r="P20" i="16"/>
  <c r="T20" i="16"/>
  <c r="R20" i="16"/>
  <c r="H20" i="16"/>
  <c r="B18" i="17"/>
  <c r="AI26" i="14"/>
  <c r="AK45" i="14"/>
  <c r="AM45" i="14" s="1"/>
  <c r="AC64" i="14"/>
  <c r="C66" i="14"/>
  <c r="B53" i="16" s="1"/>
  <c r="U53" i="16" s="1"/>
  <c r="E150" i="20" l="1"/>
  <c r="AC150" i="20" s="1"/>
  <c r="AM150" i="20"/>
  <c r="AO150" i="20" s="1"/>
  <c r="E99" i="19"/>
  <c r="W99" i="19" s="1"/>
  <c r="AA99" i="19"/>
  <c r="AA112" i="18"/>
  <c r="AC112" i="18" s="1"/>
  <c r="AQ67" i="18"/>
  <c r="AS67" i="18" s="1"/>
  <c r="AU67" i="18" s="1"/>
  <c r="AC84" i="18"/>
  <c r="AE84" i="18" s="1"/>
  <c r="I112" i="18"/>
  <c r="M112" i="18"/>
  <c r="O112" i="18"/>
  <c r="S112" i="18"/>
  <c r="K112" i="18"/>
  <c r="G112" i="18"/>
  <c r="Q112" i="18"/>
  <c r="N53" i="16"/>
  <c r="P53" i="16"/>
  <c r="R53" i="16"/>
  <c r="D53" i="16"/>
  <c r="T53" i="16"/>
  <c r="F53" i="16"/>
  <c r="H53" i="16"/>
  <c r="J53" i="16"/>
  <c r="L53" i="16"/>
  <c r="Q18" i="17"/>
  <c r="I18" i="17"/>
  <c r="M18" i="17"/>
  <c r="O18" i="17"/>
  <c r="S18" i="17"/>
  <c r="G18" i="17"/>
  <c r="K18" i="17"/>
  <c r="U18" i="17"/>
  <c r="E18" i="17"/>
  <c r="B51" i="17"/>
  <c r="AK26" i="14"/>
  <c r="AO45" i="14"/>
  <c r="AQ45" i="14" s="1"/>
  <c r="M150" i="20" l="1"/>
  <c r="O150" i="20"/>
  <c r="G150" i="20"/>
  <c r="AE150" i="20"/>
  <c r="U150" i="20"/>
  <c r="W150" i="20"/>
  <c r="Q150" i="20"/>
  <c r="K150" i="20"/>
  <c r="I150" i="20" s="1"/>
  <c r="Y150" i="20"/>
  <c r="AQ150" i="20"/>
  <c r="AS150" i="20" s="1"/>
  <c r="AC99" i="19"/>
  <c r="AE99" i="19" s="1"/>
  <c r="Q99" i="19"/>
  <c r="S99" i="19"/>
  <c r="M99" i="19"/>
  <c r="U99" i="19"/>
  <c r="G99" i="19"/>
  <c r="K99" i="19"/>
  <c r="O99" i="19"/>
  <c r="I99" i="19"/>
  <c r="V112" i="18"/>
  <c r="AE112" i="18"/>
  <c r="AG112" i="18" s="1"/>
  <c r="AG84" i="18"/>
  <c r="AI84" i="18" s="1"/>
  <c r="AK84" i="18" s="1"/>
  <c r="AM84" i="18" s="1"/>
  <c r="AO84" i="18" s="1"/>
  <c r="AQ84" i="18" s="1"/>
  <c r="U51" i="17"/>
  <c r="G51" i="17"/>
  <c r="Q51" i="17"/>
  <c r="K51" i="17"/>
  <c r="S51" i="17"/>
  <c r="I51" i="17"/>
  <c r="O51" i="17"/>
  <c r="M51" i="17"/>
  <c r="E51" i="17"/>
  <c r="AM26" i="14"/>
  <c r="AS45" i="14"/>
  <c r="C104" i="18" s="1"/>
  <c r="D104" i="18" s="1"/>
  <c r="Z7" i="14"/>
  <c r="Y7" i="14"/>
  <c r="Z65" i="14"/>
  <c r="Y65" i="14"/>
  <c r="AF150" i="20" l="1"/>
  <c r="AA150" i="20"/>
  <c r="AU150" i="20"/>
  <c r="AW150" i="20" s="1"/>
  <c r="X99" i="19"/>
  <c r="AG99" i="19"/>
  <c r="AI99" i="19" s="1"/>
  <c r="AK99" i="19" s="1"/>
  <c r="AI112" i="18"/>
  <c r="AK112" i="18" s="1"/>
  <c r="AM112" i="18" s="1"/>
  <c r="AS84" i="18"/>
  <c r="AU84" i="18" s="1"/>
  <c r="W104" i="18"/>
  <c r="Y104" i="18" s="1"/>
  <c r="AO26" i="14"/>
  <c r="AQ26" i="14" s="1"/>
  <c r="AS26" i="14" s="1"/>
  <c r="C88" i="18" s="1"/>
  <c r="D88" i="18" s="1"/>
  <c r="AO30" i="14"/>
  <c r="AQ30" i="14" s="1"/>
  <c r="AS30" i="14" s="1"/>
  <c r="C91" i="18" s="1"/>
  <c r="D91" i="18" s="1"/>
  <c r="AI25" i="14"/>
  <c r="AG41" i="14"/>
  <c r="AI40" i="14"/>
  <c r="AK40" i="14" s="1"/>
  <c r="AY150" i="20" l="1"/>
  <c r="BA150" i="20" s="1"/>
  <c r="AM99" i="19"/>
  <c r="AO99" i="19" s="1"/>
  <c r="AQ99" i="19" s="1"/>
  <c r="AO112" i="18"/>
  <c r="AA104" i="18"/>
  <c r="AC104" i="18" s="1"/>
  <c r="W91" i="18"/>
  <c r="Y91" i="18" s="1"/>
  <c r="AA91" i="18" s="1"/>
  <c r="W88" i="18"/>
  <c r="Y88" i="18" s="1"/>
  <c r="AS19" i="14"/>
  <c r="C69" i="18" s="1"/>
  <c r="D69" i="18" s="1"/>
  <c r="D3" i="18" s="1"/>
  <c r="AK28" i="14"/>
  <c r="AM28" i="14" s="1"/>
  <c r="AQ23" i="14"/>
  <c r="AI41" i="14"/>
  <c r="AK41" i="14" s="1"/>
  <c r="AM41" i="14" s="1"/>
  <c r="AS32" i="14"/>
  <c r="C92" i="18" s="1"/>
  <c r="D92" i="18" s="1"/>
  <c r="AM40" i="14"/>
  <c r="AK25" i="14"/>
  <c r="AM25" i="14" s="1"/>
  <c r="AO25" i="14" s="1"/>
  <c r="AQ24" i="14"/>
  <c r="BC150" i="20" l="1"/>
  <c r="BE150" i="20" s="1"/>
  <c r="AS99" i="19"/>
  <c r="AU99" i="19" s="1"/>
  <c r="AW99" i="19" s="1"/>
  <c r="AQ112" i="18"/>
  <c r="AS112" i="18" s="1"/>
  <c r="AU112" i="18" s="1"/>
  <c r="AE104" i="18"/>
  <c r="AG104" i="18" s="1"/>
  <c r="AI104" i="18" s="1"/>
  <c r="AK104" i="18" s="1"/>
  <c r="AC91" i="18"/>
  <c r="AA88" i="18"/>
  <c r="AC88" i="18" s="1"/>
  <c r="AO28" i="14"/>
  <c r="AQ28" i="14" s="1"/>
  <c r="AS28" i="14" s="1"/>
  <c r="C90" i="18" s="1"/>
  <c r="D90" i="18" s="1"/>
  <c r="AS33" i="14"/>
  <c r="D71" i="18" s="1"/>
  <c r="AS23" i="14"/>
  <c r="C85" i="18" s="1"/>
  <c r="D85" i="18" s="1"/>
  <c r="AO41" i="14"/>
  <c r="AQ41" i="14" s="1"/>
  <c r="AS41" i="14" s="1"/>
  <c r="C100" i="18" s="1"/>
  <c r="D100" i="18" s="1"/>
  <c r="AQ25" i="14"/>
  <c r="AS25" i="14" s="1"/>
  <c r="C87" i="18" s="1"/>
  <c r="D87" i="18" s="1"/>
  <c r="AO40" i="14"/>
  <c r="AQ40" i="14" s="1"/>
  <c r="AS40" i="14" s="1"/>
  <c r="C99" i="18" s="1"/>
  <c r="D99" i="18" s="1"/>
  <c r="AS24" i="14"/>
  <c r="C86" i="18" s="1"/>
  <c r="D86" i="18" s="1"/>
  <c r="AG92" i="18" l="1"/>
  <c r="AI92" i="18" s="1"/>
  <c r="AK92" i="18" s="1"/>
  <c r="AM92" i="18" s="1"/>
  <c r="AM104" i="18"/>
  <c r="AO104" i="18" s="1"/>
  <c r="AQ104" i="18" s="1"/>
  <c r="AS104" i="18" s="1"/>
  <c r="AU104" i="18" s="1"/>
  <c r="W87" i="18"/>
  <c r="Y87" i="18" s="1"/>
  <c r="AA87" i="18" s="1"/>
  <c r="W100" i="18"/>
  <c r="AE88" i="18"/>
  <c r="W86" i="18"/>
  <c r="Y86" i="18" s="1"/>
  <c r="W85" i="18"/>
  <c r="Y85" i="18" s="1"/>
  <c r="W90" i="18"/>
  <c r="Y90" i="18" s="1"/>
  <c r="AE91" i="18"/>
  <c r="W99" i="18"/>
  <c r="Y99" i="18" s="1"/>
  <c r="AS27" i="14"/>
  <c r="AO21" i="14"/>
  <c r="AC67" i="14"/>
  <c r="AE67" i="14" s="1"/>
  <c r="AA85" i="18" l="1"/>
  <c r="AC85" i="18" s="1"/>
  <c r="AA99" i="18"/>
  <c r="AC99" i="18" s="1"/>
  <c r="AA86" i="18"/>
  <c r="AC86" i="18" s="1"/>
  <c r="AO92" i="18"/>
  <c r="AQ92" i="18" s="1"/>
  <c r="AS92" i="18" s="1"/>
  <c r="AC87" i="18"/>
  <c r="AE87" i="18" s="1"/>
  <c r="Y100" i="18"/>
  <c r="AA100" i="18" s="1"/>
  <c r="AQ69" i="18"/>
  <c r="AS69" i="18" s="1"/>
  <c r="AU69" i="18" s="1"/>
  <c r="AG91" i="18"/>
  <c r="E89" i="18"/>
  <c r="AA90" i="18"/>
  <c r="AG88" i="18"/>
  <c r="AI88" i="18" s="1"/>
  <c r="AQ21" i="14"/>
  <c r="AS21" i="14" s="1"/>
  <c r="C144" i="20" s="1"/>
  <c r="S144" i="20" s="1"/>
  <c r="AG67" i="14"/>
  <c r="AC68" i="14"/>
  <c r="D144" i="20" l="1"/>
  <c r="C83" i="18"/>
  <c r="D83" i="18" s="1"/>
  <c r="C93" i="19"/>
  <c r="D93" i="19" s="1"/>
  <c r="Y93" i="19" s="1"/>
  <c r="U89" i="18"/>
  <c r="AE85" i="18"/>
  <c r="AG85" i="18" s="1"/>
  <c r="AC89" i="18"/>
  <c r="AE89" i="18" s="1"/>
  <c r="AU92" i="18"/>
  <c r="AG87" i="18"/>
  <c r="AI87" i="18" s="1"/>
  <c r="AC100" i="18"/>
  <c r="AE86" i="18"/>
  <c r="AG86" i="18" s="1"/>
  <c r="AK88" i="18"/>
  <c r="AM88" i="18" s="1"/>
  <c r="AI91" i="18"/>
  <c r="AK91" i="18" s="1"/>
  <c r="AM91" i="18" s="1"/>
  <c r="AE99" i="18"/>
  <c r="AC90" i="18"/>
  <c r="AE90" i="18" s="1"/>
  <c r="W83" i="18"/>
  <c r="Y83" i="18" s="1"/>
  <c r="S89" i="18"/>
  <c r="K89" i="18"/>
  <c r="Q89" i="18"/>
  <c r="I89" i="18"/>
  <c r="O89" i="18"/>
  <c r="G89" i="18"/>
  <c r="M89" i="18"/>
  <c r="AO71" i="18"/>
  <c r="AQ71" i="18" s="1"/>
  <c r="AG48" i="14"/>
  <c r="AI67" i="14"/>
  <c r="AK67" i="14" s="1"/>
  <c r="AE68" i="14"/>
  <c r="AG144" i="20" l="1"/>
  <c r="AI144" i="20" s="1"/>
  <c r="AK144" i="20" s="1"/>
  <c r="AM144" i="20" s="1"/>
  <c r="AO144" i="20" s="1"/>
  <c r="V89" i="18"/>
  <c r="AK87" i="18"/>
  <c r="AM87" i="18" s="1"/>
  <c r="AI85" i="18"/>
  <c r="AG89" i="18"/>
  <c r="AI89" i="18" s="1"/>
  <c r="AK89" i="18" s="1"/>
  <c r="AO91" i="18"/>
  <c r="AQ91" i="18" s="1"/>
  <c r="AO88" i="18"/>
  <c r="AQ88" i="18" s="1"/>
  <c r="AG90" i="18"/>
  <c r="AI90" i="18" s="1"/>
  <c r="AK90" i="18" s="1"/>
  <c r="AM90" i="18" s="1"/>
  <c r="AO90" i="18" s="1"/>
  <c r="AI86" i="18"/>
  <c r="AK86" i="18" s="1"/>
  <c r="AE100" i="18"/>
  <c r="AG100" i="18" s="1"/>
  <c r="AI100" i="18" s="1"/>
  <c r="AA83" i="18"/>
  <c r="AC83" i="18" s="1"/>
  <c r="AG99" i="18"/>
  <c r="AI99" i="18" s="1"/>
  <c r="AK99" i="18" s="1"/>
  <c r="AS71" i="18"/>
  <c r="AU71" i="18" s="1"/>
  <c r="AI48" i="14"/>
  <c r="AK48" i="14" s="1"/>
  <c r="AM67" i="14"/>
  <c r="AO67" i="14" s="1"/>
  <c r="AG68" i="14"/>
  <c r="AI68" i="14" s="1"/>
  <c r="AK68" i="14" s="1"/>
  <c r="AA13" i="14"/>
  <c r="AC13" i="14" s="1"/>
  <c r="AQ144" i="20" l="1"/>
  <c r="AA93" i="19"/>
  <c r="AO87" i="18"/>
  <c r="AQ87" i="18" s="1"/>
  <c r="AK85" i="18"/>
  <c r="AM85" i="18" s="1"/>
  <c r="AO85" i="18" s="1"/>
  <c r="AQ85" i="18" s="1"/>
  <c r="AM89" i="18"/>
  <c r="AO89" i="18" s="1"/>
  <c r="AE83" i="18"/>
  <c r="AG83" i="18" s="1"/>
  <c r="AS91" i="18"/>
  <c r="AU91" i="18" s="1"/>
  <c r="AM86" i="18"/>
  <c r="AO86" i="18" s="1"/>
  <c r="AQ86" i="18" s="1"/>
  <c r="AS86" i="18" s="1"/>
  <c r="AK100" i="18"/>
  <c r="AM100" i="18" s="1"/>
  <c r="AO100" i="18" s="1"/>
  <c r="AS88" i="18"/>
  <c r="AU88" i="18" s="1"/>
  <c r="AM99" i="18"/>
  <c r="AO99" i="18" s="1"/>
  <c r="AQ90" i="18"/>
  <c r="AS90" i="18" s="1"/>
  <c r="AU90" i="18" s="1"/>
  <c r="AM48" i="14"/>
  <c r="AO48" i="14" s="1"/>
  <c r="AQ67" i="14"/>
  <c r="AS67" i="14" s="1"/>
  <c r="C164" i="20" s="1"/>
  <c r="S164" i="20" s="1"/>
  <c r="AM68" i="14"/>
  <c r="AO68" i="14" s="1"/>
  <c r="AE54" i="14"/>
  <c r="AG54" i="14" s="1"/>
  <c r="AG58" i="14"/>
  <c r="AI58" i="14" s="1"/>
  <c r="AK58" i="14" s="1"/>
  <c r="AE13" i="14"/>
  <c r="X76" i="14"/>
  <c r="D164" i="20" l="1"/>
  <c r="E164" i="20" s="1"/>
  <c r="AC164" i="20" s="1"/>
  <c r="AS144" i="20"/>
  <c r="C126" i="18"/>
  <c r="D126" i="18" s="1"/>
  <c r="E126" i="18" s="1"/>
  <c r="U126" i="18" s="1"/>
  <c r="C113" i="19"/>
  <c r="D113" i="19" s="1"/>
  <c r="Y113" i="19" s="1"/>
  <c r="AC93" i="19"/>
  <c r="AE93" i="19" s="1"/>
  <c r="AS87" i="18"/>
  <c r="AU87" i="18" s="1"/>
  <c r="AI83" i="18"/>
  <c r="AK83" i="18" s="1"/>
  <c r="AS85" i="18"/>
  <c r="AU85" i="18" s="1"/>
  <c r="AU86" i="18"/>
  <c r="AQ89" i="18"/>
  <c r="AS89" i="18" s="1"/>
  <c r="AU89" i="18" s="1"/>
  <c r="AQ100" i="18"/>
  <c r="AS100" i="18" s="1"/>
  <c r="AU100" i="18" s="1"/>
  <c r="W126" i="18"/>
  <c r="Y126" i="18" s="1"/>
  <c r="AA126" i="18" s="1"/>
  <c r="AQ99" i="18"/>
  <c r="AQ48" i="14"/>
  <c r="AS48" i="14" s="1"/>
  <c r="C145" i="20" s="1"/>
  <c r="S145" i="20" s="1"/>
  <c r="AQ68" i="14"/>
  <c r="AS68" i="14" s="1"/>
  <c r="C165" i="20" s="1"/>
  <c r="S165" i="20" s="1"/>
  <c r="AG50" i="14"/>
  <c r="AI50" i="14" s="1"/>
  <c r="AI57" i="14"/>
  <c r="AK57" i="14" s="1"/>
  <c r="AK51" i="14"/>
  <c r="AM51" i="14" s="1"/>
  <c r="AG13" i="14"/>
  <c r="AI54" i="14"/>
  <c r="AM58" i="14"/>
  <c r="AO58" i="14" s="1"/>
  <c r="AA77" i="14"/>
  <c r="W76" i="14"/>
  <c r="AG164" i="20" l="1"/>
  <c r="AI164" i="20" s="1"/>
  <c r="AK164" i="20" s="1"/>
  <c r="D165" i="20"/>
  <c r="E165" i="20" s="1"/>
  <c r="AC165" i="20" s="1"/>
  <c r="AU144" i="20"/>
  <c r="D145" i="20"/>
  <c r="G164" i="20"/>
  <c r="U164" i="20"/>
  <c r="W164" i="20"/>
  <c r="K164" i="20"/>
  <c r="O164" i="20"/>
  <c r="AE164" i="20"/>
  <c r="M164" i="20"/>
  <c r="Y164" i="20"/>
  <c r="Q164" i="20"/>
  <c r="AG93" i="19"/>
  <c r="AI93" i="19" s="1"/>
  <c r="C127" i="18"/>
  <c r="D127" i="18" s="1"/>
  <c r="E127" i="18" s="1"/>
  <c r="U127" i="18" s="1"/>
  <c r="C114" i="19"/>
  <c r="D114" i="19" s="1"/>
  <c r="Y114" i="19" s="1"/>
  <c r="C107" i="18"/>
  <c r="D107" i="18" s="1"/>
  <c r="W107" i="18" s="1"/>
  <c r="Y107" i="18" s="1"/>
  <c r="C94" i="19"/>
  <c r="D94" i="19" s="1"/>
  <c r="Y94" i="19" s="1"/>
  <c r="AA113" i="19"/>
  <c r="E113" i="19"/>
  <c r="W113" i="19" s="1"/>
  <c r="AC126" i="18"/>
  <c r="AS99" i="18"/>
  <c r="AU99" i="18" s="1"/>
  <c r="AM83" i="18"/>
  <c r="AO83" i="18" s="1"/>
  <c r="AQ83" i="18" s="1"/>
  <c r="K126" i="18"/>
  <c r="M126" i="18"/>
  <c r="S126" i="18"/>
  <c r="G126" i="18"/>
  <c r="I126" i="18"/>
  <c r="O126" i="18"/>
  <c r="Q126" i="18"/>
  <c r="AK46" i="14"/>
  <c r="AK50" i="14"/>
  <c r="AK54" i="14"/>
  <c r="AM54" i="14" s="1"/>
  <c r="AM57" i="14"/>
  <c r="AO57" i="14" s="1"/>
  <c r="AQ57" i="14" s="1"/>
  <c r="AS57" i="14" s="1"/>
  <c r="C154" i="20" s="1"/>
  <c r="S154" i="20" s="1"/>
  <c r="AQ58" i="14"/>
  <c r="AS58" i="14" s="1"/>
  <c r="C155" i="20" s="1"/>
  <c r="S155" i="20" s="1"/>
  <c r="AS42" i="14"/>
  <c r="C101" i="18" s="1"/>
  <c r="D101" i="18" s="1"/>
  <c r="AO51" i="14"/>
  <c r="AQ51" i="14" s="1"/>
  <c r="AS51" i="14" s="1"/>
  <c r="C148" i="20" s="1"/>
  <c r="S148" i="20" s="1"/>
  <c r="AS35" i="14"/>
  <c r="AC77" i="14"/>
  <c r="AE77" i="14" s="1"/>
  <c r="AI13" i="14"/>
  <c r="AK13" i="14" s="1"/>
  <c r="AG165" i="20" l="1"/>
  <c r="AI165" i="20" s="1"/>
  <c r="AK165" i="20" s="1"/>
  <c r="AM164" i="20"/>
  <c r="AO164" i="20" s="1"/>
  <c r="D148" i="20"/>
  <c r="E148" i="20" s="1"/>
  <c r="AC148" i="20" s="1"/>
  <c r="D155" i="20"/>
  <c r="AG155" i="20" s="1"/>
  <c r="AI155" i="20" s="1"/>
  <c r="AK155" i="20" s="1"/>
  <c r="D154" i="20"/>
  <c r="AG154" i="20" s="1"/>
  <c r="AI154" i="20" s="1"/>
  <c r="I164" i="20"/>
  <c r="AA164" i="20"/>
  <c r="AF164" i="20"/>
  <c r="AG145" i="20"/>
  <c r="AI145" i="20" s="1"/>
  <c r="AK145" i="20" s="1"/>
  <c r="AW144" i="20"/>
  <c r="Y165" i="20"/>
  <c r="M165" i="20"/>
  <c r="K165" i="20"/>
  <c r="U165" i="20"/>
  <c r="Q165" i="20"/>
  <c r="W165" i="20"/>
  <c r="AE165" i="20"/>
  <c r="G165" i="20"/>
  <c r="O165" i="20"/>
  <c r="AK93" i="19"/>
  <c r="AM93" i="19" s="1"/>
  <c r="AO93" i="19" s="1"/>
  <c r="E114" i="19"/>
  <c r="W114" i="19" s="1"/>
  <c r="AA114" i="19"/>
  <c r="AC114" i="19" s="1"/>
  <c r="AE114" i="19" s="1"/>
  <c r="AG114" i="19" s="1"/>
  <c r="AI114" i="19" s="1"/>
  <c r="AA94" i="19"/>
  <c r="AC94" i="19" s="1"/>
  <c r="AE94" i="19" s="1"/>
  <c r="AG94" i="19" s="1"/>
  <c r="C110" i="18"/>
  <c r="D110" i="18" s="1"/>
  <c r="W110" i="18" s="1"/>
  <c r="Y110" i="18" s="1"/>
  <c r="C97" i="19"/>
  <c r="D97" i="19" s="1"/>
  <c r="Y97" i="19" s="1"/>
  <c r="W127" i="18"/>
  <c r="Y127" i="18" s="1"/>
  <c r="AC113" i="19"/>
  <c r="AE113" i="19" s="1"/>
  <c r="C116" i="18"/>
  <c r="D116" i="18" s="1"/>
  <c r="W116" i="18" s="1"/>
  <c r="Y116" i="18" s="1"/>
  <c r="C103" i="19"/>
  <c r="D103" i="19" s="1"/>
  <c r="Y103" i="19" s="1"/>
  <c r="C94" i="18"/>
  <c r="D94" i="18" s="1"/>
  <c r="C117" i="18"/>
  <c r="D117" i="18" s="1"/>
  <c r="W117" i="18" s="1"/>
  <c r="Y117" i="18" s="1"/>
  <c r="AA117" i="18" s="1"/>
  <c r="C104" i="19"/>
  <c r="D104" i="19" s="1"/>
  <c r="Y104" i="19" s="1"/>
  <c r="O113" i="19"/>
  <c r="K113" i="19"/>
  <c r="S113" i="19"/>
  <c r="M113" i="19"/>
  <c r="I113" i="19"/>
  <c r="Q113" i="19"/>
  <c r="G113" i="19"/>
  <c r="U113" i="19"/>
  <c r="V126" i="18"/>
  <c r="AA107" i="18"/>
  <c r="AC107" i="18" s="1"/>
  <c r="AS83" i="18"/>
  <c r="AU83" i="18" s="1"/>
  <c r="AE126" i="18"/>
  <c r="AG126" i="18" s="1"/>
  <c r="AI126" i="18" s="1"/>
  <c r="AK126" i="18" s="1"/>
  <c r="G127" i="18"/>
  <c r="Q127" i="18"/>
  <c r="M127" i="18"/>
  <c r="K127" i="18"/>
  <c r="I127" i="18"/>
  <c r="S127" i="18"/>
  <c r="O127" i="18"/>
  <c r="AM50" i="14"/>
  <c r="AO50" i="14" s="1"/>
  <c r="AM46" i="14"/>
  <c r="AO46" i="14" s="1"/>
  <c r="AQ46" i="14" s="1"/>
  <c r="AM13" i="14"/>
  <c r="AO54" i="14"/>
  <c r="AS52" i="14"/>
  <c r="C149" i="20" s="1"/>
  <c r="S149" i="20" s="1"/>
  <c r="AS31" i="14"/>
  <c r="AG77" i="14"/>
  <c r="AI77" i="14" s="1"/>
  <c r="AQ38" i="14"/>
  <c r="AS38" i="14" s="1"/>
  <c r="C97" i="18" s="1"/>
  <c r="D97" i="18" s="1"/>
  <c r="AM49" i="14"/>
  <c r="AA72" i="14"/>
  <c r="AM165" i="20" l="1"/>
  <c r="AO165" i="20" s="1"/>
  <c r="AQ165" i="20" s="1"/>
  <c r="E155" i="20"/>
  <c r="AC155" i="20" s="1"/>
  <c r="AQ164" i="20"/>
  <c r="AS164" i="20" s="1"/>
  <c r="AU164" i="20" s="1"/>
  <c r="AW164" i="20" s="1"/>
  <c r="E154" i="20"/>
  <c r="AC154" i="20" s="1"/>
  <c r="AG148" i="20"/>
  <c r="AI148" i="20" s="1"/>
  <c r="AK148" i="20" s="1"/>
  <c r="D149" i="20"/>
  <c r="E149" i="20" s="1"/>
  <c r="AC149" i="20" s="1"/>
  <c r="I165" i="20"/>
  <c r="AA165" i="20"/>
  <c r="AK154" i="20"/>
  <c r="AM154" i="20" s="1"/>
  <c r="AO154" i="20" s="1"/>
  <c r="AM155" i="20"/>
  <c r="AO155" i="20" s="1"/>
  <c r="AM145" i="20"/>
  <c r="AO145" i="20" s="1"/>
  <c r="AF165" i="20"/>
  <c r="G148" i="20"/>
  <c r="Y148" i="20"/>
  <c r="O148" i="20"/>
  <c r="M148" i="20"/>
  <c r="AE148" i="20"/>
  <c r="U148" i="20"/>
  <c r="K148" i="20"/>
  <c r="W148" i="20"/>
  <c r="Q148" i="20"/>
  <c r="AY144" i="20"/>
  <c r="E116" i="18"/>
  <c r="U116" i="18" s="1"/>
  <c r="X113" i="19"/>
  <c r="E110" i="18"/>
  <c r="U110" i="18" s="1"/>
  <c r="AA127" i="18"/>
  <c r="AC127" i="18" s="1"/>
  <c r="AE127" i="18" s="1"/>
  <c r="AQ93" i="19"/>
  <c r="AS93" i="19" s="1"/>
  <c r="AU93" i="19" s="1"/>
  <c r="AW93" i="19" s="1"/>
  <c r="AK114" i="19"/>
  <c r="AG113" i="19"/>
  <c r="AI113" i="19" s="1"/>
  <c r="E103" i="19"/>
  <c r="W103" i="19" s="1"/>
  <c r="AA103" i="19"/>
  <c r="C111" i="18"/>
  <c r="D111" i="18" s="1"/>
  <c r="W111" i="18" s="1"/>
  <c r="C98" i="19"/>
  <c r="D98" i="19" s="1"/>
  <c r="Y98" i="19" s="1"/>
  <c r="E117" i="18"/>
  <c r="U117" i="18" s="1"/>
  <c r="AI94" i="19"/>
  <c r="AK94" i="19" s="1"/>
  <c r="AM94" i="19" s="1"/>
  <c r="AO94" i="19" s="1"/>
  <c r="AA104" i="19"/>
  <c r="E104" i="19"/>
  <c r="W104" i="19" s="1"/>
  <c r="AA97" i="19"/>
  <c r="E97" i="19"/>
  <c r="W97" i="19" s="1"/>
  <c r="M114" i="19"/>
  <c r="G114" i="19"/>
  <c r="O114" i="19"/>
  <c r="K114" i="19"/>
  <c r="U114" i="19"/>
  <c r="I114" i="19"/>
  <c r="S114" i="19"/>
  <c r="Q114" i="19"/>
  <c r="V127" i="18"/>
  <c r="AM126" i="18"/>
  <c r="AO126" i="18" s="1"/>
  <c r="AC117" i="18"/>
  <c r="AE117" i="18" s="1"/>
  <c r="AG117" i="18" s="1"/>
  <c r="AI117" i="18" s="1"/>
  <c r="AE107" i="18"/>
  <c r="AA116" i="18"/>
  <c r="AC116" i="18" s="1"/>
  <c r="AA110" i="18"/>
  <c r="W97" i="18"/>
  <c r="Y97" i="18" s="1"/>
  <c r="AO13" i="14"/>
  <c r="AQ13" i="14" s="1"/>
  <c r="AS13" i="14" s="1"/>
  <c r="AS47" i="14"/>
  <c r="C106" i="18" s="1"/>
  <c r="D106" i="18" s="1"/>
  <c r="AS46" i="14"/>
  <c r="C105" i="18" s="1"/>
  <c r="D105" i="18" s="1"/>
  <c r="AQ50" i="14"/>
  <c r="AS50" i="14" s="1"/>
  <c r="C147" i="20" s="1"/>
  <c r="S147" i="20" s="1"/>
  <c r="AQ54" i="14"/>
  <c r="AS54" i="14" s="1"/>
  <c r="C151" i="20" s="1"/>
  <c r="S151" i="20" s="1"/>
  <c r="AE64" i="14"/>
  <c r="AG64" i="14" s="1"/>
  <c r="AO49" i="14"/>
  <c r="AQ49" i="14" s="1"/>
  <c r="AK77" i="14"/>
  <c r="AM77" i="14" s="1"/>
  <c r="AC72" i="14"/>
  <c r="U76" i="14"/>
  <c r="AY164" i="20" l="1"/>
  <c r="BA164" i="20" s="1"/>
  <c r="BC164" i="20" s="1"/>
  <c r="M155" i="20"/>
  <c r="K155" i="20"/>
  <c r="AA155" i="20" s="1"/>
  <c r="Q155" i="20"/>
  <c r="U155" i="20"/>
  <c r="AS165" i="20"/>
  <c r="AU165" i="20" s="1"/>
  <c r="AE155" i="20"/>
  <c r="G155" i="20"/>
  <c r="O155" i="20"/>
  <c r="W155" i="20"/>
  <c r="Y155" i="20"/>
  <c r="M154" i="20"/>
  <c r="U154" i="20"/>
  <c r="AE154" i="20"/>
  <c r="W154" i="20"/>
  <c r="Q154" i="20"/>
  <c r="G154" i="20"/>
  <c r="Y154" i="20"/>
  <c r="K154" i="20"/>
  <c r="I154" i="20" s="1"/>
  <c r="O154" i="20"/>
  <c r="AM148" i="20"/>
  <c r="AO148" i="20" s="1"/>
  <c r="AQ148" i="20" s="1"/>
  <c r="AG149" i="20"/>
  <c r="AI149" i="20" s="1"/>
  <c r="AK149" i="20" s="1"/>
  <c r="D147" i="20"/>
  <c r="AG147" i="20" s="1"/>
  <c r="AI147" i="20" s="1"/>
  <c r="AK147" i="20" s="1"/>
  <c r="D151" i="20"/>
  <c r="E151" i="20" s="1"/>
  <c r="AC151" i="20" s="1"/>
  <c r="AQ154" i="20"/>
  <c r="AS154" i="20" s="1"/>
  <c r="I148" i="20"/>
  <c r="AA148" i="20"/>
  <c r="AQ155" i="20"/>
  <c r="AS155" i="20" s="1"/>
  <c r="AQ145" i="20"/>
  <c r="AS145" i="20" s="1"/>
  <c r="S116" i="18"/>
  <c r="Q116" i="18"/>
  <c r="O116" i="18"/>
  <c r="K116" i="18"/>
  <c r="G116" i="18"/>
  <c r="AF148" i="20"/>
  <c r="I110" i="18"/>
  <c r="I116" i="18"/>
  <c r="W149" i="20"/>
  <c r="U149" i="20"/>
  <c r="Q149" i="20"/>
  <c r="G149" i="20"/>
  <c r="AE149" i="20"/>
  <c r="Y149" i="20"/>
  <c r="K149" i="20"/>
  <c r="O149" i="20"/>
  <c r="M149" i="20"/>
  <c r="S110" i="18"/>
  <c r="M116" i="18"/>
  <c r="BA144" i="20"/>
  <c r="BC144" i="20" s="1"/>
  <c r="BE144" i="20" s="1"/>
  <c r="K110" i="18"/>
  <c r="M110" i="18"/>
  <c r="Q110" i="18"/>
  <c r="G110" i="18"/>
  <c r="O110" i="18"/>
  <c r="X114" i="19"/>
  <c r="O117" i="18"/>
  <c r="AC104" i="19"/>
  <c r="AE104" i="19" s="1"/>
  <c r="AC103" i="19"/>
  <c r="AE103" i="19" s="1"/>
  <c r="E111" i="18"/>
  <c r="U111" i="18" s="1"/>
  <c r="S117" i="18"/>
  <c r="AC97" i="19"/>
  <c r="AE97" i="19" s="1"/>
  <c r="AK113" i="19"/>
  <c r="AM113" i="19" s="1"/>
  <c r="AO113" i="19" s="1"/>
  <c r="AQ113" i="19" s="1"/>
  <c r="Q117" i="18"/>
  <c r="M117" i="18"/>
  <c r="AM114" i="19"/>
  <c r="G117" i="18"/>
  <c r="AQ94" i="19"/>
  <c r="AS94" i="19" s="1"/>
  <c r="C113" i="18"/>
  <c r="D113" i="18" s="1"/>
  <c r="E113" i="18" s="1"/>
  <c r="U113" i="18" s="1"/>
  <c r="C100" i="19"/>
  <c r="D100" i="19" s="1"/>
  <c r="Y100" i="19" s="1"/>
  <c r="AA98" i="19"/>
  <c r="E98" i="19"/>
  <c r="W98" i="19" s="1"/>
  <c r="K104" i="19"/>
  <c r="S104" i="19"/>
  <c r="O104" i="19"/>
  <c r="U104" i="19"/>
  <c r="I104" i="19"/>
  <c r="M104" i="19"/>
  <c r="G104" i="19"/>
  <c r="Q104" i="19"/>
  <c r="K117" i="18"/>
  <c r="S97" i="19"/>
  <c r="M97" i="19"/>
  <c r="I97" i="19"/>
  <c r="Q97" i="19"/>
  <c r="U97" i="19"/>
  <c r="O97" i="19"/>
  <c r="K97" i="19"/>
  <c r="G97" i="19"/>
  <c r="C109" i="18"/>
  <c r="D109" i="18" s="1"/>
  <c r="W109" i="18" s="1"/>
  <c r="Y109" i="18" s="1"/>
  <c r="AA109" i="18" s="1"/>
  <c r="C96" i="19"/>
  <c r="D96" i="19" s="1"/>
  <c r="Y96" i="19" s="1"/>
  <c r="Q103" i="19"/>
  <c r="O103" i="19"/>
  <c r="K103" i="19"/>
  <c r="I103" i="19"/>
  <c r="S103" i="19"/>
  <c r="M103" i="19"/>
  <c r="G103" i="19"/>
  <c r="U103" i="19"/>
  <c r="I117" i="18"/>
  <c r="V116" i="18"/>
  <c r="AG127" i="18"/>
  <c r="AI127" i="18" s="1"/>
  <c r="AQ126" i="18"/>
  <c r="AS126" i="18" s="1"/>
  <c r="AU126" i="18" s="1"/>
  <c r="AE116" i="18"/>
  <c r="AG116" i="18" s="1"/>
  <c r="AI116" i="18" s="1"/>
  <c r="AA97" i="18"/>
  <c r="AG107" i="18"/>
  <c r="AK117" i="18"/>
  <c r="AM117" i="18" s="1"/>
  <c r="Y111" i="18"/>
  <c r="W105" i="18"/>
  <c r="Y105" i="18" s="1"/>
  <c r="E106" i="18"/>
  <c r="U106" i="18" s="1"/>
  <c r="AC110" i="18"/>
  <c r="AE110" i="18" s="1"/>
  <c r="AI64" i="14"/>
  <c r="AK64" i="14" s="1"/>
  <c r="AS37" i="14"/>
  <c r="C96" i="18" s="1"/>
  <c r="AO77" i="14"/>
  <c r="AQ77" i="14" s="1"/>
  <c r="AE72" i="14"/>
  <c r="AS39" i="14"/>
  <c r="AS49" i="14"/>
  <c r="C146" i="20" s="1"/>
  <c r="S146" i="20" s="1"/>
  <c r="D66" i="14"/>
  <c r="E66" i="14" s="1"/>
  <c r="C44" i="14"/>
  <c r="B31" i="16" s="1"/>
  <c r="U31" i="16" s="1"/>
  <c r="I155" i="20" l="1"/>
  <c r="BE164" i="20"/>
  <c r="AW165" i="20"/>
  <c r="AY165" i="20" s="1"/>
  <c r="BA165" i="20" s="1"/>
  <c r="BC165" i="20" s="1"/>
  <c r="BE165" i="20" s="1"/>
  <c r="AF155" i="20"/>
  <c r="AF154" i="20"/>
  <c r="AG151" i="20"/>
  <c r="AI151" i="20" s="1"/>
  <c r="AA154" i="20"/>
  <c r="AS148" i="20"/>
  <c r="AU148" i="20" s="1"/>
  <c r="AM149" i="20"/>
  <c r="AO149" i="20" s="1"/>
  <c r="AU154" i="20"/>
  <c r="AW154" i="20" s="1"/>
  <c r="I149" i="20"/>
  <c r="AA149" i="20"/>
  <c r="AM147" i="20"/>
  <c r="AO147" i="20" s="1"/>
  <c r="AQ147" i="20" s="1"/>
  <c r="AS147" i="20" s="1"/>
  <c r="AU145" i="20"/>
  <c r="AW145" i="20" s="1"/>
  <c r="AY145" i="20" s="1"/>
  <c r="BA145" i="20" s="1"/>
  <c r="BC145" i="20" s="1"/>
  <c r="BE145" i="20" s="1"/>
  <c r="AU155" i="20"/>
  <c r="AW155" i="20" s="1"/>
  <c r="AY155" i="20" s="1"/>
  <c r="I111" i="18"/>
  <c r="K151" i="20"/>
  <c r="M151" i="20"/>
  <c r="W151" i="20"/>
  <c r="U151" i="20"/>
  <c r="G151" i="20"/>
  <c r="Q151" i="20"/>
  <c r="O151" i="20"/>
  <c r="AE151" i="20"/>
  <c r="Y151" i="20"/>
  <c r="AF149" i="20"/>
  <c r="K111" i="18"/>
  <c r="D146" i="20"/>
  <c r="V110" i="18"/>
  <c r="G111" i="18"/>
  <c r="M111" i="18"/>
  <c r="O111" i="18"/>
  <c r="Q111" i="18"/>
  <c r="S111" i="18"/>
  <c r="X97" i="19"/>
  <c r="X103" i="19"/>
  <c r="X104" i="19"/>
  <c r="AG104" i="19"/>
  <c r="AI104" i="19" s="1"/>
  <c r="AK104" i="19" s="1"/>
  <c r="AM104" i="19" s="1"/>
  <c r="AG103" i="19"/>
  <c r="AI103" i="19" s="1"/>
  <c r="AK103" i="19" s="1"/>
  <c r="AM103" i="19" s="1"/>
  <c r="AO103" i="19" s="1"/>
  <c r="AQ103" i="19" s="1"/>
  <c r="AG97" i="19"/>
  <c r="AI97" i="19" s="1"/>
  <c r="AK97" i="19" s="1"/>
  <c r="AM97" i="19" s="1"/>
  <c r="AO114" i="19"/>
  <c r="AQ114" i="19" s="1"/>
  <c r="V117" i="18"/>
  <c r="W113" i="18"/>
  <c r="Y113" i="18" s="1"/>
  <c r="AS113" i="19"/>
  <c r="AU113" i="19" s="1"/>
  <c r="AW113" i="19" s="1"/>
  <c r="S98" i="19"/>
  <c r="O98" i="19"/>
  <c r="K98" i="19"/>
  <c r="M98" i="19"/>
  <c r="G98" i="19"/>
  <c r="Q98" i="19"/>
  <c r="I98" i="19"/>
  <c r="U98" i="19"/>
  <c r="C108" i="18"/>
  <c r="D108" i="18" s="1"/>
  <c r="W108" i="18" s="1"/>
  <c r="Y108" i="18" s="1"/>
  <c r="C95" i="19"/>
  <c r="D95" i="19" s="1"/>
  <c r="Y95" i="19" s="1"/>
  <c r="AU94" i="19"/>
  <c r="AW94" i="19" s="1"/>
  <c r="AA96" i="19"/>
  <c r="AA100" i="19"/>
  <c r="E100" i="19"/>
  <c r="W100" i="19" s="1"/>
  <c r="AC98" i="19"/>
  <c r="C98" i="18"/>
  <c r="AG101" i="18"/>
  <c r="AO117" i="18"/>
  <c r="AQ117" i="18" s="1"/>
  <c r="AS117" i="18" s="1"/>
  <c r="AU117" i="18" s="1"/>
  <c r="AU94" i="18"/>
  <c r="AI107" i="18"/>
  <c r="AK107" i="18" s="1"/>
  <c r="AM107" i="18" s="1"/>
  <c r="AO107" i="18" s="1"/>
  <c r="AI106" i="18"/>
  <c r="AK106" i="18" s="1"/>
  <c r="AC109" i="18"/>
  <c r="AC97" i="18"/>
  <c r="K106" i="18"/>
  <c r="G106" i="18"/>
  <c r="M106" i="18"/>
  <c r="Q106" i="18"/>
  <c r="O106" i="18"/>
  <c r="S106" i="18"/>
  <c r="I106" i="18"/>
  <c r="AA111" i="18"/>
  <c r="AC111" i="18" s="1"/>
  <c r="AA105" i="18"/>
  <c r="M113" i="18"/>
  <c r="Q113" i="18"/>
  <c r="O113" i="18"/>
  <c r="K113" i="18"/>
  <c r="G113" i="18"/>
  <c r="S113" i="18"/>
  <c r="I113" i="18"/>
  <c r="AG110" i="18"/>
  <c r="AI110" i="18" s="1"/>
  <c r="AK116" i="18"/>
  <c r="AM116" i="18" s="1"/>
  <c r="AO116" i="18" s="1"/>
  <c r="AQ116" i="18" s="1"/>
  <c r="AK127" i="18"/>
  <c r="AM127" i="18" s="1"/>
  <c r="D96" i="18"/>
  <c r="O66" i="14"/>
  <c r="I66" i="14"/>
  <c r="M66" i="14"/>
  <c r="G66" i="14"/>
  <c r="Q66" i="14"/>
  <c r="K66" i="14"/>
  <c r="S66" i="14"/>
  <c r="J31" i="16"/>
  <c r="T31" i="16"/>
  <c r="D31" i="16"/>
  <c r="F31" i="16"/>
  <c r="H31" i="16"/>
  <c r="L31" i="16"/>
  <c r="N31" i="16"/>
  <c r="P31" i="16"/>
  <c r="R31" i="16"/>
  <c r="B29" i="17"/>
  <c r="C51" i="17"/>
  <c r="D44" i="14"/>
  <c r="AM64" i="14"/>
  <c r="AO64" i="14" s="1"/>
  <c r="AS29" i="14"/>
  <c r="AS34" i="14"/>
  <c r="C93" i="18" s="1"/>
  <c r="D93" i="18" s="1"/>
  <c r="AS43" i="14"/>
  <c r="AS77" i="14"/>
  <c r="C174" i="20" s="1"/>
  <c r="S174" i="20" s="1"/>
  <c r="AG72" i="14"/>
  <c r="AC66" i="14"/>
  <c r="D64" i="6"/>
  <c r="C64" i="6"/>
  <c r="D37" i="6"/>
  <c r="C37" i="6"/>
  <c r="AA37" i="6"/>
  <c r="AW148" i="20" l="1"/>
  <c r="AY148" i="20" s="1"/>
  <c r="BA148" i="20" s="1"/>
  <c r="BC148" i="20" s="1"/>
  <c r="BE148" i="20" s="1"/>
  <c r="AK151" i="20"/>
  <c r="AM151" i="20" s="1"/>
  <c r="AO151" i="20" s="1"/>
  <c r="AQ151" i="20" s="1"/>
  <c r="AQ149" i="20"/>
  <c r="AS149" i="20" s="1"/>
  <c r="AU149" i="20" s="1"/>
  <c r="D174" i="20"/>
  <c r="AG174" i="20" s="1"/>
  <c r="AI174" i="20" s="1"/>
  <c r="AY154" i="20"/>
  <c r="BA154" i="20" s="1"/>
  <c r="BC154" i="20" s="1"/>
  <c r="BE154" i="20" s="1"/>
  <c r="I151" i="20"/>
  <c r="AA151" i="20"/>
  <c r="BA155" i="20"/>
  <c r="AG146" i="20"/>
  <c r="AI146" i="20" s="1"/>
  <c r="AK146" i="20" s="1"/>
  <c r="AU147" i="20"/>
  <c r="AW147" i="20" s="1"/>
  <c r="AF151" i="20"/>
  <c r="V111" i="18"/>
  <c r="AO104" i="19"/>
  <c r="AQ104" i="19" s="1"/>
  <c r="AS104" i="19" s="1"/>
  <c r="AU104" i="19" s="1"/>
  <c r="AW104" i="19" s="1"/>
  <c r="X98" i="19"/>
  <c r="AO97" i="19"/>
  <c r="AQ97" i="19" s="1"/>
  <c r="AS97" i="19" s="1"/>
  <c r="AU97" i="19" s="1"/>
  <c r="AW97" i="19" s="1"/>
  <c r="AC100" i="19"/>
  <c r="AE100" i="19" s="1"/>
  <c r="AG100" i="19" s="1"/>
  <c r="AA113" i="18"/>
  <c r="AC113" i="18" s="1"/>
  <c r="AE113" i="18" s="1"/>
  <c r="AG113" i="18" s="1"/>
  <c r="AI113" i="18" s="1"/>
  <c r="AS103" i="19"/>
  <c r="AU103" i="19" s="1"/>
  <c r="AW103" i="19" s="1"/>
  <c r="AS114" i="19"/>
  <c r="AU114" i="19" s="1"/>
  <c r="AW114" i="19" s="1"/>
  <c r="AC96" i="19"/>
  <c r="AE96" i="19" s="1"/>
  <c r="AA95" i="19"/>
  <c r="AC95" i="19" s="1"/>
  <c r="C136" i="18"/>
  <c r="D136" i="18" s="1"/>
  <c r="W136" i="18" s="1"/>
  <c r="Y136" i="18" s="1"/>
  <c r="AA136" i="18" s="1"/>
  <c r="C123" i="19"/>
  <c r="D123" i="19" s="1"/>
  <c r="Y123" i="19" s="1"/>
  <c r="I100" i="19"/>
  <c r="G100" i="19"/>
  <c r="K100" i="19"/>
  <c r="U100" i="19"/>
  <c r="Q100" i="19"/>
  <c r="S100" i="19"/>
  <c r="O100" i="19"/>
  <c r="M100" i="19"/>
  <c r="AE98" i="19"/>
  <c r="AG98" i="19" s="1"/>
  <c r="V106" i="18"/>
  <c r="C70" i="18"/>
  <c r="D70" i="18" s="1"/>
  <c r="D98" i="18"/>
  <c r="E98" i="18" s="1"/>
  <c r="V113" i="18"/>
  <c r="AI101" i="18"/>
  <c r="AK101" i="18" s="1"/>
  <c r="AO127" i="18"/>
  <c r="AQ127" i="18" s="1"/>
  <c r="AS127" i="18" s="1"/>
  <c r="AE109" i="18"/>
  <c r="AG109" i="18" s="1"/>
  <c r="AQ107" i="18"/>
  <c r="AS107" i="18" s="1"/>
  <c r="AU107" i="18" s="1"/>
  <c r="AM106" i="18"/>
  <c r="AO106" i="18" s="1"/>
  <c r="AQ106" i="18" s="1"/>
  <c r="AA108" i="18"/>
  <c r="AC108" i="18" s="1"/>
  <c r="AE108" i="18" s="1"/>
  <c r="AG108" i="18" s="1"/>
  <c r="AE97" i="18"/>
  <c r="AG97" i="18" s="1"/>
  <c r="AI97" i="18" s="1"/>
  <c r="W93" i="18"/>
  <c r="Y93" i="18" s="1"/>
  <c r="AS116" i="18"/>
  <c r="AU116" i="18" s="1"/>
  <c r="AK110" i="18"/>
  <c r="AM110" i="18" s="1"/>
  <c r="AO110" i="18" s="1"/>
  <c r="AQ110" i="18" s="1"/>
  <c r="AE111" i="18"/>
  <c r="U102" i="18"/>
  <c r="AC105" i="18"/>
  <c r="AE105" i="18" s="1"/>
  <c r="AG105" i="18" s="1"/>
  <c r="AI105" i="18" s="1"/>
  <c r="E96" i="18"/>
  <c r="W96" i="18"/>
  <c r="Y96" i="18" s="1"/>
  <c r="T66" i="14"/>
  <c r="C29" i="17"/>
  <c r="M29" i="17"/>
  <c r="O29" i="17"/>
  <c r="K29" i="17"/>
  <c r="G29" i="17"/>
  <c r="S29" i="17"/>
  <c r="I29" i="17"/>
  <c r="U29" i="17"/>
  <c r="E29" i="17"/>
  <c r="Q29" i="17"/>
  <c r="AQ64" i="14"/>
  <c r="AS64" i="14" s="1"/>
  <c r="C161" i="20" s="1"/>
  <c r="S161" i="20" s="1"/>
  <c r="AI72" i="14"/>
  <c r="AE66" i="14"/>
  <c r="AG66" i="14" s="1"/>
  <c r="D26" i="6"/>
  <c r="C26" i="6"/>
  <c r="E174" i="20" l="1"/>
  <c r="AC174" i="20" s="1"/>
  <c r="D161" i="20"/>
  <c r="AG161" i="20" s="1"/>
  <c r="AI161" i="20" s="1"/>
  <c r="AK161" i="20" s="1"/>
  <c r="AW149" i="20"/>
  <c r="AY149" i="20" s="1"/>
  <c r="BA149" i="20" s="1"/>
  <c r="AK174" i="20"/>
  <c r="AM174" i="20" s="1"/>
  <c r="AO174" i="20" s="1"/>
  <c r="AM146" i="20"/>
  <c r="AO146" i="20" s="1"/>
  <c r="BC155" i="20"/>
  <c r="BE155" i="20" s="1"/>
  <c r="AS151" i="20"/>
  <c r="AY147" i="20"/>
  <c r="BA147" i="20" s="1"/>
  <c r="X100" i="19"/>
  <c r="E136" i="18"/>
  <c r="U136" i="18" s="1"/>
  <c r="AE95" i="19"/>
  <c r="AG95" i="19" s="1"/>
  <c r="AG96" i="19"/>
  <c r="AI96" i="19" s="1"/>
  <c r="AI98" i="19"/>
  <c r="AK98" i="19" s="1"/>
  <c r="AI100" i="19"/>
  <c r="AK100" i="19" s="1"/>
  <c r="AM100" i="19" s="1"/>
  <c r="AA123" i="19"/>
  <c r="E123" i="19"/>
  <c r="W123" i="19" s="1"/>
  <c r="C123" i="18"/>
  <c r="D123" i="18" s="1"/>
  <c r="W123" i="18" s="1"/>
  <c r="Y123" i="18" s="1"/>
  <c r="C110" i="19"/>
  <c r="D110" i="19" s="1"/>
  <c r="Y110" i="19" s="1"/>
  <c r="U96" i="18"/>
  <c r="U98" i="18"/>
  <c r="Q98" i="18"/>
  <c r="O98" i="18"/>
  <c r="S98" i="18"/>
  <c r="M98" i="18"/>
  <c r="G98" i="18"/>
  <c r="I98" i="18"/>
  <c r="K98" i="18"/>
  <c r="AM101" i="18"/>
  <c r="AO101" i="18" s="1"/>
  <c r="AQ101" i="18" s="1"/>
  <c r="AS101" i="18" s="1"/>
  <c r="AU101" i="18" s="1"/>
  <c r="AI109" i="18"/>
  <c r="AK109" i="18" s="1"/>
  <c r="AM109" i="18" s="1"/>
  <c r="AO109" i="18" s="1"/>
  <c r="AQ109" i="18" s="1"/>
  <c r="AS109" i="18" s="1"/>
  <c r="AU109" i="18" s="1"/>
  <c r="AU127" i="18"/>
  <c r="AA96" i="18"/>
  <c r="AC96" i="18" s="1"/>
  <c r="AC136" i="18"/>
  <c r="AE136" i="18" s="1"/>
  <c r="AG136" i="18" s="1"/>
  <c r="AS106" i="18"/>
  <c r="AU106" i="18" s="1"/>
  <c r="AK97" i="18"/>
  <c r="AM97" i="18" s="1"/>
  <c r="AO97" i="18" s="1"/>
  <c r="AQ97" i="18" s="1"/>
  <c r="AK113" i="18"/>
  <c r="AM113" i="18" s="1"/>
  <c r="AI108" i="18"/>
  <c r="AK108" i="18" s="1"/>
  <c r="AM108" i="18" s="1"/>
  <c r="AO108" i="18" s="1"/>
  <c r="AQ108" i="18" s="1"/>
  <c r="AA93" i="18"/>
  <c r="AC93" i="18" s="1"/>
  <c r="AG111" i="18"/>
  <c r="AK105" i="18"/>
  <c r="AM105" i="18" s="1"/>
  <c r="AO105" i="18" s="1"/>
  <c r="S136" i="18"/>
  <c r="S102" i="18"/>
  <c r="O102" i="18"/>
  <c r="I102" i="18"/>
  <c r="Q102" i="18"/>
  <c r="K102" i="18"/>
  <c r="M102" i="18"/>
  <c r="G102" i="18"/>
  <c r="AS110" i="18"/>
  <c r="AU110" i="18" s="1"/>
  <c r="S96" i="18"/>
  <c r="G96" i="18"/>
  <c r="Q96" i="18"/>
  <c r="K96" i="18"/>
  <c r="M96" i="18"/>
  <c r="O96" i="18"/>
  <c r="I96" i="18"/>
  <c r="AK72" i="14"/>
  <c r="AM72" i="14" s="1"/>
  <c r="AO72" i="14" s="1"/>
  <c r="AI66" i="14"/>
  <c r="AK66" i="14" s="1"/>
  <c r="AB33" i="6"/>
  <c r="AA34" i="6"/>
  <c r="C34" i="6"/>
  <c r="C38" i="6"/>
  <c r="Q174" i="20" l="1"/>
  <c r="M174" i="20"/>
  <c r="E161" i="20"/>
  <c r="AC161" i="20" s="1"/>
  <c r="W174" i="20"/>
  <c r="K174" i="20"/>
  <c r="I174" i="20" s="1"/>
  <c r="O174" i="20"/>
  <c r="U174" i="20"/>
  <c r="AE174" i="20"/>
  <c r="Y174" i="20"/>
  <c r="G174" i="20"/>
  <c r="BC149" i="20"/>
  <c r="BE149" i="20" s="1"/>
  <c r="AQ174" i="20"/>
  <c r="AS174" i="20" s="1"/>
  <c r="AU174" i="20" s="1"/>
  <c r="AW174" i="20" s="1"/>
  <c r="AY174" i="20" s="1"/>
  <c r="BA174" i="20" s="1"/>
  <c r="BC174" i="20" s="1"/>
  <c r="BE174" i="20" s="1"/>
  <c r="K136" i="18"/>
  <c r="I136" i="18"/>
  <c r="AQ146" i="20"/>
  <c r="AS146" i="20" s="1"/>
  <c r="AU151" i="20"/>
  <c r="AW151" i="20" s="1"/>
  <c r="BC147" i="20"/>
  <c r="BE147" i="20" s="1"/>
  <c r="AM161" i="20"/>
  <c r="AO161" i="20" s="1"/>
  <c r="AQ161" i="20" s="1"/>
  <c r="Q136" i="18"/>
  <c r="M136" i="18"/>
  <c r="O136" i="18"/>
  <c r="G136" i="18"/>
  <c r="AK96" i="19"/>
  <c r="AM96" i="19" s="1"/>
  <c r="AO96" i="19" s="1"/>
  <c r="AI95" i="19"/>
  <c r="AK95" i="19" s="1"/>
  <c r="AM98" i="19"/>
  <c r="AO98" i="19" s="1"/>
  <c r="AQ98" i="19" s="1"/>
  <c r="AC123" i="19"/>
  <c r="AE123" i="19" s="1"/>
  <c r="AG123" i="19" s="1"/>
  <c r="AI123" i="19" s="1"/>
  <c r="AO100" i="19"/>
  <c r="AQ100" i="19" s="1"/>
  <c r="E123" i="18"/>
  <c r="U123" i="18" s="1"/>
  <c r="AA110" i="19"/>
  <c r="E110" i="19"/>
  <c r="W110" i="19" s="1"/>
  <c r="S123" i="19"/>
  <c r="U123" i="19"/>
  <c r="K123" i="19"/>
  <c r="I123" i="19"/>
  <c r="O123" i="19"/>
  <c r="G123" i="19"/>
  <c r="M123" i="19"/>
  <c r="Q123" i="19"/>
  <c r="V98" i="18"/>
  <c r="V96" i="18"/>
  <c r="V102" i="18"/>
  <c r="AQ105" i="18"/>
  <c r="AS105" i="18" s="1"/>
  <c r="AU105" i="18" s="1"/>
  <c r="AI136" i="18"/>
  <c r="AK136" i="18" s="1"/>
  <c r="AM136" i="18" s="1"/>
  <c r="AO136" i="18" s="1"/>
  <c r="AE93" i="18"/>
  <c r="AG93" i="18" s="1"/>
  <c r="AI93" i="18" s="1"/>
  <c r="AO113" i="18"/>
  <c r="AS97" i="18"/>
  <c r="AU97" i="18" s="1"/>
  <c r="AI111" i="18"/>
  <c r="AK111" i="18" s="1"/>
  <c r="AE98" i="18"/>
  <c r="AA123" i="18"/>
  <c r="AS108" i="18"/>
  <c r="AU108" i="18" s="1"/>
  <c r="AE96" i="18"/>
  <c r="AQ72" i="14"/>
  <c r="AS72" i="14" s="1"/>
  <c r="C169" i="20" s="1"/>
  <c r="S169" i="20" s="1"/>
  <c r="AM66" i="14"/>
  <c r="AA39" i="6"/>
  <c r="AA33" i="6"/>
  <c r="AA174" i="20" l="1"/>
  <c r="G161" i="20"/>
  <c r="AE161" i="20"/>
  <c r="K161" i="20"/>
  <c r="AA161" i="20" s="1"/>
  <c r="U161" i="20"/>
  <c r="W161" i="20"/>
  <c r="O161" i="20"/>
  <c r="Q161" i="20"/>
  <c r="Y161" i="20"/>
  <c r="M161" i="20"/>
  <c r="AF174" i="20"/>
  <c r="D169" i="20"/>
  <c r="AG169" i="20" s="1"/>
  <c r="AS161" i="20"/>
  <c r="AU161" i="20" s="1"/>
  <c r="AW161" i="20" s="1"/>
  <c r="V136" i="18"/>
  <c r="AY151" i="20"/>
  <c r="BA151" i="20" s="1"/>
  <c r="AU146" i="20"/>
  <c r="AW146" i="20" s="1"/>
  <c r="X123" i="19"/>
  <c r="Q123" i="18"/>
  <c r="O123" i="18"/>
  <c r="AQ96" i="19"/>
  <c r="AS96" i="19" s="1"/>
  <c r="AU96" i="19" s="1"/>
  <c r="AW96" i="19" s="1"/>
  <c r="AM95" i="19"/>
  <c r="AO95" i="19" s="1"/>
  <c r="AQ95" i="19" s="1"/>
  <c r="AS98" i="19"/>
  <c r="AU98" i="19" s="1"/>
  <c r="AW98" i="19" s="1"/>
  <c r="G123" i="18"/>
  <c r="AS100" i="19"/>
  <c r="AU100" i="19" s="1"/>
  <c r="AW100" i="19" s="1"/>
  <c r="K123" i="18"/>
  <c r="M123" i="18"/>
  <c r="I123" i="18"/>
  <c r="AC110" i="19"/>
  <c r="AK123" i="19"/>
  <c r="AM123" i="19" s="1"/>
  <c r="AO123" i="19" s="1"/>
  <c r="C131" i="18"/>
  <c r="D131" i="18" s="1"/>
  <c r="E131" i="18" s="1"/>
  <c r="U131" i="18" s="1"/>
  <c r="C118" i="19"/>
  <c r="D118" i="19" s="1"/>
  <c r="Y118" i="19" s="1"/>
  <c r="G110" i="19"/>
  <c r="I110" i="19"/>
  <c r="S110" i="19"/>
  <c r="Q110" i="19"/>
  <c r="M110" i="19"/>
  <c r="K110" i="19"/>
  <c r="U110" i="19"/>
  <c r="O110" i="19"/>
  <c r="S123" i="18"/>
  <c r="AQ136" i="18"/>
  <c r="AS136" i="18" s="1"/>
  <c r="AU136" i="18" s="1"/>
  <c r="AM111" i="18"/>
  <c r="AO111" i="18" s="1"/>
  <c r="AQ111" i="18" s="1"/>
  <c r="AS111" i="18" s="1"/>
  <c r="AU111" i="18" s="1"/>
  <c r="AK93" i="18"/>
  <c r="AM93" i="18" s="1"/>
  <c r="AO93" i="18" s="1"/>
  <c r="AQ93" i="18" s="1"/>
  <c r="AS93" i="18" s="1"/>
  <c r="AU93" i="18" s="1"/>
  <c r="AQ113" i="18"/>
  <c r="AS113" i="18" s="1"/>
  <c r="AU113" i="18" s="1"/>
  <c r="AG98" i="18"/>
  <c r="AG102" i="18"/>
  <c r="AI102" i="18" s="1"/>
  <c r="AC123" i="18"/>
  <c r="AE123" i="18" s="1"/>
  <c r="AG96" i="18"/>
  <c r="AO66" i="14"/>
  <c r="AQ66" i="14" s="1"/>
  <c r="AC33" i="6"/>
  <c r="C80" i="14" s="1"/>
  <c r="B67" i="16" s="1"/>
  <c r="U67" i="16" s="1"/>
  <c r="AC34" i="6"/>
  <c r="I161" i="20" l="1"/>
  <c r="AF161" i="20"/>
  <c r="E169" i="20"/>
  <c r="AC169" i="20" s="1"/>
  <c r="BC151" i="20"/>
  <c r="BE151" i="20" s="1"/>
  <c r="AI169" i="20"/>
  <c r="AK169" i="20" s="1"/>
  <c r="AM169" i="20" s="1"/>
  <c r="AO169" i="20" s="1"/>
  <c r="AY146" i="20"/>
  <c r="BA146" i="20" s="1"/>
  <c r="AY161" i="20"/>
  <c r="BA161" i="20" s="1"/>
  <c r="X110" i="19"/>
  <c r="V123" i="18"/>
  <c r="AS95" i="19"/>
  <c r="AU95" i="19" s="1"/>
  <c r="AW95" i="19" s="1"/>
  <c r="W131" i="18"/>
  <c r="Y131" i="18" s="1"/>
  <c r="AE110" i="19"/>
  <c r="AG110" i="19" s="1"/>
  <c r="AQ123" i="19"/>
  <c r="AS123" i="19" s="1"/>
  <c r="AU123" i="19" s="1"/>
  <c r="AW123" i="19" s="1"/>
  <c r="AA118" i="19"/>
  <c r="AC118" i="19" s="1"/>
  <c r="AE118" i="19" s="1"/>
  <c r="E118" i="19"/>
  <c r="W118" i="19" s="1"/>
  <c r="AI70" i="18"/>
  <c r="AK70" i="18" s="1"/>
  <c r="M131" i="18"/>
  <c r="S131" i="18"/>
  <c r="O131" i="18"/>
  <c r="G131" i="18"/>
  <c r="Q131" i="18"/>
  <c r="I131" i="18"/>
  <c r="K131" i="18"/>
  <c r="AK102" i="18"/>
  <c r="AM102" i="18" s="1"/>
  <c r="AI98" i="18"/>
  <c r="AK98" i="18" s="1"/>
  <c r="AG123" i="18"/>
  <c r="AI123" i="18" s="1"/>
  <c r="AI96" i="18"/>
  <c r="F67" i="16"/>
  <c r="P67" i="16"/>
  <c r="D67" i="16"/>
  <c r="H67" i="16"/>
  <c r="J67" i="16"/>
  <c r="L67" i="16"/>
  <c r="N67" i="16"/>
  <c r="R67" i="16"/>
  <c r="T67" i="16"/>
  <c r="B65" i="17"/>
  <c r="D80" i="14"/>
  <c r="E80" i="14" s="1"/>
  <c r="C63" i="14"/>
  <c r="B50" i="16" s="1"/>
  <c r="U50" i="16" s="1"/>
  <c r="AS66" i="14"/>
  <c r="C163" i="20" s="1"/>
  <c r="S163" i="20" s="1"/>
  <c r="AS44" i="14"/>
  <c r="D103" i="18" s="1"/>
  <c r="AC12" i="6"/>
  <c r="G169" i="20" l="1"/>
  <c r="O169" i="20"/>
  <c r="Y169" i="20"/>
  <c r="K169" i="20"/>
  <c r="I169" i="20" s="1"/>
  <c r="M169" i="20"/>
  <c r="W169" i="20"/>
  <c r="AE169" i="20"/>
  <c r="Q169" i="20"/>
  <c r="U169" i="20"/>
  <c r="D163" i="20"/>
  <c r="AG163" i="20" s="1"/>
  <c r="AI163" i="20" s="1"/>
  <c r="AK163" i="20" s="1"/>
  <c r="AQ169" i="20"/>
  <c r="AS169" i="20" s="1"/>
  <c r="BC146" i="20"/>
  <c r="BE146" i="20" s="1"/>
  <c r="BC161" i="20"/>
  <c r="BE161" i="20" s="1"/>
  <c r="AA131" i="18"/>
  <c r="AC131" i="18" s="1"/>
  <c r="AG118" i="19"/>
  <c r="AI118" i="19" s="1"/>
  <c r="AK118" i="19" s="1"/>
  <c r="AM118" i="19" s="1"/>
  <c r="C125" i="18"/>
  <c r="D125" i="18" s="1"/>
  <c r="W125" i="18" s="1"/>
  <c r="Y125" i="18" s="1"/>
  <c r="C112" i="19"/>
  <c r="D112" i="19" s="1"/>
  <c r="Y112" i="19" s="1"/>
  <c r="I118" i="19"/>
  <c r="U118" i="19"/>
  <c r="S118" i="19"/>
  <c r="G118" i="19"/>
  <c r="O118" i="19"/>
  <c r="Q118" i="19"/>
  <c r="M118" i="19"/>
  <c r="K118" i="19"/>
  <c r="AI110" i="19"/>
  <c r="V131" i="18"/>
  <c r="AE131" i="18"/>
  <c r="AG131" i="18" s="1"/>
  <c r="AI131" i="18" s="1"/>
  <c r="AM70" i="18"/>
  <c r="AO70" i="18" s="1"/>
  <c r="AQ70" i="18" s="1"/>
  <c r="AS70" i="18" s="1"/>
  <c r="AU70" i="18" s="1"/>
  <c r="AM98" i="18"/>
  <c r="AO98" i="18" s="1"/>
  <c r="AQ98" i="18" s="1"/>
  <c r="AS98" i="18" s="1"/>
  <c r="AU98" i="18" s="1"/>
  <c r="AO102" i="18"/>
  <c r="AQ102" i="18" s="1"/>
  <c r="AK123" i="18"/>
  <c r="AM123" i="18" s="1"/>
  <c r="Y103" i="18"/>
  <c r="AK96" i="18"/>
  <c r="I80" i="14"/>
  <c r="M80" i="14"/>
  <c r="K80" i="14"/>
  <c r="Q80" i="14"/>
  <c r="G80" i="14"/>
  <c r="S80" i="14"/>
  <c r="O80" i="14"/>
  <c r="U80" i="14"/>
  <c r="AA80" i="14" s="1"/>
  <c r="H50" i="16"/>
  <c r="T50" i="16"/>
  <c r="D50" i="16"/>
  <c r="F50" i="16"/>
  <c r="J50" i="16"/>
  <c r="L50" i="16"/>
  <c r="N50" i="16"/>
  <c r="P50" i="16"/>
  <c r="R50" i="16"/>
  <c r="C65" i="17"/>
  <c r="B48" i="17"/>
  <c r="U65" i="17"/>
  <c r="Q65" i="17"/>
  <c r="K65" i="17"/>
  <c r="I65" i="17"/>
  <c r="E65" i="17"/>
  <c r="G65" i="17"/>
  <c r="M65" i="17"/>
  <c r="O65" i="17"/>
  <c r="S65" i="17"/>
  <c r="D63" i="14"/>
  <c r="E63" i="14" s="1"/>
  <c r="AC14" i="6"/>
  <c r="C61" i="14" s="1"/>
  <c r="B48" i="16" s="1"/>
  <c r="U48" i="16" s="1"/>
  <c r="AF169" i="20" l="1"/>
  <c r="E163" i="20"/>
  <c r="AC163" i="20" s="1"/>
  <c r="AA169" i="20"/>
  <c r="AM163" i="20"/>
  <c r="AU169" i="20"/>
  <c r="AW169" i="20" s="1"/>
  <c r="AY169" i="20" s="1"/>
  <c r="BA169" i="20" s="1"/>
  <c r="BC169" i="20" s="1"/>
  <c r="BE169" i="20" s="1"/>
  <c r="X118" i="19"/>
  <c r="AO118" i="19"/>
  <c r="AQ118" i="19" s="1"/>
  <c r="AK110" i="19"/>
  <c r="AM110" i="19" s="1"/>
  <c r="E125" i="18"/>
  <c r="U125" i="18" s="1"/>
  <c r="AA112" i="19"/>
  <c r="E112" i="19"/>
  <c r="W112" i="19" s="1"/>
  <c r="AK131" i="18"/>
  <c r="AM131" i="18" s="1"/>
  <c r="AO131" i="18" s="1"/>
  <c r="AO123" i="18"/>
  <c r="AQ123" i="18" s="1"/>
  <c r="AS123" i="18" s="1"/>
  <c r="AU123" i="18" s="1"/>
  <c r="AA125" i="18"/>
  <c r="AC125" i="18" s="1"/>
  <c r="AE125" i="18" s="1"/>
  <c r="AG125" i="18" s="1"/>
  <c r="AI125" i="18" s="1"/>
  <c r="AA103" i="18"/>
  <c r="AC103" i="18" s="1"/>
  <c r="AS102" i="18"/>
  <c r="AU102" i="18" s="1"/>
  <c r="AM96" i="18"/>
  <c r="T80" i="14"/>
  <c r="I63" i="14"/>
  <c r="Q63" i="14"/>
  <c r="O63" i="14"/>
  <c r="M63" i="14"/>
  <c r="S63" i="14"/>
  <c r="K63" i="14"/>
  <c r="G63" i="14"/>
  <c r="R48" i="16"/>
  <c r="P48" i="16"/>
  <c r="T48" i="16"/>
  <c r="D48" i="16"/>
  <c r="F48" i="16"/>
  <c r="J48" i="16"/>
  <c r="L48" i="16"/>
  <c r="N48" i="16"/>
  <c r="H48" i="16"/>
  <c r="C48" i="17"/>
  <c r="S48" i="17"/>
  <c r="Q48" i="17"/>
  <c r="O48" i="17"/>
  <c r="M48" i="17"/>
  <c r="I48" i="17"/>
  <c r="G48" i="17"/>
  <c r="U48" i="17"/>
  <c r="E48" i="17"/>
  <c r="K48" i="17"/>
  <c r="B46" i="17"/>
  <c r="AE63" i="14"/>
  <c r="AG63" i="14" s="1"/>
  <c r="D61" i="14"/>
  <c r="E61" i="14" s="1"/>
  <c r="AC80" i="14"/>
  <c r="AC29" i="6"/>
  <c r="AC23" i="6"/>
  <c r="C69" i="14" s="1"/>
  <c r="AC36" i="6"/>
  <c r="W26" i="6"/>
  <c r="I26" i="6"/>
  <c r="AA38" i="6"/>
  <c r="AC38" i="6" s="1"/>
  <c r="AC11" i="6"/>
  <c r="C59" i="14" s="1"/>
  <c r="B46" i="16" s="1"/>
  <c r="U46" i="16" s="1"/>
  <c r="AC6" i="6"/>
  <c r="AC7" i="6"/>
  <c r="AC8" i="6"/>
  <c r="AC9" i="6"/>
  <c r="AC13" i="6"/>
  <c r="AC15" i="6"/>
  <c r="AC18" i="6"/>
  <c r="D65" i="14" s="1"/>
  <c r="E65" i="14" s="1"/>
  <c r="AC19" i="6"/>
  <c r="AC20" i="6"/>
  <c r="C70" i="14" s="1"/>
  <c r="B57" i="16" s="1"/>
  <c r="U57" i="16" s="1"/>
  <c r="AC30" i="6"/>
  <c r="C75" i="14" s="1"/>
  <c r="B62" i="16" s="1"/>
  <c r="U62" i="16" s="1"/>
  <c r="AC21" i="6"/>
  <c r="B22" i="16" s="1"/>
  <c r="U22" i="16" s="1"/>
  <c r="AC31" i="6"/>
  <c r="C74" i="14" s="1"/>
  <c r="B61" i="16" s="1"/>
  <c r="U61" i="16" s="1"/>
  <c r="AC44" i="6"/>
  <c r="AC32" i="6"/>
  <c r="C76" i="14" s="1"/>
  <c r="B63" i="16" s="1"/>
  <c r="U63" i="16" s="1"/>
  <c r="AC22" i="6"/>
  <c r="C60" i="14" s="1"/>
  <c r="B47" i="16" s="1"/>
  <c r="U47" i="16" s="1"/>
  <c r="AC43" i="6"/>
  <c r="AC46" i="6"/>
  <c r="AC28" i="6"/>
  <c r="C79" i="14" s="1"/>
  <c r="B66" i="16" s="1"/>
  <c r="U66" i="16" s="1"/>
  <c r="AC10" i="6"/>
  <c r="D62" i="14" s="1"/>
  <c r="E62" i="14" s="1"/>
  <c r="Z85" i="6"/>
  <c r="AP88" i="14" s="1"/>
  <c r="W163" i="20" l="1"/>
  <c r="U163" i="20"/>
  <c r="G163" i="20"/>
  <c r="M163" i="20"/>
  <c r="O163" i="20"/>
  <c r="Y163" i="20"/>
  <c r="K163" i="20"/>
  <c r="I163" i="20" s="1"/>
  <c r="Q163" i="20"/>
  <c r="AE163" i="20"/>
  <c r="K125" i="18"/>
  <c r="AO163" i="20"/>
  <c r="I125" i="18"/>
  <c r="AO110" i="19"/>
  <c r="AQ110" i="19" s="1"/>
  <c r="AS110" i="19" s="1"/>
  <c r="AS118" i="19"/>
  <c r="AU118" i="19" s="1"/>
  <c r="AW118" i="19" s="1"/>
  <c r="Q125" i="18"/>
  <c r="AR148" i="18"/>
  <c r="S125" i="18"/>
  <c r="M125" i="18"/>
  <c r="O112" i="19"/>
  <c r="S112" i="19"/>
  <c r="K112" i="19"/>
  <c r="G112" i="19"/>
  <c r="U112" i="19"/>
  <c r="M112" i="19"/>
  <c r="I112" i="19"/>
  <c r="Q112" i="19"/>
  <c r="G125" i="18"/>
  <c r="O125" i="18"/>
  <c r="AC112" i="19"/>
  <c r="AE112" i="19" s="1"/>
  <c r="AE103" i="18"/>
  <c r="AG103" i="18" s="1"/>
  <c r="AI103" i="18" s="1"/>
  <c r="AK103" i="18" s="1"/>
  <c r="AK125" i="18"/>
  <c r="AM125" i="18" s="1"/>
  <c r="AQ131" i="18"/>
  <c r="AS131" i="18" s="1"/>
  <c r="AU131" i="18" s="1"/>
  <c r="AO96" i="18"/>
  <c r="AQ96" i="18" s="1"/>
  <c r="T63" i="14"/>
  <c r="S65" i="14"/>
  <c r="G65" i="14"/>
  <c r="Q65" i="14"/>
  <c r="K65" i="14"/>
  <c r="I65" i="14"/>
  <c r="O65" i="14"/>
  <c r="M65" i="14"/>
  <c r="S62" i="14"/>
  <c r="Q62" i="14"/>
  <c r="O62" i="14"/>
  <c r="M62" i="14"/>
  <c r="G62" i="14"/>
  <c r="K62" i="14"/>
  <c r="I62" i="14"/>
  <c r="M61" i="14"/>
  <c r="K61" i="14"/>
  <c r="G61" i="14"/>
  <c r="S61" i="14"/>
  <c r="I61" i="14"/>
  <c r="Q61" i="14"/>
  <c r="O61" i="14"/>
  <c r="F66" i="16"/>
  <c r="N66" i="16"/>
  <c r="D66" i="16"/>
  <c r="L66" i="16"/>
  <c r="P66" i="16"/>
  <c r="R66" i="16"/>
  <c r="T66" i="16"/>
  <c r="H66" i="16"/>
  <c r="J66" i="16"/>
  <c r="N62" i="16"/>
  <c r="L62" i="16"/>
  <c r="P62" i="16"/>
  <c r="D62" i="16"/>
  <c r="F62" i="16"/>
  <c r="J62" i="16"/>
  <c r="T62" i="16"/>
  <c r="R62" i="16"/>
  <c r="H62" i="16"/>
  <c r="D57" i="16"/>
  <c r="T57" i="16"/>
  <c r="F57" i="16"/>
  <c r="J57" i="16"/>
  <c r="N57" i="16"/>
  <c r="P57" i="16"/>
  <c r="L57" i="16"/>
  <c r="R57" i="16"/>
  <c r="H57" i="16"/>
  <c r="F47" i="16"/>
  <c r="H47" i="16"/>
  <c r="J47" i="16"/>
  <c r="L47" i="16"/>
  <c r="N47" i="16"/>
  <c r="P47" i="16"/>
  <c r="R47" i="16"/>
  <c r="D47" i="16"/>
  <c r="T47" i="16"/>
  <c r="F63" i="16"/>
  <c r="L63" i="16"/>
  <c r="N63" i="16"/>
  <c r="T63" i="16"/>
  <c r="D63" i="16"/>
  <c r="H63" i="16"/>
  <c r="P63" i="16"/>
  <c r="R63" i="16"/>
  <c r="J63" i="16"/>
  <c r="F61" i="16"/>
  <c r="R61" i="16"/>
  <c r="T61" i="16"/>
  <c r="L61" i="16"/>
  <c r="N61" i="16"/>
  <c r="D61" i="16"/>
  <c r="H61" i="16"/>
  <c r="P61" i="16"/>
  <c r="J61" i="16"/>
  <c r="H46" i="16"/>
  <c r="N46" i="16"/>
  <c r="P46" i="16"/>
  <c r="R46" i="16"/>
  <c r="T46" i="16"/>
  <c r="D46" i="16"/>
  <c r="F46" i="16"/>
  <c r="J46" i="16"/>
  <c r="L46" i="16"/>
  <c r="N22" i="16"/>
  <c r="T22" i="16"/>
  <c r="D22" i="16"/>
  <c r="F22" i="16"/>
  <c r="J22" i="16"/>
  <c r="L22" i="16"/>
  <c r="P22" i="16"/>
  <c r="H22" i="16"/>
  <c r="R22" i="16"/>
  <c r="C50" i="17"/>
  <c r="S46" i="17"/>
  <c r="M46" i="17"/>
  <c r="U46" i="17"/>
  <c r="E46" i="17"/>
  <c r="I46" i="17"/>
  <c r="O46" i="17"/>
  <c r="Q46" i="17"/>
  <c r="K46" i="17"/>
  <c r="G46" i="17"/>
  <c r="B45" i="17"/>
  <c r="B61" i="17"/>
  <c r="B59" i="17"/>
  <c r="B20" i="17"/>
  <c r="C46" i="17"/>
  <c r="C47" i="17"/>
  <c r="B64" i="17"/>
  <c r="B60" i="17"/>
  <c r="B55" i="17"/>
  <c r="B44" i="17"/>
  <c r="AI63" i="14"/>
  <c r="AK63" i="14" s="1"/>
  <c r="AM63" i="14" s="1"/>
  <c r="AO63" i="14" s="1"/>
  <c r="D75" i="14"/>
  <c r="E75" i="14" s="1"/>
  <c r="D70" i="14"/>
  <c r="E70" i="14" s="1"/>
  <c r="D79" i="14"/>
  <c r="E79" i="14" s="1"/>
  <c r="D59" i="14"/>
  <c r="E59" i="14" s="1"/>
  <c r="D60" i="14"/>
  <c r="E60" i="14" s="1"/>
  <c r="B56" i="16"/>
  <c r="U56" i="16" s="1"/>
  <c r="D76" i="14"/>
  <c r="E76" i="14" s="1"/>
  <c r="D74" i="14"/>
  <c r="E74" i="14" s="1"/>
  <c r="Y74" i="14"/>
  <c r="AG61" i="14"/>
  <c r="AE80" i="14"/>
  <c r="AA73" i="14"/>
  <c r="AR87" i="14"/>
  <c r="AP87" i="14"/>
  <c r="AN87" i="14"/>
  <c r="AL87" i="14"/>
  <c r="AJ87" i="14"/>
  <c r="AH87" i="14"/>
  <c r="AD87" i="14"/>
  <c r="AB87" i="14"/>
  <c r="X87" i="14"/>
  <c r="V87" i="14"/>
  <c r="U86" i="14"/>
  <c r="U91" i="14" s="1"/>
  <c r="AF87" i="14"/>
  <c r="Z87" i="14"/>
  <c r="AC25" i="6"/>
  <c r="AA163" i="20" l="1"/>
  <c r="AF163" i="20"/>
  <c r="AQ163" i="20"/>
  <c r="AS163" i="20" s="1"/>
  <c r="AU163" i="20" s="1"/>
  <c r="AW163" i="20" s="1"/>
  <c r="X112" i="19"/>
  <c r="V125" i="18"/>
  <c r="AU110" i="19"/>
  <c r="AW110" i="19" s="1"/>
  <c r="AB147" i="18"/>
  <c r="AD135" i="19" s="1"/>
  <c r="AL147" i="18"/>
  <c r="AN135" i="19" s="1"/>
  <c r="AJ147" i="18"/>
  <c r="AL135" i="19" s="1"/>
  <c r="AP147" i="18"/>
  <c r="AR135" i="19" s="1"/>
  <c r="AG112" i="19"/>
  <c r="AH147" i="18"/>
  <c r="AJ135" i="19" s="1"/>
  <c r="Z147" i="18"/>
  <c r="AB135" i="19" s="1"/>
  <c r="AT147" i="18"/>
  <c r="AV135" i="19" s="1"/>
  <c r="AD147" i="18"/>
  <c r="AF135" i="19" s="1"/>
  <c r="AN147" i="18"/>
  <c r="AP135" i="19" s="1"/>
  <c r="AR147" i="18"/>
  <c r="AT135" i="19" s="1"/>
  <c r="AF147" i="18"/>
  <c r="AH135" i="19" s="1"/>
  <c r="AM103" i="18"/>
  <c r="AO103" i="18" s="1"/>
  <c r="V92" i="14"/>
  <c r="X147" i="18"/>
  <c r="Z135" i="19" s="1"/>
  <c r="AO125" i="18"/>
  <c r="AS96" i="18"/>
  <c r="T61" i="14"/>
  <c r="T65" i="14"/>
  <c r="T62" i="14"/>
  <c r="Q70" i="14"/>
  <c r="O70" i="14"/>
  <c r="I70" i="14"/>
  <c r="M70" i="14"/>
  <c r="S70" i="14"/>
  <c r="K70" i="14"/>
  <c r="G70" i="14"/>
  <c r="G75" i="14"/>
  <c r="O75" i="14"/>
  <c r="M75" i="14"/>
  <c r="Q75" i="14"/>
  <c r="K75" i="14"/>
  <c r="I75" i="14"/>
  <c r="S75" i="14"/>
  <c r="M74" i="14"/>
  <c r="S74" i="14"/>
  <c r="G74" i="14"/>
  <c r="Q74" i="14"/>
  <c r="O74" i="14"/>
  <c r="I74" i="14"/>
  <c r="K74" i="14"/>
  <c r="K60" i="14"/>
  <c r="G60" i="14"/>
  <c r="S60" i="14"/>
  <c r="I60" i="14"/>
  <c r="Q60" i="14"/>
  <c r="O60" i="14"/>
  <c r="M60" i="14"/>
  <c r="S59" i="14"/>
  <c r="I59" i="14"/>
  <c r="Q59" i="14"/>
  <c r="O59" i="14"/>
  <c r="M59" i="14"/>
  <c r="K59" i="14"/>
  <c r="G59" i="14"/>
  <c r="Q76" i="14"/>
  <c r="I76" i="14"/>
  <c r="O76" i="14"/>
  <c r="M76" i="14"/>
  <c r="K76" i="14"/>
  <c r="S76" i="14"/>
  <c r="G76" i="14"/>
  <c r="S79" i="14"/>
  <c r="K79" i="14"/>
  <c r="Q79" i="14"/>
  <c r="I79" i="14"/>
  <c r="O79" i="14"/>
  <c r="M79" i="14"/>
  <c r="G79" i="14"/>
  <c r="C78" i="14"/>
  <c r="B65" i="16" s="1"/>
  <c r="H56" i="16"/>
  <c r="L56" i="16"/>
  <c r="N56" i="16"/>
  <c r="P56" i="16"/>
  <c r="R56" i="16"/>
  <c r="D56" i="16"/>
  <c r="F56" i="16"/>
  <c r="J56" i="16"/>
  <c r="T56" i="16"/>
  <c r="AQ63" i="14"/>
  <c r="AS63" i="14" s="1"/>
  <c r="C160" i="20" s="1"/>
  <c r="S160" i="20" s="1"/>
  <c r="C45" i="17"/>
  <c r="Q44" i="17"/>
  <c r="S44" i="17"/>
  <c r="O44" i="17"/>
  <c r="M44" i="17"/>
  <c r="K44" i="17"/>
  <c r="U44" i="17"/>
  <c r="G44" i="17"/>
  <c r="E44" i="17"/>
  <c r="I44" i="17"/>
  <c r="C44" i="17"/>
  <c r="U61" i="17"/>
  <c r="I61" i="17"/>
  <c r="S61" i="17"/>
  <c r="O61" i="17"/>
  <c r="Q61" i="17"/>
  <c r="E61" i="17"/>
  <c r="G61" i="17"/>
  <c r="M61" i="17"/>
  <c r="K61" i="17"/>
  <c r="B54" i="17"/>
  <c r="C64" i="17"/>
  <c r="U55" i="17"/>
  <c r="Q55" i="17"/>
  <c r="I55" i="17"/>
  <c r="G55" i="17"/>
  <c r="E55" i="17"/>
  <c r="S55" i="17"/>
  <c r="O55" i="17"/>
  <c r="M55" i="17"/>
  <c r="K55" i="17"/>
  <c r="C55" i="17"/>
  <c r="U45" i="17"/>
  <c r="Q45" i="17"/>
  <c r="I45" i="17"/>
  <c r="S45" i="17"/>
  <c r="G45" i="17"/>
  <c r="K45" i="17"/>
  <c r="E45" i="17"/>
  <c r="O45" i="17"/>
  <c r="M45" i="17"/>
  <c r="Q59" i="17"/>
  <c r="U59" i="17"/>
  <c r="K59" i="17"/>
  <c r="I59" i="17"/>
  <c r="E59" i="17"/>
  <c r="M59" i="17"/>
  <c r="G59" i="17"/>
  <c r="S59" i="17"/>
  <c r="O59" i="17"/>
  <c r="C20" i="17"/>
  <c r="C59" i="17"/>
  <c r="C60" i="17"/>
  <c r="S60" i="17"/>
  <c r="O60" i="17"/>
  <c r="K60" i="17"/>
  <c r="I60" i="17"/>
  <c r="G60" i="17"/>
  <c r="Q60" i="17"/>
  <c r="E60" i="17"/>
  <c r="M60" i="17"/>
  <c r="U60" i="17"/>
  <c r="Q20" i="17"/>
  <c r="O20" i="17"/>
  <c r="K20" i="17"/>
  <c r="S20" i="17"/>
  <c r="G20" i="17"/>
  <c r="M20" i="17"/>
  <c r="I20" i="17"/>
  <c r="U20" i="17"/>
  <c r="E20" i="17"/>
  <c r="C61" i="17"/>
  <c r="S64" i="17"/>
  <c r="Q64" i="17"/>
  <c r="O64" i="17"/>
  <c r="I64" i="17"/>
  <c r="M64" i="17"/>
  <c r="K64" i="17"/>
  <c r="G64" i="17"/>
  <c r="U64" i="17"/>
  <c r="E64" i="17"/>
  <c r="Y75" i="14"/>
  <c r="AA75" i="14" s="1"/>
  <c r="Y79" i="14"/>
  <c r="AA79" i="14" s="1"/>
  <c r="Y76" i="14"/>
  <c r="AA76" i="14" s="1"/>
  <c r="D69" i="14"/>
  <c r="E69" i="14" s="1"/>
  <c r="AA70" i="14"/>
  <c r="AC70" i="14" s="1"/>
  <c r="AA74" i="14"/>
  <c r="AC74" i="14" s="1"/>
  <c r="AI61" i="14"/>
  <c r="AK61" i="14" s="1"/>
  <c r="AC62" i="14"/>
  <c r="AC65" i="14"/>
  <c r="AC73" i="14"/>
  <c r="AE73" i="14" s="1"/>
  <c r="AE60" i="14"/>
  <c r="AG60" i="14" s="1"/>
  <c r="AG80" i="14"/>
  <c r="AI80" i="14" s="1"/>
  <c r="AI56" i="14"/>
  <c r="C35" i="6"/>
  <c r="D35" i="6"/>
  <c r="D160" i="20" l="1"/>
  <c r="E160" i="20" s="1"/>
  <c r="AC160" i="20" s="1"/>
  <c r="AY163" i="20"/>
  <c r="BA163" i="20" s="1"/>
  <c r="BC163" i="20" s="1"/>
  <c r="BE163" i="20" s="1"/>
  <c r="C122" i="18"/>
  <c r="D122" i="18" s="1"/>
  <c r="W122" i="18" s="1"/>
  <c r="Y122" i="18" s="1"/>
  <c r="C109" i="19"/>
  <c r="D109" i="19" s="1"/>
  <c r="Y109" i="19" s="1"/>
  <c r="X152" i="18"/>
  <c r="Z143" i="19"/>
  <c r="AI112" i="19"/>
  <c r="AK112" i="19" s="1"/>
  <c r="AM112" i="19" s="1"/>
  <c r="AO112" i="19" s="1"/>
  <c r="X92" i="14"/>
  <c r="Z92" i="14" s="1"/>
  <c r="AD143" i="19" s="1"/>
  <c r="AU96" i="18"/>
  <c r="AQ125" i="18"/>
  <c r="AS125" i="18" s="1"/>
  <c r="AU125" i="18" s="1"/>
  <c r="AQ103" i="18"/>
  <c r="D78" i="14"/>
  <c r="E78" i="14" s="1"/>
  <c r="O78" i="14" s="1"/>
  <c r="T70" i="14"/>
  <c r="T76" i="14"/>
  <c r="T59" i="14"/>
  <c r="T60" i="14"/>
  <c r="T74" i="14"/>
  <c r="T79" i="14"/>
  <c r="T75" i="14"/>
  <c r="Q69" i="14"/>
  <c r="O69" i="14"/>
  <c r="I69" i="14"/>
  <c r="M69" i="14"/>
  <c r="G69" i="14"/>
  <c r="S69" i="14"/>
  <c r="K69" i="14"/>
  <c r="B63" i="17"/>
  <c r="E63" i="17" s="1"/>
  <c r="U65" i="16"/>
  <c r="P65" i="16"/>
  <c r="N65" i="16"/>
  <c r="T65" i="16"/>
  <c r="J65" i="16"/>
  <c r="H65" i="16"/>
  <c r="F65" i="16"/>
  <c r="R65" i="16"/>
  <c r="L65" i="16"/>
  <c r="D65" i="16"/>
  <c r="AC76" i="14"/>
  <c r="AE76" i="14" s="1"/>
  <c r="AG76" i="14" s="1"/>
  <c r="S54" i="17"/>
  <c r="O54" i="17"/>
  <c r="M54" i="17"/>
  <c r="G54" i="17"/>
  <c r="Q54" i="17"/>
  <c r="I54" i="17"/>
  <c r="U54" i="17"/>
  <c r="K54" i="17"/>
  <c r="E54" i="17"/>
  <c r="AC79" i="14"/>
  <c r="AE79" i="14" s="1"/>
  <c r="AG79" i="14" s="1"/>
  <c r="C54" i="17"/>
  <c r="AC75" i="14"/>
  <c r="AE75" i="14" s="1"/>
  <c r="AG75" i="14" s="1"/>
  <c r="AE70" i="14"/>
  <c r="AG70" i="14" s="1"/>
  <c r="AE74" i="14"/>
  <c r="AG74" i="14" s="1"/>
  <c r="AE65" i="14"/>
  <c r="AM61" i="14"/>
  <c r="AO61" i="14" s="1"/>
  <c r="AE62" i="14"/>
  <c r="AG62" i="14" s="1"/>
  <c r="AK80" i="14"/>
  <c r="AK56" i="14"/>
  <c r="AI60" i="14"/>
  <c r="AK60" i="14" s="1"/>
  <c r="AG59" i="14"/>
  <c r="AI59" i="14" s="1"/>
  <c r="AG73" i="14"/>
  <c r="AI73" i="14" s="1"/>
  <c r="AA35" i="6"/>
  <c r="W37" i="6"/>
  <c r="AC37" i="6" s="1"/>
  <c r="AG160" i="20" l="1"/>
  <c r="AI160" i="20" s="1"/>
  <c r="K160" i="20"/>
  <c r="G160" i="20"/>
  <c r="U160" i="20"/>
  <c r="AE160" i="20"/>
  <c r="W160" i="20"/>
  <c r="Q160" i="20"/>
  <c r="M160" i="20"/>
  <c r="O160" i="20"/>
  <c r="Y160" i="20"/>
  <c r="E122" i="18"/>
  <c r="U122" i="18" s="1"/>
  <c r="AQ112" i="19"/>
  <c r="AS112" i="19" s="1"/>
  <c r="AU112" i="19" s="1"/>
  <c r="AW112" i="19" s="1"/>
  <c r="X156" i="18"/>
  <c r="Z140" i="19"/>
  <c r="AA109" i="19"/>
  <c r="AC109" i="19" s="1"/>
  <c r="E109" i="19"/>
  <c r="W109" i="19" s="1"/>
  <c r="Z152" i="18"/>
  <c r="Z156" i="18" s="1"/>
  <c r="AB143" i="19"/>
  <c r="K78" i="14"/>
  <c r="AA122" i="18"/>
  <c r="AC122" i="18" s="1"/>
  <c r="AE122" i="18" s="1"/>
  <c r="AG122" i="18" s="1"/>
  <c r="AB92" i="14"/>
  <c r="AB152" i="18"/>
  <c r="AB156" i="18" s="1"/>
  <c r="AS103" i="18"/>
  <c r="AU103" i="18" s="1"/>
  <c r="G78" i="14"/>
  <c r="M78" i="14"/>
  <c r="Q78" i="14"/>
  <c r="Y78" i="14"/>
  <c r="C63" i="17"/>
  <c r="I78" i="14"/>
  <c r="S78" i="14"/>
  <c r="T69" i="14"/>
  <c r="I63" i="17"/>
  <c r="O63" i="17"/>
  <c r="G63" i="17"/>
  <c r="K63" i="17"/>
  <c r="U63" i="17"/>
  <c r="Q63" i="17"/>
  <c r="M63" i="17"/>
  <c r="S63" i="17"/>
  <c r="AI69" i="14"/>
  <c r="AI70" i="14"/>
  <c r="AK70" i="14" s="1"/>
  <c r="AM70" i="14" s="1"/>
  <c r="AO70" i="14" s="1"/>
  <c r="AI76" i="14"/>
  <c r="AK76" i="14" s="1"/>
  <c r="AI75" i="14"/>
  <c r="AK75" i="14" s="1"/>
  <c r="AI79" i="14"/>
  <c r="AK79" i="14" s="1"/>
  <c r="AQ61" i="14"/>
  <c r="AS61" i="14" s="1"/>
  <c r="C158" i="20" s="1"/>
  <c r="S158" i="20" s="1"/>
  <c r="AG65" i="14"/>
  <c r="AI62" i="14"/>
  <c r="AK62" i="14" s="1"/>
  <c r="AM56" i="14"/>
  <c r="AO56" i="14" s="1"/>
  <c r="AK73" i="14"/>
  <c r="AM73" i="14" s="1"/>
  <c r="AM80" i="14"/>
  <c r="AO80" i="14" s="1"/>
  <c r="AI74" i="14"/>
  <c r="AM60" i="14"/>
  <c r="AO60" i="14" s="1"/>
  <c r="AK59" i="14"/>
  <c r="AC35" i="6"/>
  <c r="AA84" i="6"/>
  <c r="AC24" i="6"/>
  <c r="C71" i="14" s="1"/>
  <c r="B58" i="16" s="1"/>
  <c r="U58" i="16" s="1"/>
  <c r="C48" i="6"/>
  <c r="D48" i="6"/>
  <c r="AK160" i="20" l="1"/>
  <c r="AM160" i="20" s="1"/>
  <c r="D158" i="20"/>
  <c r="AG158" i="20" s="1"/>
  <c r="I160" i="20"/>
  <c r="AA160" i="20"/>
  <c r="AF160" i="20"/>
  <c r="G122" i="18"/>
  <c r="O122" i="18"/>
  <c r="I122" i="18"/>
  <c r="Q122" i="18"/>
  <c r="K122" i="18"/>
  <c r="S122" i="18"/>
  <c r="M122" i="18"/>
  <c r="AE109" i="19"/>
  <c r="AG109" i="19" s="1"/>
  <c r="C120" i="18"/>
  <c r="D120" i="18" s="1"/>
  <c r="W120" i="18" s="1"/>
  <c r="Y120" i="18" s="1"/>
  <c r="AA120" i="18" s="1"/>
  <c r="AC120" i="18" s="1"/>
  <c r="C107" i="19"/>
  <c r="D107" i="19" s="1"/>
  <c r="Y107" i="19" s="1"/>
  <c r="AD152" i="18"/>
  <c r="AD156" i="18" s="1"/>
  <c r="AF143" i="19"/>
  <c r="AD92" i="14"/>
  <c r="AF92" i="14" s="1"/>
  <c r="M109" i="19"/>
  <c r="G109" i="19"/>
  <c r="U109" i="19"/>
  <c r="K109" i="19"/>
  <c r="I109" i="19"/>
  <c r="Q109" i="19"/>
  <c r="S109" i="19"/>
  <c r="O109" i="19"/>
  <c r="AI122" i="18"/>
  <c r="AK122" i="18" s="1"/>
  <c r="T78" i="14"/>
  <c r="AM75" i="14"/>
  <c r="AO75" i="14" s="1"/>
  <c r="AQ75" i="14" s="1"/>
  <c r="AS75" i="14" s="1"/>
  <c r="C172" i="20" s="1"/>
  <c r="S172" i="20" s="1"/>
  <c r="AM76" i="14"/>
  <c r="AO76" i="14" s="1"/>
  <c r="AQ76" i="14" s="1"/>
  <c r="L58" i="16"/>
  <c r="N58" i="16"/>
  <c r="F58" i="16"/>
  <c r="H58" i="16"/>
  <c r="R58" i="16"/>
  <c r="T58" i="16"/>
  <c r="D58" i="16"/>
  <c r="J58" i="16"/>
  <c r="P58" i="16"/>
  <c r="B56" i="17"/>
  <c r="D71" i="14"/>
  <c r="E71" i="14" s="1"/>
  <c r="AI65" i="14"/>
  <c r="AM62" i="14"/>
  <c r="AQ60" i="14"/>
  <c r="AS60" i="14" s="1"/>
  <c r="C157" i="20" s="1"/>
  <c r="S157" i="20" s="1"/>
  <c r="AM79" i="14"/>
  <c r="AK78" i="14"/>
  <c r="AK69" i="14"/>
  <c r="AO73" i="14"/>
  <c r="AQ73" i="14" s="1"/>
  <c r="AQ80" i="14"/>
  <c r="AS80" i="14" s="1"/>
  <c r="C177" i="20" s="1"/>
  <c r="S177" i="20" s="1"/>
  <c r="AQ70" i="14"/>
  <c r="AS70" i="14" s="1"/>
  <c r="C167" i="20" s="1"/>
  <c r="S167" i="20" s="1"/>
  <c r="AM59" i="14"/>
  <c r="AO59" i="14" s="1"/>
  <c r="AQ36" i="14"/>
  <c r="AK74" i="14"/>
  <c r="AM74" i="14" s="1"/>
  <c r="AQ56" i="14"/>
  <c r="AS56" i="14" s="1"/>
  <c r="C153" i="20" s="1"/>
  <c r="S153" i="20" s="1"/>
  <c r="W39" i="6"/>
  <c r="E158" i="20" l="1"/>
  <c r="AC158" i="20" s="1"/>
  <c r="AO160" i="20"/>
  <c r="AQ160" i="20" s="1"/>
  <c r="AS160" i="20" s="1"/>
  <c r="AU160" i="20" s="1"/>
  <c r="AW160" i="20" s="1"/>
  <c r="D167" i="20"/>
  <c r="AG167" i="20" s="1"/>
  <c r="AI167" i="20" s="1"/>
  <c r="D172" i="20"/>
  <c r="E172" i="20" s="1"/>
  <c r="AC172" i="20" s="1"/>
  <c r="D157" i="20"/>
  <c r="E157" i="20" s="1"/>
  <c r="AC157" i="20" s="1"/>
  <c r="D177" i="20"/>
  <c r="E177" i="20" s="1"/>
  <c r="AC177" i="20" s="1"/>
  <c r="D153" i="20"/>
  <c r="E153" i="20" s="1"/>
  <c r="AC153" i="20" s="1"/>
  <c r="V122" i="18"/>
  <c r="AI158" i="20"/>
  <c r="X109" i="19"/>
  <c r="E120" i="18"/>
  <c r="U120" i="18" s="1"/>
  <c r="AI109" i="19"/>
  <c r="AK109" i="19" s="1"/>
  <c r="AM109" i="19" s="1"/>
  <c r="C115" i="18"/>
  <c r="D115" i="18" s="1"/>
  <c r="C102" i="19"/>
  <c r="D102" i="19" s="1"/>
  <c r="Y102" i="19" s="1"/>
  <c r="AF152" i="18"/>
  <c r="AF156" i="18" s="1"/>
  <c r="AH143" i="19"/>
  <c r="C119" i="18"/>
  <c r="D119" i="18" s="1"/>
  <c r="W119" i="18" s="1"/>
  <c r="Y119" i="18" s="1"/>
  <c r="AA119" i="18" s="1"/>
  <c r="AC119" i="18" s="1"/>
  <c r="C106" i="19"/>
  <c r="D106" i="19" s="1"/>
  <c r="Y106" i="19" s="1"/>
  <c r="E107" i="19"/>
  <c r="W107" i="19" s="1"/>
  <c r="AA107" i="19"/>
  <c r="AC107" i="19" s="1"/>
  <c r="C129" i="18"/>
  <c r="D129" i="18" s="1"/>
  <c r="W129" i="18" s="1"/>
  <c r="Y129" i="18" s="1"/>
  <c r="AA129" i="18" s="1"/>
  <c r="C116" i="19"/>
  <c r="D116" i="19" s="1"/>
  <c r="Y116" i="19" s="1"/>
  <c r="C134" i="18"/>
  <c r="D134" i="18" s="1"/>
  <c r="W134" i="18" s="1"/>
  <c r="Y134" i="18" s="1"/>
  <c r="C121" i="19"/>
  <c r="D121" i="19" s="1"/>
  <c r="Y121" i="19" s="1"/>
  <c r="C139" i="18"/>
  <c r="D139" i="18" s="1"/>
  <c r="E139" i="18" s="1"/>
  <c r="U139" i="18" s="1"/>
  <c r="C126" i="19"/>
  <c r="AH152" i="18"/>
  <c r="AH156" i="18" s="1"/>
  <c r="AJ143" i="19"/>
  <c r="AE120" i="18"/>
  <c r="AG120" i="18" s="1"/>
  <c r="AM122" i="18"/>
  <c r="AO122" i="18" s="1"/>
  <c r="W115" i="18"/>
  <c r="Y115" i="18" s="1"/>
  <c r="AA115" i="18" s="1"/>
  <c r="E115" i="18"/>
  <c r="U115" i="18" s="1"/>
  <c r="M120" i="18"/>
  <c r="K120" i="18"/>
  <c r="Q71" i="14"/>
  <c r="G71" i="14"/>
  <c r="O71" i="14"/>
  <c r="S71" i="14"/>
  <c r="M71" i="14"/>
  <c r="K71" i="14"/>
  <c r="I71" i="14"/>
  <c r="AS76" i="14"/>
  <c r="C173" i="20" s="1"/>
  <c r="S173" i="20" s="1"/>
  <c r="C56" i="17"/>
  <c r="AA71" i="14"/>
  <c r="AC71" i="14" s="1"/>
  <c r="S56" i="17"/>
  <c r="M56" i="17"/>
  <c r="U56" i="17"/>
  <c r="E56" i="17"/>
  <c r="I56" i="17"/>
  <c r="Q56" i="17"/>
  <c r="K56" i="17"/>
  <c r="O56" i="17"/>
  <c r="G56" i="17"/>
  <c r="AO62" i="14"/>
  <c r="AQ62" i="14" s="1"/>
  <c r="AS62" i="14" s="1"/>
  <c r="C159" i="20" s="1"/>
  <c r="S159" i="20" s="1"/>
  <c r="AK65" i="14"/>
  <c r="AS36" i="14"/>
  <c r="C95" i="18" s="1"/>
  <c r="AO79" i="14"/>
  <c r="AQ79" i="14" s="1"/>
  <c r="AS79" i="14" s="1"/>
  <c r="C176" i="20" s="1"/>
  <c r="S176" i="20" s="1"/>
  <c r="AM78" i="14"/>
  <c r="AO78" i="14" s="1"/>
  <c r="AQ59" i="14"/>
  <c r="AS59" i="14" s="1"/>
  <c r="C156" i="20" s="1"/>
  <c r="S156" i="20" s="1"/>
  <c r="AO74" i="14"/>
  <c r="AQ74" i="14" s="1"/>
  <c r="AM69" i="14"/>
  <c r="AS73" i="14"/>
  <c r="C170" i="20" s="1"/>
  <c r="S170" i="20" s="1"/>
  <c r="AH92" i="14"/>
  <c r="D54" i="6"/>
  <c r="U54" i="6"/>
  <c r="Q158" i="20" l="1"/>
  <c r="G158" i="20"/>
  <c r="K158" i="20"/>
  <c r="W158" i="20"/>
  <c r="AE158" i="20"/>
  <c r="U158" i="20"/>
  <c r="Y158" i="20"/>
  <c r="M158" i="20"/>
  <c r="O158" i="20"/>
  <c r="AY160" i="20"/>
  <c r="BA160" i="20" s="1"/>
  <c r="BC160" i="20" s="1"/>
  <c r="BE160" i="20" s="1"/>
  <c r="AG157" i="20"/>
  <c r="AI157" i="20" s="1"/>
  <c r="AG153" i="20"/>
  <c r="AI153" i="20" s="1"/>
  <c r="E167" i="20"/>
  <c r="AC167" i="20" s="1"/>
  <c r="D176" i="20"/>
  <c r="AG176" i="20" s="1"/>
  <c r="D170" i="20"/>
  <c r="AG170" i="20" s="1"/>
  <c r="AI170" i="20" s="1"/>
  <c r="D159" i="20"/>
  <c r="AG159" i="20" s="1"/>
  <c r="AI159" i="20" s="1"/>
  <c r="D156" i="20"/>
  <c r="E156" i="20" s="1"/>
  <c r="AC156" i="20" s="1"/>
  <c r="AG172" i="20"/>
  <c r="AI172" i="20" s="1"/>
  <c r="AK172" i="20" s="1"/>
  <c r="AG177" i="20"/>
  <c r="AI177" i="20" s="1"/>
  <c r="D173" i="20"/>
  <c r="AG173" i="20" s="1"/>
  <c r="AI173" i="20" s="1"/>
  <c r="I158" i="20"/>
  <c r="AA158" i="20"/>
  <c r="Q120" i="18"/>
  <c r="S120" i="18"/>
  <c r="O120" i="18"/>
  <c r="AK167" i="20"/>
  <c r="AM167" i="20" s="1"/>
  <c r="AO167" i="20" s="1"/>
  <c r="Y172" i="20"/>
  <c r="W172" i="20"/>
  <c r="U172" i="20"/>
  <c r="Q172" i="20"/>
  <c r="M172" i="20"/>
  <c r="G172" i="20"/>
  <c r="AE172" i="20"/>
  <c r="O172" i="20"/>
  <c r="K172" i="20"/>
  <c r="O157" i="20"/>
  <c r="Q157" i="20"/>
  <c r="G157" i="20"/>
  <c r="AE157" i="20"/>
  <c r="Y157" i="20"/>
  <c r="M157" i="20"/>
  <c r="K157" i="20"/>
  <c r="W157" i="20"/>
  <c r="U157" i="20"/>
  <c r="AK158" i="20"/>
  <c r="Y153" i="20"/>
  <c r="AE153" i="20"/>
  <c r="M153" i="20"/>
  <c r="W153" i="20"/>
  <c r="G153" i="20"/>
  <c r="U153" i="20"/>
  <c r="Q153" i="20"/>
  <c r="K153" i="20"/>
  <c r="O153" i="20"/>
  <c r="I120" i="18"/>
  <c r="V120" i="18" s="1"/>
  <c r="Y177" i="20"/>
  <c r="Q177" i="20"/>
  <c r="O177" i="20"/>
  <c r="G177" i="20"/>
  <c r="AE177" i="20"/>
  <c r="U177" i="20"/>
  <c r="W177" i="20"/>
  <c r="K177" i="20"/>
  <c r="M177" i="20"/>
  <c r="G120" i="18"/>
  <c r="W139" i="18"/>
  <c r="Y139" i="18" s="1"/>
  <c r="E119" i="18"/>
  <c r="U119" i="18" s="1"/>
  <c r="AO109" i="19"/>
  <c r="AQ109" i="19" s="1"/>
  <c r="AS109" i="19" s="1"/>
  <c r="E134" i="18"/>
  <c r="U134" i="18" s="1"/>
  <c r="E116" i="19"/>
  <c r="W116" i="19" s="1"/>
  <c r="AA116" i="19"/>
  <c r="AC116" i="19" s="1"/>
  <c r="C121" i="18"/>
  <c r="D121" i="18" s="1"/>
  <c r="W121" i="18" s="1"/>
  <c r="Y121" i="18" s="1"/>
  <c r="C108" i="19"/>
  <c r="D108" i="19" s="1"/>
  <c r="Y108" i="19" s="1"/>
  <c r="G107" i="19"/>
  <c r="Q107" i="19"/>
  <c r="M107" i="19"/>
  <c r="I107" i="19"/>
  <c r="K107" i="19"/>
  <c r="U107" i="19"/>
  <c r="S107" i="19"/>
  <c r="O107" i="19"/>
  <c r="C132" i="18"/>
  <c r="D132" i="18" s="1"/>
  <c r="W132" i="18" s="1"/>
  <c r="Y132" i="18" s="1"/>
  <c r="C119" i="19"/>
  <c r="D119" i="19" s="1"/>
  <c r="Y119" i="19" s="1"/>
  <c r="D126" i="19"/>
  <c r="Y126" i="19" s="1"/>
  <c r="AJ152" i="18"/>
  <c r="AJ156" i="18" s="1"/>
  <c r="AL143" i="19"/>
  <c r="C118" i="18"/>
  <c r="D118" i="18" s="1"/>
  <c r="W118" i="18" s="1"/>
  <c r="Y118" i="18" s="1"/>
  <c r="C105" i="19"/>
  <c r="D105" i="19" s="1"/>
  <c r="Y105" i="19" s="1"/>
  <c r="C135" i="18"/>
  <c r="D135" i="18" s="1"/>
  <c r="W135" i="18" s="1"/>
  <c r="Y135" i="18" s="1"/>
  <c r="AA135" i="18" s="1"/>
  <c r="AC135" i="18" s="1"/>
  <c r="AE135" i="18" s="1"/>
  <c r="C122" i="19"/>
  <c r="D122" i="19" s="1"/>
  <c r="Y122" i="19" s="1"/>
  <c r="AA121" i="19"/>
  <c r="AC121" i="19" s="1"/>
  <c r="E121" i="19"/>
  <c r="W121" i="19" s="1"/>
  <c r="C138" i="18"/>
  <c r="D138" i="18" s="1"/>
  <c r="W138" i="18" s="1"/>
  <c r="Y138" i="18" s="1"/>
  <c r="C125" i="19"/>
  <c r="D125" i="19" s="1"/>
  <c r="Y125" i="19" s="1"/>
  <c r="E129" i="18"/>
  <c r="U129" i="18" s="1"/>
  <c r="AE107" i="19"/>
  <c r="AG107" i="19" s="1"/>
  <c r="AI107" i="19" s="1"/>
  <c r="AK107" i="19" s="1"/>
  <c r="AA102" i="19"/>
  <c r="E102" i="19"/>
  <c r="W102" i="19" s="1"/>
  <c r="AA106" i="19"/>
  <c r="AC106" i="19" s="1"/>
  <c r="E106" i="19"/>
  <c r="W106" i="19" s="1"/>
  <c r="AA134" i="18"/>
  <c r="AC134" i="18" s="1"/>
  <c r="AE119" i="18"/>
  <c r="AG119" i="18" s="1"/>
  <c r="AI120" i="18"/>
  <c r="AK120" i="18" s="1"/>
  <c r="AM120" i="18" s="1"/>
  <c r="G115" i="18"/>
  <c r="S115" i="18"/>
  <c r="Q115" i="18"/>
  <c r="K115" i="18"/>
  <c r="O115" i="18"/>
  <c r="M115" i="18"/>
  <c r="I115" i="18"/>
  <c r="O119" i="18"/>
  <c r="S119" i="18"/>
  <c r="I119" i="18"/>
  <c r="Q139" i="18"/>
  <c r="I139" i="18"/>
  <c r="O139" i="18"/>
  <c r="G139" i="18"/>
  <c r="M139" i="18"/>
  <c r="S139" i="18"/>
  <c r="K139" i="18"/>
  <c r="D95" i="18"/>
  <c r="AC129" i="18"/>
  <c r="AE129" i="18" s="1"/>
  <c r="AC115" i="18"/>
  <c r="AQ122" i="18"/>
  <c r="AS122" i="18" s="1"/>
  <c r="T71" i="14"/>
  <c r="AE71" i="14"/>
  <c r="AG71" i="14" s="1"/>
  <c r="AI71" i="14" s="1"/>
  <c r="AK71" i="14" s="1"/>
  <c r="AM65" i="14"/>
  <c r="AQ78" i="14"/>
  <c r="AS78" i="14" s="1"/>
  <c r="C175" i="20" s="1"/>
  <c r="S175" i="20" s="1"/>
  <c r="AS74" i="14"/>
  <c r="C171" i="20" s="1"/>
  <c r="S171" i="20" s="1"/>
  <c r="AO69" i="14"/>
  <c r="AQ69" i="14" s="1"/>
  <c r="AJ92" i="14"/>
  <c r="AC27" i="6"/>
  <c r="C55" i="14" s="1"/>
  <c r="B42" i="16" s="1"/>
  <c r="U42" i="16" s="1"/>
  <c r="AF158" i="20" l="1"/>
  <c r="O167" i="20"/>
  <c r="AE167" i="20"/>
  <c r="E170" i="20"/>
  <c r="AC170" i="20" s="1"/>
  <c r="Y167" i="20"/>
  <c r="Q167" i="20"/>
  <c r="M167" i="20"/>
  <c r="AK157" i="20"/>
  <c r="AM157" i="20" s="1"/>
  <c r="AO157" i="20" s="1"/>
  <c r="AQ157" i="20" s="1"/>
  <c r="AS157" i="20" s="1"/>
  <c r="G167" i="20"/>
  <c r="E176" i="20"/>
  <c r="AC176" i="20" s="1"/>
  <c r="K167" i="20"/>
  <c r="AA167" i="20" s="1"/>
  <c r="U167" i="20"/>
  <c r="E159" i="20"/>
  <c r="AC159" i="20" s="1"/>
  <c r="W167" i="20"/>
  <c r="E173" i="20"/>
  <c r="AC173" i="20" s="1"/>
  <c r="AM172" i="20"/>
  <c r="AO172" i="20" s="1"/>
  <c r="AQ172" i="20" s="1"/>
  <c r="AG156" i="20"/>
  <c r="AI156" i="20" s="1"/>
  <c r="AK156" i="20" s="1"/>
  <c r="AM156" i="20" s="1"/>
  <c r="D171" i="20"/>
  <c r="AG171" i="20" s="1"/>
  <c r="AI171" i="20" s="1"/>
  <c r="D175" i="20"/>
  <c r="E175" i="20" s="1"/>
  <c r="AC175" i="20" s="1"/>
  <c r="I157" i="20"/>
  <c r="AA157" i="20"/>
  <c r="I153" i="20"/>
  <c r="AA153" i="20"/>
  <c r="I172" i="20"/>
  <c r="AA172" i="20"/>
  <c r="I177" i="20"/>
  <c r="AA177" i="20"/>
  <c r="AK159" i="20"/>
  <c r="Q119" i="18"/>
  <c r="AK170" i="20"/>
  <c r="AM170" i="20" s="1"/>
  <c r="AO170" i="20" s="1"/>
  <c r="AI176" i="20"/>
  <c r="AF157" i="20"/>
  <c r="AQ167" i="20"/>
  <c r="AS167" i="20" s="1"/>
  <c r="AF172" i="20"/>
  <c r="Q156" i="20"/>
  <c r="M156" i="20"/>
  <c r="K156" i="20"/>
  <c r="AE156" i="20"/>
  <c r="U156" i="20"/>
  <c r="Y156" i="20"/>
  <c r="W156" i="20"/>
  <c r="G156" i="20"/>
  <c r="O156" i="20"/>
  <c r="AK177" i="20"/>
  <c r="AF153" i="20"/>
  <c r="AK173" i="20"/>
  <c r="I134" i="18"/>
  <c r="AF177" i="20"/>
  <c r="AM158" i="20"/>
  <c r="AK153" i="20"/>
  <c r="K119" i="18"/>
  <c r="M119" i="18"/>
  <c r="G119" i="18"/>
  <c r="X107" i="19"/>
  <c r="E135" i="18"/>
  <c r="U135" i="18" s="1"/>
  <c r="AA139" i="18"/>
  <c r="AC139" i="18" s="1"/>
  <c r="G129" i="18"/>
  <c r="O129" i="18"/>
  <c r="I129" i="18"/>
  <c r="K129" i="18"/>
  <c r="G134" i="18"/>
  <c r="M129" i="18"/>
  <c r="O134" i="18"/>
  <c r="E118" i="18"/>
  <c r="U118" i="18" s="1"/>
  <c r="S129" i="18"/>
  <c r="S134" i="18"/>
  <c r="Q134" i="18"/>
  <c r="M134" i="18"/>
  <c r="K134" i="18"/>
  <c r="Q129" i="18"/>
  <c r="E121" i="18"/>
  <c r="U121" i="18" s="1"/>
  <c r="AU109" i="19"/>
  <c r="AW109" i="19" s="1"/>
  <c r="AE106" i="19"/>
  <c r="AG106" i="19" s="1"/>
  <c r="AI106" i="19" s="1"/>
  <c r="AK106" i="19" s="1"/>
  <c r="AC102" i="19"/>
  <c r="AE121" i="19"/>
  <c r="AG121" i="19" s="1"/>
  <c r="AM107" i="19"/>
  <c r="E119" i="19"/>
  <c r="W119" i="19" s="1"/>
  <c r="AA119" i="19"/>
  <c r="K102" i="19"/>
  <c r="M102" i="19"/>
  <c r="I102" i="19"/>
  <c r="U102" i="19"/>
  <c r="S102" i="19"/>
  <c r="Q102" i="19"/>
  <c r="O102" i="19"/>
  <c r="G102" i="19"/>
  <c r="I121" i="19"/>
  <c r="K121" i="19"/>
  <c r="G121" i="19"/>
  <c r="U121" i="19"/>
  <c r="S121" i="19"/>
  <c r="O121" i="19"/>
  <c r="M121" i="19"/>
  <c r="Q121" i="19"/>
  <c r="E108" i="19"/>
  <c r="W108" i="19" s="1"/>
  <c r="AA108" i="19"/>
  <c r="AC108" i="19" s="1"/>
  <c r="AE116" i="19"/>
  <c r="AL152" i="18"/>
  <c r="AL156" i="18" s="1"/>
  <c r="AN143" i="19"/>
  <c r="E105" i="19"/>
  <c r="W105" i="19" s="1"/>
  <c r="AA105" i="19"/>
  <c r="E138" i="18"/>
  <c r="U138" i="18" s="1"/>
  <c r="C137" i="18"/>
  <c r="D137" i="18" s="1"/>
  <c r="W137" i="18" s="1"/>
  <c r="Y137" i="18" s="1"/>
  <c r="C124" i="19"/>
  <c r="D124" i="19" s="1"/>
  <c r="Y124" i="19" s="1"/>
  <c r="E126" i="19"/>
  <c r="W126" i="19" s="1"/>
  <c r="C133" i="18"/>
  <c r="D133" i="18" s="1"/>
  <c r="E133" i="18" s="1"/>
  <c r="U133" i="18" s="1"/>
  <c r="C120" i="19"/>
  <c r="D120" i="19" s="1"/>
  <c r="Y120" i="19" s="1"/>
  <c r="E132" i="18"/>
  <c r="U132" i="18" s="1"/>
  <c r="G106" i="19"/>
  <c r="O106" i="19"/>
  <c r="U106" i="19"/>
  <c r="Q106" i="19"/>
  <c r="K106" i="19"/>
  <c r="I106" i="19"/>
  <c r="M106" i="19"/>
  <c r="S106" i="19"/>
  <c r="AA122" i="19"/>
  <c r="E122" i="19"/>
  <c r="W122" i="19" s="1"/>
  <c r="M116" i="19"/>
  <c r="I116" i="19"/>
  <c r="U116" i="19"/>
  <c r="S116" i="19"/>
  <c r="G116" i="19"/>
  <c r="K116" i="19"/>
  <c r="Q116" i="19"/>
  <c r="O116" i="19"/>
  <c r="AA125" i="19"/>
  <c r="E125" i="19"/>
  <c r="W125" i="19" s="1"/>
  <c r="V139" i="18"/>
  <c r="V115" i="18"/>
  <c r="AE134" i="18"/>
  <c r="AG134" i="18" s="1"/>
  <c r="AA132" i="18"/>
  <c r="AC132" i="18" s="1"/>
  <c r="AE132" i="18" s="1"/>
  <c r="AO120" i="18"/>
  <c r="AQ120" i="18" s="1"/>
  <c r="AS120" i="18" s="1"/>
  <c r="AU120" i="18" s="1"/>
  <c r="AG129" i="18"/>
  <c r="AI129" i="18" s="1"/>
  <c r="AK129" i="18" s="1"/>
  <c r="AG135" i="18"/>
  <c r="AI135" i="18" s="1"/>
  <c r="AK135" i="18" s="1"/>
  <c r="AM135" i="18" s="1"/>
  <c r="AA118" i="18"/>
  <c r="AC118" i="18" s="1"/>
  <c r="AA138" i="18"/>
  <c r="AA121" i="18"/>
  <c r="AC121" i="18" s="1"/>
  <c r="AU122" i="18"/>
  <c r="W95" i="18"/>
  <c r="AE115" i="18"/>
  <c r="M135" i="18"/>
  <c r="S135" i="18"/>
  <c r="K135" i="18"/>
  <c r="Q135" i="18"/>
  <c r="AI119" i="18"/>
  <c r="AK119" i="18" s="1"/>
  <c r="N42" i="16"/>
  <c r="F42" i="16"/>
  <c r="J42" i="16"/>
  <c r="L42" i="16"/>
  <c r="P42" i="16"/>
  <c r="R42" i="16"/>
  <c r="T42" i="16"/>
  <c r="D42" i="16"/>
  <c r="H42" i="16"/>
  <c r="B40" i="17"/>
  <c r="D55" i="14"/>
  <c r="E55" i="14" s="1"/>
  <c r="C84" i="14"/>
  <c r="B2" i="16" s="1"/>
  <c r="AO65" i="14"/>
  <c r="AM71" i="14"/>
  <c r="AS69" i="14"/>
  <c r="C166" i="20" s="1"/>
  <c r="S166" i="20" s="1"/>
  <c r="W86" i="14"/>
  <c r="W91" i="14" s="1"/>
  <c r="AL92" i="14"/>
  <c r="U3" i="6"/>
  <c r="O170" i="20" l="1"/>
  <c r="Q170" i="20"/>
  <c r="W170" i="20"/>
  <c r="U170" i="20"/>
  <c r="G170" i="20"/>
  <c r="K170" i="20"/>
  <c r="I170" i="20" s="1"/>
  <c r="AE170" i="20"/>
  <c r="M170" i="20"/>
  <c r="U159" i="20"/>
  <c r="Y170" i="20"/>
  <c r="W159" i="20"/>
  <c r="K159" i="20"/>
  <c r="AA159" i="20" s="1"/>
  <c r="W176" i="20"/>
  <c r="M159" i="20"/>
  <c r="O159" i="20"/>
  <c r="M176" i="20"/>
  <c r="Q176" i="20"/>
  <c r="I167" i="20"/>
  <c r="O176" i="20"/>
  <c r="G176" i="20"/>
  <c r="K176" i="20"/>
  <c r="I176" i="20" s="1"/>
  <c r="AF167" i="20"/>
  <c r="U176" i="20"/>
  <c r="AU157" i="20"/>
  <c r="AW157" i="20" s="1"/>
  <c r="AY157" i="20" s="1"/>
  <c r="BA157" i="20" s="1"/>
  <c r="BC157" i="20" s="1"/>
  <c r="AE176" i="20"/>
  <c r="Y176" i="20"/>
  <c r="Y159" i="20"/>
  <c r="AS172" i="20"/>
  <c r="AU172" i="20" s="1"/>
  <c r="Q159" i="20"/>
  <c r="W173" i="20"/>
  <c r="O173" i="20"/>
  <c r="G159" i="20"/>
  <c r="M173" i="20"/>
  <c r="AE159" i="20"/>
  <c r="E171" i="20"/>
  <c r="AC171" i="20" s="1"/>
  <c r="AE173" i="20"/>
  <c r="Y173" i="20"/>
  <c r="K173" i="20"/>
  <c r="AA173" i="20" s="1"/>
  <c r="G173" i="20"/>
  <c r="Q173" i="20"/>
  <c r="U173" i="20"/>
  <c r="AG175" i="20"/>
  <c r="AI175" i="20" s="1"/>
  <c r="D166" i="20"/>
  <c r="E166" i="20" s="1"/>
  <c r="AC166" i="20" s="1"/>
  <c r="I156" i="20"/>
  <c r="AA156" i="20"/>
  <c r="AU167" i="20"/>
  <c r="AW167" i="20" s="1"/>
  <c r="AY167" i="20" s="1"/>
  <c r="BA167" i="20" s="1"/>
  <c r="AK176" i="20"/>
  <c r="AM176" i="20" s="1"/>
  <c r="AO176" i="20" s="1"/>
  <c r="AQ176" i="20" s="1"/>
  <c r="AM159" i="20"/>
  <c r="AQ170" i="20"/>
  <c r="AK171" i="20"/>
  <c r="AM171" i="20" s="1"/>
  <c r="AM153" i="20"/>
  <c r="AM173" i="20"/>
  <c r="AO173" i="20" s="1"/>
  <c r="AQ173" i="20" s="1"/>
  <c r="AF156" i="20"/>
  <c r="U175" i="20"/>
  <c r="AE175" i="20"/>
  <c r="G175" i="20"/>
  <c r="M175" i="20"/>
  <c r="W175" i="20"/>
  <c r="Y175" i="20"/>
  <c r="K175" i="20"/>
  <c r="O175" i="20"/>
  <c r="Q175" i="20"/>
  <c r="AM177" i="20"/>
  <c r="AO158" i="20"/>
  <c r="G135" i="18"/>
  <c r="AO156" i="20"/>
  <c r="AQ156" i="20" s="1"/>
  <c r="O135" i="18"/>
  <c r="V135" i="18" s="1"/>
  <c r="I135" i="18"/>
  <c r="O118" i="18"/>
  <c r="I118" i="18"/>
  <c r="Q118" i="18"/>
  <c r="V119" i="18"/>
  <c r="AE139" i="18"/>
  <c r="AG139" i="18" s="1"/>
  <c r="M118" i="18"/>
  <c r="W133" i="18"/>
  <c r="Y133" i="18" s="1"/>
  <c r="AA133" i="18" s="1"/>
  <c r="G118" i="18"/>
  <c r="X121" i="19"/>
  <c r="X102" i="19"/>
  <c r="X106" i="19"/>
  <c r="X116" i="19"/>
  <c r="K118" i="18"/>
  <c r="S118" i="18"/>
  <c r="Q121" i="18"/>
  <c r="G121" i="18"/>
  <c r="S121" i="18"/>
  <c r="O121" i="18"/>
  <c r="K138" i="18"/>
  <c r="S138" i="18"/>
  <c r="M132" i="18"/>
  <c r="I132" i="18"/>
  <c r="K132" i="18"/>
  <c r="G132" i="18"/>
  <c r="I138" i="18"/>
  <c r="V129" i="18"/>
  <c r="V134" i="18"/>
  <c r="G138" i="18"/>
  <c r="M121" i="18"/>
  <c r="S132" i="18"/>
  <c r="O138" i="18"/>
  <c r="K121" i="18"/>
  <c r="O132" i="18"/>
  <c r="Q138" i="18"/>
  <c r="AC125" i="19"/>
  <c r="AE125" i="19" s="1"/>
  <c r="AG125" i="19" s="1"/>
  <c r="E137" i="18"/>
  <c r="U137" i="18" s="1"/>
  <c r="M138" i="18"/>
  <c r="I121" i="18"/>
  <c r="Q132" i="18"/>
  <c r="AC105" i="19"/>
  <c r="AE105" i="19" s="1"/>
  <c r="AO107" i="19"/>
  <c r="AE108" i="19"/>
  <c r="AG108" i="19" s="1"/>
  <c r="AI108" i="19" s="1"/>
  <c r="AE102" i="19"/>
  <c r="AG116" i="19"/>
  <c r="AM106" i="19"/>
  <c r="AO106" i="19" s="1"/>
  <c r="G108" i="19"/>
  <c r="S108" i="19"/>
  <c r="U108" i="19"/>
  <c r="Q108" i="19"/>
  <c r="O108" i="19"/>
  <c r="I108" i="19"/>
  <c r="M108" i="19"/>
  <c r="K108" i="19"/>
  <c r="AI121" i="19"/>
  <c r="AK121" i="19" s="1"/>
  <c r="AM121" i="19" s="1"/>
  <c r="M105" i="19"/>
  <c r="I105" i="19"/>
  <c r="S105" i="19"/>
  <c r="K105" i="19"/>
  <c r="G105" i="19"/>
  <c r="U105" i="19"/>
  <c r="O105" i="19"/>
  <c r="Q105" i="19"/>
  <c r="E120" i="19"/>
  <c r="W120" i="19" s="1"/>
  <c r="AA124" i="19"/>
  <c r="AC124" i="19" s="1"/>
  <c r="AE124" i="19" s="1"/>
  <c r="AG124" i="19" s="1"/>
  <c r="AI124" i="19" s="1"/>
  <c r="E124" i="19"/>
  <c r="W124" i="19" s="1"/>
  <c r="AC119" i="19"/>
  <c r="Q122" i="19"/>
  <c r="M122" i="19"/>
  <c r="K122" i="19"/>
  <c r="O122" i="19"/>
  <c r="I122" i="19"/>
  <c r="G122" i="19"/>
  <c r="U122" i="19"/>
  <c r="S122" i="19"/>
  <c r="I125" i="19"/>
  <c r="S125" i="19"/>
  <c r="O125" i="19"/>
  <c r="M125" i="19"/>
  <c r="K125" i="19"/>
  <c r="G125" i="19"/>
  <c r="Q125" i="19"/>
  <c r="U125" i="19"/>
  <c r="AC122" i="19"/>
  <c r="AA126" i="19"/>
  <c r="AN152" i="18"/>
  <c r="AN156" i="18" s="1"/>
  <c r="AP143" i="19"/>
  <c r="C128" i="18"/>
  <c r="D128" i="18" s="1"/>
  <c r="W128" i="18" s="1"/>
  <c r="Y128" i="18" s="1"/>
  <c r="C115" i="19"/>
  <c r="D115" i="19" s="1"/>
  <c r="Y115" i="19" s="1"/>
  <c r="I126" i="19"/>
  <c r="Q126" i="19"/>
  <c r="U126" i="19"/>
  <c r="S126" i="19"/>
  <c r="O126" i="19"/>
  <c r="G126" i="19"/>
  <c r="M126" i="19"/>
  <c r="K126" i="19"/>
  <c r="G119" i="19"/>
  <c r="O119" i="19"/>
  <c r="S119" i="19"/>
  <c r="U119" i="19"/>
  <c r="I119" i="19"/>
  <c r="Q119" i="19"/>
  <c r="M119" i="19"/>
  <c r="K119" i="19"/>
  <c r="AG132" i="18"/>
  <c r="AI132" i="18" s="1"/>
  <c r="AI134" i="18"/>
  <c r="AK134" i="18" s="1"/>
  <c r="AM119" i="18"/>
  <c r="AO119" i="18" s="1"/>
  <c r="AQ119" i="18" s="1"/>
  <c r="AS119" i="18" s="1"/>
  <c r="AU119" i="18" s="1"/>
  <c r="AO135" i="18"/>
  <c r="AQ135" i="18" s="1"/>
  <c r="AS135" i="18" s="1"/>
  <c r="AE118" i="18"/>
  <c r="AG118" i="18" s="1"/>
  <c r="AI118" i="18" s="1"/>
  <c r="AG115" i="18"/>
  <c r="AI115" i="18" s="1"/>
  <c r="AM129" i="18"/>
  <c r="AO129" i="18" s="1"/>
  <c r="Y95" i="18"/>
  <c r="AE121" i="18"/>
  <c r="AG121" i="18" s="1"/>
  <c r="AA137" i="18"/>
  <c r="AC137" i="18" s="1"/>
  <c r="AE137" i="18" s="1"/>
  <c r="AC138" i="18"/>
  <c r="I133" i="18"/>
  <c r="G133" i="18"/>
  <c r="M133" i="18"/>
  <c r="S133" i="18"/>
  <c r="K133" i="18"/>
  <c r="Q133" i="18"/>
  <c r="O133" i="18"/>
  <c r="K55" i="14"/>
  <c r="G55" i="14"/>
  <c r="S55" i="14"/>
  <c r="Q55" i="14"/>
  <c r="O55" i="14"/>
  <c r="M55" i="14"/>
  <c r="I55" i="14"/>
  <c r="E84" i="14"/>
  <c r="S1" i="16"/>
  <c r="C1" i="16"/>
  <c r="B1" i="16"/>
  <c r="Q1" i="16"/>
  <c r="O1" i="16"/>
  <c r="M1" i="16"/>
  <c r="K1" i="16"/>
  <c r="I1" i="16"/>
  <c r="G1" i="16"/>
  <c r="E1" i="16"/>
  <c r="Q40" i="17"/>
  <c r="M40" i="17"/>
  <c r="I40" i="17"/>
  <c r="G40" i="17"/>
  <c r="S40" i="17"/>
  <c r="U40" i="17"/>
  <c r="E40" i="17"/>
  <c r="O40" i="17"/>
  <c r="K40" i="17"/>
  <c r="B68" i="17"/>
  <c r="C40" i="17"/>
  <c r="D84" i="14"/>
  <c r="AQ65" i="14"/>
  <c r="AS65" i="14" s="1"/>
  <c r="C162" i="20" s="1"/>
  <c r="S162" i="20" s="1"/>
  <c r="AO71" i="14"/>
  <c r="AN92" i="14"/>
  <c r="U48" i="6"/>
  <c r="W48" i="6" s="1"/>
  <c r="U50" i="6"/>
  <c r="AA170" i="20" l="1"/>
  <c r="AF170" i="20"/>
  <c r="I159" i="20"/>
  <c r="AA176" i="20"/>
  <c r="AF176" i="20"/>
  <c r="Y171" i="20"/>
  <c r="AF159" i="20"/>
  <c r="AW172" i="20"/>
  <c r="AY172" i="20" s="1"/>
  <c r="BA172" i="20" s="1"/>
  <c r="U171" i="20"/>
  <c r="K171" i="20"/>
  <c r="I171" i="20" s="1"/>
  <c r="AK175" i="20"/>
  <c r="AM175" i="20" s="1"/>
  <c r="O171" i="20"/>
  <c r="AE171" i="20"/>
  <c r="M171" i="20"/>
  <c r="Q171" i="20"/>
  <c r="G171" i="20"/>
  <c r="W171" i="20"/>
  <c r="I173" i="20"/>
  <c r="AF173" i="20"/>
  <c r="AG166" i="20"/>
  <c r="AI166" i="20" s="1"/>
  <c r="AK166" i="20" s="1"/>
  <c r="AO171" i="20"/>
  <c r="AQ171" i="20" s="1"/>
  <c r="AS171" i="20" s="1"/>
  <c r="AS173" i="20"/>
  <c r="AU173" i="20" s="1"/>
  <c r="D162" i="20"/>
  <c r="AG162" i="20" s="1"/>
  <c r="AI162" i="20" s="1"/>
  <c r="AK162" i="20" s="1"/>
  <c r="I175" i="20"/>
  <c r="AA175" i="20"/>
  <c r="BC167" i="20"/>
  <c r="BE167" i="20" s="1"/>
  <c r="AO159" i="20"/>
  <c r="AS176" i="20"/>
  <c r="AU176" i="20" s="1"/>
  <c r="AW176" i="20" s="1"/>
  <c r="AF175" i="20"/>
  <c r="AQ158" i="20"/>
  <c r="AS170" i="20"/>
  <c r="BE157" i="20"/>
  <c r="AS156" i="20"/>
  <c r="AO177" i="20"/>
  <c r="AO153" i="20"/>
  <c r="AQ153" i="20" s="1"/>
  <c r="Q166" i="20"/>
  <c r="AE166" i="20"/>
  <c r="W166" i="20"/>
  <c r="K166" i="20"/>
  <c r="M166" i="20"/>
  <c r="G166" i="20"/>
  <c r="Y166" i="20"/>
  <c r="O166" i="20"/>
  <c r="U166" i="20"/>
  <c r="AC133" i="18"/>
  <c r="AE133" i="18" s="1"/>
  <c r="AG133" i="18" s="1"/>
  <c r="V118" i="18"/>
  <c r="X126" i="19"/>
  <c r="X125" i="19"/>
  <c r="V121" i="18"/>
  <c r="X122" i="19"/>
  <c r="X108" i="19"/>
  <c r="X119" i="19"/>
  <c r="X105" i="19"/>
  <c r="V132" i="18"/>
  <c r="V138" i="18"/>
  <c r="E128" i="18"/>
  <c r="U128" i="18" s="1"/>
  <c r="G137" i="18"/>
  <c r="AG105" i="19"/>
  <c r="AI105" i="19" s="1"/>
  <c r="K137" i="18"/>
  <c r="S137" i="18"/>
  <c r="M137" i="18"/>
  <c r="I137" i="18"/>
  <c r="Q137" i="18"/>
  <c r="O137" i="18"/>
  <c r="AE122" i="19"/>
  <c r="AG122" i="19" s="1"/>
  <c r="AK108" i="19"/>
  <c r="AM108" i="19" s="1"/>
  <c r="AO108" i="19" s="1"/>
  <c r="AQ106" i="19"/>
  <c r="AS106" i="19" s="1"/>
  <c r="AU106" i="19" s="1"/>
  <c r="AG102" i="19"/>
  <c r="AK124" i="19"/>
  <c r="AM124" i="19" s="1"/>
  <c r="AI125" i="19"/>
  <c r="AK125" i="19" s="1"/>
  <c r="AM125" i="19" s="1"/>
  <c r="AO121" i="19"/>
  <c r="U124" i="19"/>
  <c r="Q124" i="19"/>
  <c r="O124" i="19"/>
  <c r="K124" i="19"/>
  <c r="M124" i="19"/>
  <c r="I124" i="19"/>
  <c r="G124" i="19"/>
  <c r="S124" i="19"/>
  <c r="AI116" i="19"/>
  <c r="AC126" i="19"/>
  <c r="C124" i="18"/>
  <c r="D124" i="18" s="1"/>
  <c r="W124" i="18" s="1"/>
  <c r="Y124" i="18" s="1"/>
  <c r="AA124" i="18" s="1"/>
  <c r="C111" i="19"/>
  <c r="D111" i="19" s="1"/>
  <c r="Y111" i="19" s="1"/>
  <c r="AQ107" i="19"/>
  <c r="AS107" i="19" s="1"/>
  <c r="AU107" i="19" s="1"/>
  <c r="AA115" i="19"/>
  <c r="E115" i="19"/>
  <c r="W115" i="19" s="1"/>
  <c r="AA120" i="19"/>
  <c r="AE119" i="19"/>
  <c r="AP152" i="18"/>
  <c r="AP156" i="18" s="1"/>
  <c r="AR143" i="19"/>
  <c r="G120" i="19"/>
  <c r="O120" i="19"/>
  <c r="U120" i="19"/>
  <c r="Q120" i="19"/>
  <c r="S120" i="19"/>
  <c r="K120" i="19"/>
  <c r="M120" i="19"/>
  <c r="I120" i="19"/>
  <c r="AK132" i="18"/>
  <c r="AM132" i="18" s="1"/>
  <c r="AO132" i="18" s="1"/>
  <c r="AQ132" i="18" s="1"/>
  <c r="AS132" i="18" s="1"/>
  <c r="AU132" i="18" s="1"/>
  <c r="V133" i="18"/>
  <c r="AM134" i="18"/>
  <c r="AO134" i="18" s="1"/>
  <c r="AK118" i="18"/>
  <c r="AM118" i="18" s="1"/>
  <c r="AO118" i="18" s="1"/>
  <c r="AQ118" i="18" s="1"/>
  <c r="AU135" i="18"/>
  <c r="AQ129" i="18"/>
  <c r="AS129" i="18" s="1"/>
  <c r="AU129" i="18" s="1"/>
  <c r="AK115" i="18"/>
  <c r="AM115" i="18" s="1"/>
  <c r="AA128" i="18"/>
  <c r="AC128" i="18" s="1"/>
  <c r="AI139" i="18"/>
  <c r="AG137" i="18"/>
  <c r="AI137" i="18" s="1"/>
  <c r="AI121" i="18"/>
  <c r="AK121" i="18" s="1"/>
  <c r="AM121" i="18" s="1"/>
  <c r="O128" i="18"/>
  <c r="G128" i="18"/>
  <c r="M128" i="18"/>
  <c r="S128" i="18"/>
  <c r="K128" i="18"/>
  <c r="Q128" i="18"/>
  <c r="AA95" i="18"/>
  <c r="AE138" i="18"/>
  <c r="AI133" i="18"/>
  <c r="T55" i="14"/>
  <c r="I84" i="14"/>
  <c r="K84" i="14"/>
  <c r="Q84" i="14"/>
  <c r="G84" i="14"/>
  <c r="O84" i="14"/>
  <c r="S84" i="14"/>
  <c r="M84" i="14"/>
  <c r="C68" i="17"/>
  <c r="G68" i="17"/>
  <c r="Q68" i="17"/>
  <c r="M68" i="17"/>
  <c r="U68" i="17"/>
  <c r="E68" i="17"/>
  <c r="O68" i="17"/>
  <c r="K68" i="17"/>
  <c r="S68" i="17"/>
  <c r="I68" i="17"/>
  <c r="AQ71" i="14"/>
  <c r="AS71" i="14" s="1"/>
  <c r="C168" i="20" s="1"/>
  <c r="S168" i="20" s="1"/>
  <c r="Y86" i="14"/>
  <c r="Y91" i="14" s="1"/>
  <c r="AP92" i="14"/>
  <c r="W50" i="6"/>
  <c r="AO175" i="20" l="1"/>
  <c r="AQ175" i="20" s="1"/>
  <c r="BC172" i="20"/>
  <c r="BE172" i="20" s="1"/>
  <c r="AA171" i="20"/>
  <c r="AM166" i="20"/>
  <c r="AO166" i="20" s="1"/>
  <c r="AQ166" i="20" s="1"/>
  <c r="AS166" i="20" s="1"/>
  <c r="AU166" i="20" s="1"/>
  <c r="AW166" i="20" s="1"/>
  <c r="AY166" i="20" s="1"/>
  <c r="BA166" i="20" s="1"/>
  <c r="AF171" i="20"/>
  <c r="AW173" i="20"/>
  <c r="AY173" i="20" s="1"/>
  <c r="BA173" i="20" s="1"/>
  <c r="BC173" i="20" s="1"/>
  <c r="BE173" i="20" s="1"/>
  <c r="E162" i="20"/>
  <c r="AC162" i="20" s="1"/>
  <c r="D168" i="20"/>
  <c r="E168" i="20" s="1"/>
  <c r="AC168" i="20" s="1"/>
  <c r="AU171" i="20"/>
  <c r="AW171" i="20" s="1"/>
  <c r="AY171" i="20" s="1"/>
  <c r="BA171" i="20" s="1"/>
  <c r="BC171" i="20" s="1"/>
  <c r="I166" i="20"/>
  <c r="AA166" i="20"/>
  <c r="AY176" i="20"/>
  <c r="BA176" i="20" s="1"/>
  <c r="AQ159" i="20"/>
  <c r="AS159" i="20" s="1"/>
  <c r="AU159" i="20" s="1"/>
  <c r="AW159" i="20" s="1"/>
  <c r="AY159" i="20" s="1"/>
  <c r="AS153" i="20"/>
  <c r="AU153" i="20" s="1"/>
  <c r="AU170" i="20"/>
  <c r="AM162" i="20"/>
  <c r="AO162" i="20" s="1"/>
  <c r="AQ162" i="20" s="1"/>
  <c r="AS158" i="20"/>
  <c r="I128" i="18"/>
  <c r="V128" i="18" s="1"/>
  <c r="AQ177" i="20"/>
  <c r="AF166" i="20"/>
  <c r="AU156" i="20"/>
  <c r="E124" i="18"/>
  <c r="U124" i="18" s="1"/>
  <c r="X124" i="19"/>
  <c r="X120" i="19"/>
  <c r="AK105" i="19"/>
  <c r="AM105" i="19" s="1"/>
  <c r="AO105" i="19" s="1"/>
  <c r="V137" i="18"/>
  <c r="AW107" i="19"/>
  <c r="AC115" i="19"/>
  <c r="AE115" i="19" s="1"/>
  <c r="AI122" i="19"/>
  <c r="AO125" i="19"/>
  <c r="AQ125" i="19" s="1"/>
  <c r="AS125" i="19" s="1"/>
  <c r="AU125" i="19" s="1"/>
  <c r="AW125" i="19" s="1"/>
  <c r="M115" i="19"/>
  <c r="S115" i="19"/>
  <c r="I115" i="19"/>
  <c r="O115" i="19"/>
  <c r="G115" i="19"/>
  <c r="Q115" i="19"/>
  <c r="U115" i="19"/>
  <c r="K115" i="19"/>
  <c r="AK116" i="19"/>
  <c r="AM116" i="19" s="1"/>
  <c r="AO116" i="19" s="1"/>
  <c r="AQ116" i="19" s="1"/>
  <c r="AS116" i="19" s="1"/>
  <c r="AU116" i="19" s="1"/>
  <c r="AI102" i="19"/>
  <c r="AG119" i="19"/>
  <c r="AI119" i="19" s="1"/>
  <c r="AC120" i="19"/>
  <c r="AR152" i="18"/>
  <c r="AR156" i="18" s="1"/>
  <c r="AT143" i="19"/>
  <c r="AQ121" i="19"/>
  <c r="AS121" i="19" s="1"/>
  <c r="AU121" i="19" s="1"/>
  <c r="AW121" i="19" s="1"/>
  <c r="AW106" i="19"/>
  <c r="AQ108" i="19"/>
  <c r="AS108" i="19" s="1"/>
  <c r="C130" i="18"/>
  <c r="D130" i="18" s="1"/>
  <c r="W130" i="18" s="1"/>
  <c r="Y130" i="18" s="1"/>
  <c r="C117" i="19"/>
  <c r="D117" i="19" s="1"/>
  <c r="Y117" i="19" s="1"/>
  <c r="AA111" i="19"/>
  <c r="E111" i="19"/>
  <c r="W111" i="19" s="1"/>
  <c r="AO124" i="19"/>
  <c r="AE126" i="19"/>
  <c r="AQ134" i="18"/>
  <c r="AS134" i="18" s="1"/>
  <c r="AU134" i="18" s="1"/>
  <c r="AK137" i="18"/>
  <c r="AM137" i="18" s="1"/>
  <c r="AO137" i="18" s="1"/>
  <c r="AQ137" i="18" s="1"/>
  <c r="AS137" i="18" s="1"/>
  <c r="AU137" i="18" s="1"/>
  <c r="AO121" i="18"/>
  <c r="AQ121" i="18" s="1"/>
  <c r="AS121" i="18" s="1"/>
  <c r="AU121" i="18" s="1"/>
  <c r="AE128" i="18"/>
  <c r="AG128" i="18" s="1"/>
  <c r="AC124" i="18"/>
  <c r="AE124" i="18" s="1"/>
  <c r="AO115" i="18"/>
  <c r="AQ115" i="18" s="1"/>
  <c r="AS115" i="18" s="1"/>
  <c r="AK133" i="18"/>
  <c r="AG138" i="18"/>
  <c r="AC95" i="18"/>
  <c r="S124" i="18"/>
  <c r="G124" i="18"/>
  <c r="K124" i="18"/>
  <c r="Q124" i="18"/>
  <c r="I124" i="18"/>
  <c r="O124" i="18"/>
  <c r="M124" i="18"/>
  <c r="AK139" i="18"/>
  <c r="AS118" i="18"/>
  <c r="AU118" i="18" s="1"/>
  <c r="T84" i="14"/>
  <c r="AA86" i="14"/>
  <c r="AA91" i="14" s="1"/>
  <c r="AC86" i="14"/>
  <c r="AR92" i="14"/>
  <c r="U55" i="6"/>
  <c r="C57" i="6"/>
  <c r="U57" i="6"/>
  <c r="AS175" i="20" l="1"/>
  <c r="AU175" i="20" s="1"/>
  <c r="AW175" i="20" s="1"/>
  <c r="AY175" i="20" s="1"/>
  <c r="BA175" i="20" s="1"/>
  <c r="BC175" i="20" s="1"/>
  <c r="BE175" i="20" s="1"/>
  <c r="W162" i="20"/>
  <c r="AG168" i="20"/>
  <c r="AI168" i="20" s="1"/>
  <c r="AK168" i="20" s="1"/>
  <c r="O162" i="20"/>
  <c r="Y162" i="20"/>
  <c r="Q162" i="20"/>
  <c r="U162" i="20"/>
  <c r="AE162" i="20"/>
  <c r="K162" i="20"/>
  <c r="I162" i="20" s="1"/>
  <c r="G162" i="20"/>
  <c r="M162" i="20"/>
  <c r="AS162" i="20"/>
  <c r="BE171" i="20"/>
  <c r="BA159" i="20"/>
  <c r="BC159" i="20" s="1"/>
  <c r="AW153" i="20"/>
  <c r="AY153" i="20" s="1"/>
  <c r="BA153" i="20" s="1"/>
  <c r="AW170" i="20"/>
  <c r="AY170" i="20" s="1"/>
  <c r="AU158" i="20"/>
  <c r="AW158" i="20" s="1"/>
  <c r="AY158" i="20" s="1"/>
  <c r="BA158" i="20" s="1"/>
  <c r="BC158" i="20" s="1"/>
  <c r="BE158" i="20" s="1"/>
  <c r="AW156" i="20"/>
  <c r="AY156" i="20" s="1"/>
  <c r="Q168" i="20"/>
  <c r="Y168" i="20"/>
  <c r="W168" i="20"/>
  <c r="M168" i="20"/>
  <c r="AE168" i="20"/>
  <c r="O168" i="20"/>
  <c r="K168" i="20"/>
  <c r="U168" i="20"/>
  <c r="G168" i="20"/>
  <c r="AS177" i="20"/>
  <c r="BC166" i="20"/>
  <c r="BE166" i="20" s="1"/>
  <c r="BC176" i="20"/>
  <c r="BE176" i="20" s="1"/>
  <c r="X115" i="19"/>
  <c r="AK122" i="19"/>
  <c r="AM122" i="19" s="1"/>
  <c r="AQ105" i="19"/>
  <c r="AC111" i="19"/>
  <c r="AG115" i="19"/>
  <c r="AE111" i="19"/>
  <c r="AK102" i="19"/>
  <c r="AM102" i="19" s="1"/>
  <c r="AG126" i="19"/>
  <c r="AQ124" i="19"/>
  <c r="AS124" i="19" s="1"/>
  <c r="AU124" i="19" s="1"/>
  <c r="M111" i="19"/>
  <c r="Q111" i="19"/>
  <c r="G111" i="19"/>
  <c r="O111" i="19"/>
  <c r="K111" i="19"/>
  <c r="S111" i="19"/>
  <c r="I111" i="19"/>
  <c r="U111" i="19"/>
  <c r="AU108" i="19"/>
  <c r="AW108" i="19" s="1"/>
  <c r="E130" i="18"/>
  <c r="U130" i="18" s="1"/>
  <c r="AW116" i="19"/>
  <c r="AT152" i="18"/>
  <c r="AT156" i="18" s="1"/>
  <c r="AV143" i="19"/>
  <c r="AK119" i="19"/>
  <c r="AM119" i="19" s="1"/>
  <c r="E117" i="19"/>
  <c r="W117" i="19" s="1"/>
  <c r="AA117" i="19"/>
  <c r="AE120" i="19"/>
  <c r="AG120" i="19" s="1"/>
  <c r="AI120" i="19" s="1"/>
  <c r="V124" i="18"/>
  <c r="AG124" i="18"/>
  <c r="AI124" i="18" s="1"/>
  <c r="AK124" i="18" s="1"/>
  <c r="AI128" i="18"/>
  <c r="AK128" i="18" s="1"/>
  <c r="AM128" i="18" s="1"/>
  <c r="AO128" i="18" s="1"/>
  <c r="AQ128" i="18" s="1"/>
  <c r="AS128" i="18" s="1"/>
  <c r="AU128" i="18" s="1"/>
  <c r="AU115" i="18"/>
  <c r="AI138" i="18"/>
  <c r="AM139" i="18"/>
  <c r="AE95" i="18"/>
  <c r="AM133" i="18"/>
  <c r="AA130" i="18"/>
  <c r="AE86" i="14"/>
  <c r="AC91" i="14"/>
  <c r="AF162" i="20" l="1"/>
  <c r="AM168" i="20"/>
  <c r="AA162" i="20"/>
  <c r="I168" i="20"/>
  <c r="AA168" i="20"/>
  <c r="BA170" i="20"/>
  <c r="BC170" i="20" s="1"/>
  <c r="BE170" i="20" s="1"/>
  <c r="BE159" i="20"/>
  <c r="BC153" i="20"/>
  <c r="BE153" i="20" s="1"/>
  <c r="AU162" i="20"/>
  <c r="AW162" i="20" s="1"/>
  <c r="AY162" i="20" s="1"/>
  <c r="BA162" i="20" s="1"/>
  <c r="BC162" i="20" s="1"/>
  <c r="BE162" i="20" s="1"/>
  <c r="AF168" i="20"/>
  <c r="AU177" i="20"/>
  <c r="AW177" i="20" s="1"/>
  <c r="BA156" i="20"/>
  <c r="S130" i="18"/>
  <c r="M130" i="18"/>
  <c r="X111" i="19"/>
  <c r="AC117" i="19"/>
  <c r="AE117" i="19" s="1"/>
  <c r="AG117" i="19" s="1"/>
  <c r="AO122" i="19"/>
  <c r="AQ122" i="19" s="1"/>
  <c r="AI115" i="19"/>
  <c r="AK115" i="19" s="1"/>
  <c r="AS105" i="19"/>
  <c r="AU105" i="19" s="1"/>
  <c r="AW105" i="19" s="1"/>
  <c r="AO102" i="19"/>
  <c r="AQ102" i="19" s="1"/>
  <c r="AS102" i="19" s="1"/>
  <c r="AI126" i="19"/>
  <c r="AK126" i="19" s="1"/>
  <c r="AW124" i="19"/>
  <c r="AO119" i="19"/>
  <c r="AQ119" i="19" s="1"/>
  <c r="AS119" i="19" s="1"/>
  <c r="I130" i="18"/>
  <c r="AK120" i="19"/>
  <c r="AM120" i="19" s="1"/>
  <c r="O130" i="18"/>
  <c r="Q130" i="18"/>
  <c r="AG111" i="19"/>
  <c r="AI111" i="19" s="1"/>
  <c r="G130" i="18"/>
  <c r="K130" i="18"/>
  <c r="O117" i="19"/>
  <c r="U117" i="19"/>
  <c r="M117" i="19"/>
  <c r="K117" i="19"/>
  <c r="G117" i="19"/>
  <c r="I117" i="19"/>
  <c r="Q117" i="19"/>
  <c r="S117" i="19"/>
  <c r="AO139" i="18"/>
  <c r="AQ139" i="18" s="1"/>
  <c r="AM124" i="18"/>
  <c r="AO124" i="18" s="1"/>
  <c r="AO133" i="18"/>
  <c r="AQ133" i="18" s="1"/>
  <c r="AS133" i="18" s="1"/>
  <c r="AK138" i="18"/>
  <c r="AM138" i="18" s="1"/>
  <c r="AO138" i="18" s="1"/>
  <c r="AG95" i="18"/>
  <c r="AI95" i="18" s="1"/>
  <c r="AC130" i="18"/>
  <c r="AG55" i="14"/>
  <c r="AG86" i="14" s="1"/>
  <c r="AE91" i="14"/>
  <c r="S4" i="6"/>
  <c r="AO168" i="20" l="1"/>
  <c r="BC156" i="20"/>
  <c r="BE156" i="20" s="1"/>
  <c r="AY177" i="20"/>
  <c r="X117" i="19"/>
  <c r="AU119" i="19"/>
  <c r="AW119" i="19" s="1"/>
  <c r="AI117" i="19"/>
  <c r="AK117" i="19" s="1"/>
  <c r="AS122" i="19"/>
  <c r="AU122" i="19" s="1"/>
  <c r="AW122" i="19" s="1"/>
  <c r="AO120" i="19"/>
  <c r="V130" i="18"/>
  <c r="AM115" i="19"/>
  <c r="AU102" i="19"/>
  <c r="AW102" i="19" s="1"/>
  <c r="AM126" i="19"/>
  <c r="AO126" i="19" s="1"/>
  <c r="AK111" i="19"/>
  <c r="AM111" i="19" s="1"/>
  <c r="AO111" i="19" s="1"/>
  <c r="AQ111" i="19" s="1"/>
  <c r="AS111" i="19" s="1"/>
  <c r="AS139" i="18"/>
  <c r="AU139" i="18" s="1"/>
  <c r="AQ138" i="18"/>
  <c r="AS138" i="18" s="1"/>
  <c r="AU133" i="18"/>
  <c r="AK95" i="18"/>
  <c r="AE130" i="18"/>
  <c r="AQ124" i="18"/>
  <c r="AS124" i="18" s="1"/>
  <c r="AG91" i="14"/>
  <c r="AI55" i="14"/>
  <c r="AI86" i="14" s="1"/>
  <c r="S52" i="6"/>
  <c r="S50" i="6"/>
  <c r="AQ168" i="20" l="1"/>
  <c r="BA177" i="20"/>
  <c r="AM117" i="19"/>
  <c r="AO117" i="19" s="1"/>
  <c r="AQ117" i="19" s="1"/>
  <c r="AO115" i="19"/>
  <c r="AQ115" i="19" s="1"/>
  <c r="AQ120" i="19"/>
  <c r="AS120" i="19" s="1"/>
  <c r="AU120" i="19" s="1"/>
  <c r="AU111" i="19"/>
  <c r="AW111" i="19" s="1"/>
  <c r="AQ126" i="19"/>
  <c r="AU138" i="18"/>
  <c r="AG130" i="18"/>
  <c r="AI130" i="18" s="1"/>
  <c r="AU124" i="18"/>
  <c r="AM95" i="18"/>
  <c r="AI91" i="14"/>
  <c r="AK55" i="14"/>
  <c r="AM55" i="14" s="1"/>
  <c r="AM86" i="14" s="1"/>
  <c r="C29" i="6"/>
  <c r="AS168" i="20" l="1"/>
  <c r="BC177" i="20"/>
  <c r="AS117" i="19"/>
  <c r="AU117" i="19" s="1"/>
  <c r="AW117" i="19" s="1"/>
  <c r="AW120" i="19"/>
  <c r="AS115" i="19"/>
  <c r="AU115" i="19" s="1"/>
  <c r="AW115" i="19" s="1"/>
  <c r="AS126" i="19"/>
  <c r="AU126" i="19" s="1"/>
  <c r="AW126" i="19" s="1"/>
  <c r="AK130" i="18"/>
  <c r="AM130" i="18" s="1"/>
  <c r="AO95" i="18"/>
  <c r="AK86" i="14"/>
  <c r="AK91" i="14" s="1"/>
  <c r="AM91" i="14" s="1"/>
  <c r="AO55" i="14"/>
  <c r="AO86" i="14" s="1"/>
  <c r="Q4" i="6"/>
  <c r="AU168" i="20" l="1"/>
  <c r="BE177" i="20"/>
  <c r="AO130" i="18"/>
  <c r="AQ130" i="18" s="1"/>
  <c r="AS130" i="18" s="1"/>
  <c r="AU130" i="18" s="1"/>
  <c r="AQ95" i="18"/>
  <c r="AO91" i="14"/>
  <c r="AQ55" i="14"/>
  <c r="AQ86" i="14" s="1"/>
  <c r="W49" i="6"/>
  <c r="AW168" i="20" l="1"/>
  <c r="AY168" i="20" s="1"/>
  <c r="BA168" i="20" s="1"/>
  <c r="BC168" i="20" s="1"/>
  <c r="BE168" i="20" s="1"/>
  <c r="AS95" i="18"/>
  <c r="AQ91" i="14"/>
  <c r="AS55" i="14"/>
  <c r="C101" i="19" l="1"/>
  <c r="C152" i="20"/>
  <c r="S152" i="20" s="1"/>
  <c r="D101" i="19"/>
  <c r="Y101" i="19" s="1"/>
  <c r="Y132" i="19" s="1"/>
  <c r="Y137" i="19" s="1"/>
  <c r="C130" i="19"/>
  <c r="AS91" i="14"/>
  <c r="C114" i="18"/>
  <c r="AU95" i="18"/>
  <c r="P50" i="6"/>
  <c r="P62" i="6"/>
  <c r="D152" i="20" l="1"/>
  <c r="C181" i="20"/>
  <c r="E101" i="19"/>
  <c r="W101" i="19" s="1"/>
  <c r="D130" i="19"/>
  <c r="D114" i="18"/>
  <c r="C143" i="18"/>
  <c r="O50" i="6"/>
  <c r="O62" i="6"/>
  <c r="AC181" i="20" l="1"/>
  <c r="S181" i="20"/>
  <c r="AG152" i="20"/>
  <c r="AG183" i="20" s="1"/>
  <c r="AG188" i="20" s="1"/>
  <c r="E152" i="20"/>
  <c r="AC152" i="20" s="1"/>
  <c r="D181" i="20"/>
  <c r="AA101" i="19"/>
  <c r="AC101" i="19" s="1"/>
  <c r="O101" i="19"/>
  <c r="Q101" i="19"/>
  <c r="G101" i="19"/>
  <c r="M101" i="19"/>
  <c r="I101" i="19"/>
  <c r="K101" i="19"/>
  <c r="U101" i="19"/>
  <c r="S101" i="19"/>
  <c r="E130" i="19"/>
  <c r="W114" i="18"/>
  <c r="W145" i="18" s="1"/>
  <c r="W150" i="18" s="1"/>
  <c r="E114" i="18"/>
  <c r="D143" i="18"/>
  <c r="Q62" i="6"/>
  <c r="AI152" i="20" l="1"/>
  <c r="AI183" i="20" s="1"/>
  <c r="AI188" i="20" s="1"/>
  <c r="G152" i="20"/>
  <c r="M152" i="20"/>
  <c r="K152" i="20"/>
  <c r="Y152" i="20"/>
  <c r="O152" i="20"/>
  <c r="Q152" i="20"/>
  <c r="U152" i="20"/>
  <c r="AE152" i="20"/>
  <c r="W152" i="20"/>
  <c r="E181" i="20"/>
  <c r="X101" i="19"/>
  <c r="AA132" i="19"/>
  <c r="AA137" i="19" s="1"/>
  <c r="W130" i="19"/>
  <c r="U130" i="19"/>
  <c r="G130" i="19"/>
  <c r="I130" i="19"/>
  <c r="S130" i="19"/>
  <c r="O130" i="19"/>
  <c r="K130" i="19"/>
  <c r="M130" i="19"/>
  <c r="Q130" i="19"/>
  <c r="AC132" i="19"/>
  <c r="AE101" i="19"/>
  <c r="U114" i="18"/>
  <c r="E143" i="18"/>
  <c r="Y114" i="18"/>
  <c r="Q114" i="18"/>
  <c r="O114" i="18"/>
  <c r="I114" i="18"/>
  <c r="G114" i="18"/>
  <c r="M114" i="18"/>
  <c r="S114" i="18"/>
  <c r="K114" i="18"/>
  <c r="C4" i="6"/>
  <c r="D3" i="6"/>
  <c r="C3" i="6"/>
  <c r="K26" i="6"/>
  <c r="AC26" i="6" s="1"/>
  <c r="D56" i="6"/>
  <c r="C56" i="6"/>
  <c r="I181" i="20" l="1"/>
  <c r="AA181" i="20"/>
  <c r="AK152" i="20"/>
  <c r="I152" i="20"/>
  <c r="AA152" i="20"/>
  <c r="AE181" i="20"/>
  <c r="Y181" i="20"/>
  <c r="O181" i="20"/>
  <c r="U181" i="20"/>
  <c r="Q181" i="20"/>
  <c r="W181" i="20"/>
  <c r="K181" i="20"/>
  <c r="G181" i="20"/>
  <c r="M181" i="20"/>
  <c r="AF152" i="20"/>
  <c r="AC137" i="19"/>
  <c r="X130" i="19"/>
  <c r="AG101" i="19"/>
  <c r="AE132" i="19"/>
  <c r="Y145" i="18"/>
  <c r="Y150" i="18" s="1"/>
  <c r="V114" i="18"/>
  <c r="AA114" i="18"/>
  <c r="AA145" i="18" s="1"/>
  <c r="G143" i="18"/>
  <c r="U143" i="18" s="1"/>
  <c r="S143" i="18"/>
  <c r="M143" i="18"/>
  <c r="O143" i="18"/>
  <c r="K143" i="18"/>
  <c r="I143" i="18"/>
  <c r="Q143" i="18"/>
  <c r="AC82" i="6"/>
  <c r="AE82" i="6" s="1"/>
  <c r="C50" i="6"/>
  <c r="AK183" i="20" l="1"/>
  <c r="AK188" i="20" s="1"/>
  <c r="AM152" i="20"/>
  <c r="AF181" i="20"/>
  <c r="AE137" i="19"/>
  <c r="AG132" i="19"/>
  <c r="AI101" i="19"/>
  <c r="AA150" i="18"/>
  <c r="AC114" i="18"/>
  <c r="AE114" i="18" s="1"/>
  <c r="AE145" i="18" s="1"/>
  <c r="V143" i="18"/>
  <c r="Q84" i="6"/>
  <c r="E84" i="6"/>
  <c r="AO152" i="20" l="1"/>
  <c r="AM183" i="20"/>
  <c r="AM188" i="20" s="1"/>
  <c r="AG137" i="19"/>
  <c r="AK101" i="19"/>
  <c r="AI132" i="19"/>
  <c r="AC145" i="18"/>
  <c r="AC150" i="18" s="1"/>
  <c r="AE150" i="18" s="1"/>
  <c r="AG114" i="18"/>
  <c r="AG145" i="18" s="1"/>
  <c r="C52" i="6"/>
  <c r="AQ152" i="20" l="1"/>
  <c r="AQ183" i="20" s="1"/>
  <c r="AO183" i="20"/>
  <c r="AO188" i="20" s="1"/>
  <c r="AI137" i="19"/>
  <c r="AM101" i="19"/>
  <c r="AK132" i="19"/>
  <c r="AI114" i="18"/>
  <c r="AI145" i="18" s="1"/>
  <c r="AG150" i="18"/>
  <c r="L67" i="6"/>
  <c r="K67" i="6"/>
  <c r="AS152" i="20" l="1"/>
  <c r="AS183" i="20" s="1"/>
  <c r="AQ188" i="20"/>
  <c r="AK137" i="19"/>
  <c r="AO101" i="19"/>
  <c r="AM132" i="19"/>
  <c r="AK114" i="18"/>
  <c r="AK145" i="18" s="1"/>
  <c r="AI150" i="18"/>
  <c r="K69" i="6"/>
  <c r="K84" i="6" s="1"/>
  <c r="AU152" i="20" l="1"/>
  <c r="AU183" i="20" s="1"/>
  <c r="AS188" i="20"/>
  <c r="AM137" i="19"/>
  <c r="AQ101" i="19"/>
  <c r="AQ132" i="19" s="1"/>
  <c r="AO132" i="19"/>
  <c r="AM114" i="18"/>
  <c r="AM145" i="18" s="1"/>
  <c r="AK150" i="18"/>
  <c r="M84" i="6"/>
  <c r="AW152" i="20" l="1"/>
  <c r="AY152" i="20" s="1"/>
  <c r="AY183" i="20" s="1"/>
  <c r="AU188" i="20"/>
  <c r="AO137" i="19"/>
  <c r="AQ137" i="19" s="1"/>
  <c r="AS101" i="19"/>
  <c r="AS132" i="19" s="1"/>
  <c r="AM150" i="18"/>
  <c r="AO114" i="18"/>
  <c r="AQ114" i="18" s="1"/>
  <c r="AQ145" i="18" s="1"/>
  <c r="L85" i="6"/>
  <c r="AB88" i="14" s="1"/>
  <c r="N85" i="6"/>
  <c r="AD88" i="14" s="1"/>
  <c r="P85" i="6"/>
  <c r="AF88" i="14" s="1"/>
  <c r="R85" i="6"/>
  <c r="AH88" i="14" s="1"/>
  <c r="T85" i="6"/>
  <c r="AJ88" i="14" s="1"/>
  <c r="V85" i="6"/>
  <c r="AL88" i="14" s="1"/>
  <c r="X85" i="6"/>
  <c r="AN88" i="14" s="1"/>
  <c r="AB85" i="6"/>
  <c r="AR88" i="14" s="1"/>
  <c r="AW183" i="20" l="1"/>
  <c r="AW188" i="20" s="1"/>
  <c r="AY188" i="20" s="1"/>
  <c r="BA152" i="20"/>
  <c r="BC152" i="20" s="1"/>
  <c r="BA183" i="20"/>
  <c r="AS137" i="19"/>
  <c r="AL148" i="18"/>
  <c r="AJ148" i="18"/>
  <c r="AH148" i="18"/>
  <c r="AF148" i="18"/>
  <c r="AD148" i="18"/>
  <c r="AT148" i="18"/>
  <c r="AP148" i="18"/>
  <c r="AN148" i="18"/>
  <c r="AU101" i="19"/>
  <c r="AO145" i="18"/>
  <c r="AO150" i="18" s="1"/>
  <c r="AQ150" i="18" s="1"/>
  <c r="AS114" i="18"/>
  <c r="AS145" i="18" s="1"/>
  <c r="F85" i="6"/>
  <c r="V88" i="14" s="1"/>
  <c r="H85" i="6"/>
  <c r="X88" i="14" s="1"/>
  <c r="BA188" i="20" l="1"/>
  <c r="BE152" i="20"/>
  <c r="BE188" i="20" s="1"/>
  <c r="BC183" i="20"/>
  <c r="AW101" i="19"/>
  <c r="AW137" i="19" s="1"/>
  <c r="AU132" i="19"/>
  <c r="AU137" i="19" s="1"/>
  <c r="Z148" i="18"/>
  <c r="X148" i="18"/>
  <c r="X153" i="18" s="1"/>
  <c r="AB140" i="19"/>
  <c r="AU114" i="18"/>
  <c r="AU150" i="18" s="1"/>
  <c r="AS150" i="18"/>
  <c r="I84" i="6"/>
  <c r="S84" i="6"/>
  <c r="U84" i="6"/>
  <c r="W84" i="6"/>
  <c r="Y84" i="6"/>
  <c r="BC188" i="20" l="1"/>
  <c r="Z153" i="18"/>
  <c r="J85" i="6"/>
  <c r="Z88" i="14" s="1"/>
  <c r="O84" i="6"/>
  <c r="G3" i="6"/>
  <c r="AB148" i="18" l="1"/>
  <c r="AB153" i="18" s="1"/>
  <c r="AD153" i="18" s="1"/>
  <c r="AF153" i="18" s="1"/>
  <c r="AH153" i="18" s="1"/>
  <c r="AJ153" i="18" s="1"/>
  <c r="AL153" i="18" s="1"/>
  <c r="AN153" i="18" s="1"/>
  <c r="AP153" i="18" s="1"/>
  <c r="AR153" i="18" s="1"/>
  <c r="AT153" i="18" s="1"/>
  <c r="AD140" i="19"/>
  <c r="AF140" i="19" s="1"/>
  <c r="AH140" i="19" s="1"/>
  <c r="AJ140" i="19" s="1"/>
  <c r="AL140" i="19" s="1"/>
  <c r="AN140" i="19" s="1"/>
  <c r="AP140" i="19" s="1"/>
  <c r="AR140" i="19" s="1"/>
  <c r="AT140" i="19" s="1"/>
  <c r="AV140" i="19" s="1"/>
  <c r="G84" i="6"/>
  <c r="AB81" i="10"/>
  <c r="C39" i="6" l="1"/>
  <c r="C74" i="6"/>
  <c r="C75" i="6"/>
  <c r="Z3" i="10"/>
  <c r="AA3" i="10"/>
  <c r="C10" i="10"/>
  <c r="B10" i="10"/>
  <c r="AA10" i="10"/>
  <c r="Z10" i="10"/>
  <c r="C84" i="6" l="1"/>
  <c r="D84" i="6"/>
  <c r="V4" i="10" l="1"/>
  <c r="AA73" i="10" l="1"/>
  <c r="AR89" i="14" s="1"/>
  <c r="Y73" i="10"/>
  <c r="AP89" i="14" s="1"/>
  <c r="W73" i="10"/>
  <c r="AN89" i="14" s="1"/>
  <c r="U73" i="10"/>
  <c r="AL89" i="14" s="1"/>
  <c r="S73" i="10"/>
  <c r="AJ89" i="14" s="1"/>
  <c r="Q73" i="10"/>
  <c r="AH89" i="14" s="1"/>
  <c r="O73" i="10"/>
  <c r="AF89" i="14" s="1"/>
  <c r="M73" i="10"/>
  <c r="AD89" i="14" s="1"/>
  <c r="K73" i="10"/>
  <c r="AB89" i="14" s="1"/>
  <c r="I73" i="10"/>
  <c r="Z89" i="14" s="1"/>
  <c r="G73" i="10"/>
  <c r="X89" i="14" s="1"/>
  <c r="E73" i="10"/>
  <c r="Z72" i="10"/>
  <c r="X72" i="10"/>
  <c r="T72" i="10"/>
  <c r="R72" i="10"/>
  <c r="P72" i="10"/>
  <c r="L72" i="10"/>
  <c r="H72" i="10"/>
  <c r="F72" i="10"/>
  <c r="D72" i="10"/>
  <c r="D74" i="10" s="1"/>
  <c r="B72" i="10"/>
  <c r="C40" i="10"/>
  <c r="J18" i="10"/>
  <c r="C13" i="10"/>
  <c r="N11" i="10"/>
  <c r="N72" i="10" s="1"/>
  <c r="V72" i="10"/>
  <c r="J7" i="10"/>
  <c r="C7" i="10"/>
  <c r="E75" i="10" l="1"/>
  <c r="G75" i="10" s="1"/>
  <c r="G80" i="10" s="1"/>
  <c r="V89" i="14"/>
  <c r="V94" i="14" s="1"/>
  <c r="X94" i="14" s="1"/>
  <c r="Z94" i="14" s="1"/>
  <c r="AB94" i="14" s="1"/>
  <c r="AD94" i="14" s="1"/>
  <c r="AF94" i="14" s="1"/>
  <c r="AH94" i="14" s="1"/>
  <c r="AJ94" i="14" s="1"/>
  <c r="AL94" i="14" s="1"/>
  <c r="AN94" i="14" s="1"/>
  <c r="AP94" i="14" s="1"/>
  <c r="AR94" i="14" s="1"/>
  <c r="J72" i="10"/>
  <c r="AB72" i="10" s="1"/>
  <c r="C72" i="10"/>
  <c r="F74" i="10"/>
  <c r="H74" i="10" s="1"/>
  <c r="AB73" i="10"/>
  <c r="E80" i="10" l="1"/>
  <c r="J74" i="10"/>
  <c r="L74" i="10" s="1"/>
  <c r="N74" i="10" s="1"/>
  <c r="P74" i="10" s="1"/>
  <c r="R74" i="10" s="1"/>
  <c r="T74" i="10" s="1"/>
  <c r="V74" i="10" s="1"/>
  <c r="X74" i="10" s="1"/>
  <c r="Z74" i="10" s="1"/>
  <c r="I75" i="10"/>
  <c r="I80" i="10" l="1"/>
  <c r="K75" i="10"/>
  <c r="K80" i="10" l="1"/>
  <c r="M75" i="10"/>
  <c r="M80" i="10" l="1"/>
  <c r="O75" i="10"/>
  <c r="O80" i="10" l="1"/>
  <c r="Q75" i="10"/>
  <c r="Q80" i="10" l="1"/>
  <c r="S75" i="10"/>
  <c r="B56" i="9"/>
  <c r="C39" i="9"/>
  <c r="C31" i="9"/>
  <c r="B29" i="9"/>
  <c r="V27" i="9"/>
  <c r="C23" i="9"/>
  <c r="B23" i="9"/>
  <c r="C21" i="9"/>
  <c r="C20" i="9"/>
  <c r="T16" i="9"/>
  <c r="C13" i="9"/>
  <c r="B13" i="9"/>
  <c r="C10" i="9"/>
  <c r="B10" i="9"/>
  <c r="C9" i="9"/>
  <c r="B9" i="9"/>
  <c r="B7" i="9"/>
  <c r="H6" i="9"/>
  <c r="C6" i="9"/>
  <c r="V5" i="9"/>
  <c r="S80" i="10" l="1"/>
  <c r="U75" i="10"/>
  <c r="AA69" i="9"/>
  <c r="Y69" i="9"/>
  <c r="W69" i="9"/>
  <c r="U69" i="9"/>
  <c r="S69" i="9"/>
  <c r="Q69" i="9"/>
  <c r="O69" i="9"/>
  <c r="M69" i="9"/>
  <c r="K69" i="9"/>
  <c r="I69" i="9"/>
  <c r="G69" i="9"/>
  <c r="E69" i="9"/>
  <c r="E71" i="9" s="1"/>
  <c r="X68" i="9"/>
  <c r="V68" i="9"/>
  <c r="R68" i="9"/>
  <c r="P68" i="9"/>
  <c r="N68" i="9"/>
  <c r="L68" i="9"/>
  <c r="J68" i="9"/>
  <c r="F68" i="9"/>
  <c r="D68" i="9"/>
  <c r="D70" i="9" s="1"/>
  <c r="Z68" i="9"/>
  <c r="T68" i="9"/>
  <c r="B68" i="9"/>
  <c r="H68" i="9"/>
  <c r="C68" i="9"/>
  <c r="Z141" i="19" l="1"/>
  <c r="AH192" i="20"/>
  <c r="V95" i="14"/>
  <c r="X154" i="18"/>
  <c r="G71" i="9"/>
  <c r="AJ192" i="20" s="1"/>
  <c r="U80" i="10"/>
  <c r="W75" i="10"/>
  <c r="F70" i="9"/>
  <c r="H70" i="9" s="1"/>
  <c r="J70" i="9" s="1"/>
  <c r="L70" i="9" s="1"/>
  <c r="N70" i="9" s="1"/>
  <c r="P70" i="9" s="1"/>
  <c r="R70" i="9" s="1"/>
  <c r="T70" i="9" s="1"/>
  <c r="V70" i="9" s="1"/>
  <c r="X70" i="9" s="1"/>
  <c r="Z70" i="9" s="1"/>
  <c r="AB69" i="9"/>
  <c r="AB68" i="9"/>
  <c r="E76" i="9"/>
  <c r="Z154" i="18" l="1"/>
  <c r="AB141" i="19"/>
  <c r="I71" i="9"/>
  <c r="AL192" i="20" s="1"/>
  <c r="X95" i="14"/>
  <c r="E79" i="10"/>
  <c r="W80" i="10"/>
  <c r="Y75" i="10"/>
  <c r="AB154" i="18" l="1"/>
  <c r="AD141" i="19"/>
  <c r="K71" i="9"/>
  <c r="AN192" i="20" s="1"/>
  <c r="Z95" i="14"/>
  <c r="Y80" i="10"/>
  <c r="AA75" i="10"/>
  <c r="AA80" i="10" s="1"/>
  <c r="AA81" i="10" s="1"/>
  <c r="G76" i="9"/>
  <c r="AD154" i="18" l="1"/>
  <c r="AF141" i="19"/>
  <c r="M71" i="9"/>
  <c r="AP192" i="20" s="1"/>
  <c r="AB95" i="14"/>
  <c r="G79" i="10"/>
  <c r="I76" i="9"/>
  <c r="AF154" i="18" l="1"/>
  <c r="AH141" i="19"/>
  <c r="AD95" i="14"/>
  <c r="O71" i="9"/>
  <c r="AR192" i="20" s="1"/>
  <c r="I79" i="10"/>
  <c r="K76" i="9"/>
  <c r="AH154" i="18" l="1"/>
  <c r="AJ141" i="19"/>
  <c r="AF95" i="14"/>
  <c r="Q71" i="9"/>
  <c r="AT192" i="20" s="1"/>
  <c r="K79" i="10"/>
  <c r="M76" i="9"/>
  <c r="AJ154" i="18" l="1"/>
  <c r="AL141" i="19"/>
  <c r="S71" i="9"/>
  <c r="AV192" i="20" s="1"/>
  <c r="AH95" i="14"/>
  <c r="M79" i="10"/>
  <c r="O76" i="9"/>
  <c r="AL154" i="18" l="1"/>
  <c r="AN141" i="19"/>
  <c r="U71" i="9"/>
  <c r="AX192" i="20" s="1"/>
  <c r="AJ95" i="14"/>
  <c r="O79" i="10"/>
  <c r="Q76" i="9"/>
  <c r="AN154" i="18" l="1"/>
  <c r="AP141" i="19"/>
  <c r="W71" i="9"/>
  <c r="AZ192" i="20" s="1"/>
  <c r="AL95" i="14"/>
  <c r="Q79" i="10"/>
  <c r="S76" i="9"/>
  <c r="AP154" i="18" l="1"/>
  <c r="AR141" i="19"/>
  <c r="Y71" i="9"/>
  <c r="BB192" i="20" s="1"/>
  <c r="AN95" i="14"/>
  <c r="S79" i="10"/>
  <c r="U76" i="9"/>
  <c r="AR154" i="18" l="1"/>
  <c r="AT141" i="19"/>
  <c r="AA71" i="9"/>
  <c r="AP95" i="14"/>
  <c r="U79" i="10"/>
  <c r="W76" i="9"/>
  <c r="AV141" i="19" l="1"/>
  <c r="BD192" i="20"/>
  <c r="AR95" i="14"/>
  <c r="AT154" i="18"/>
  <c r="W79" i="10"/>
  <c r="Y76" i="9"/>
  <c r="AA76" i="9"/>
  <c r="Z37" i="7" l="1"/>
  <c r="X37" i="7"/>
  <c r="V37" i="7"/>
  <c r="T37" i="7"/>
  <c r="R37" i="7"/>
  <c r="P37" i="7"/>
  <c r="N37" i="7"/>
  <c r="L37" i="7"/>
  <c r="J37" i="7"/>
  <c r="H37" i="7"/>
  <c r="F37" i="7"/>
  <c r="D37" i="7"/>
  <c r="Y36" i="7"/>
  <c r="W36" i="7"/>
  <c r="U36" i="7"/>
  <c r="Q36" i="7"/>
  <c r="O36" i="7"/>
  <c r="M36" i="7"/>
  <c r="K36" i="7"/>
  <c r="I36" i="7"/>
  <c r="G36" i="7"/>
  <c r="E36" i="7"/>
  <c r="C36" i="7"/>
  <c r="B19" i="7"/>
  <c r="B9" i="7"/>
  <c r="B7" i="7"/>
  <c r="S5" i="7"/>
  <c r="S36" i="7" s="1"/>
  <c r="B36" i="7" l="1"/>
  <c r="AA37" i="7"/>
  <c r="AA36" i="7"/>
  <c r="D39" i="7"/>
  <c r="D44" i="7" s="1"/>
  <c r="C38" i="7"/>
  <c r="E38" i="7" s="1"/>
  <c r="G38" i="7" s="1"/>
  <c r="I38" i="7" s="1"/>
  <c r="K38" i="7" s="1"/>
  <c r="M38" i="7" s="1"/>
  <c r="O38" i="7" s="1"/>
  <c r="Q38" i="7" s="1"/>
  <c r="S38" i="7" s="1"/>
  <c r="U38" i="7" s="1"/>
  <c r="W38" i="7" s="1"/>
  <c r="Y38" i="7" s="1"/>
  <c r="F39" i="7" l="1"/>
  <c r="F44" i="7" l="1"/>
  <c r="H39" i="7"/>
  <c r="H44" i="7" l="1"/>
  <c r="J39" i="7"/>
  <c r="J44" i="7" l="1"/>
  <c r="L39" i="7"/>
  <c r="L44" i="7" l="1"/>
  <c r="N39" i="7"/>
  <c r="N44" i="7" l="1"/>
  <c r="P39" i="7"/>
  <c r="R39" i="7" l="1"/>
  <c r="P44" i="7"/>
  <c r="T39" i="7" l="1"/>
  <c r="R44" i="7"/>
  <c r="T44" i="7" l="1"/>
  <c r="V39" i="7"/>
  <c r="V44" i="7" l="1"/>
  <c r="X39" i="7"/>
  <c r="X44" i="7" l="1"/>
  <c r="Z39" i="7"/>
  <c r="Z44" i="7" s="1"/>
  <c r="E87" i="6" l="1"/>
  <c r="F88" i="6" l="1"/>
  <c r="G87" i="6"/>
  <c r="I87" i="6" s="1"/>
  <c r="K87" i="6" s="1"/>
  <c r="M87" i="6" s="1"/>
  <c r="O87" i="6" s="1"/>
  <c r="Q87" i="6" s="1"/>
  <c r="S87" i="6" s="1"/>
  <c r="U87" i="6" s="1"/>
  <c r="W87" i="6" s="1"/>
  <c r="Y87" i="6" s="1"/>
  <c r="AA87" i="6" s="1"/>
  <c r="B81" i="5"/>
  <c r="Z82" i="5"/>
  <c r="Y81" i="5"/>
  <c r="X82" i="5"/>
  <c r="W81" i="5"/>
  <c r="V82" i="5"/>
  <c r="U81" i="5"/>
  <c r="T82" i="5"/>
  <c r="S81" i="5"/>
  <c r="R82" i="5"/>
  <c r="Q81" i="5"/>
  <c r="P82" i="5"/>
  <c r="O81" i="5"/>
  <c r="N82" i="5"/>
  <c r="M81" i="5"/>
  <c r="L82" i="5"/>
  <c r="K81" i="5"/>
  <c r="J82" i="5"/>
  <c r="I81" i="5"/>
  <c r="H82" i="5"/>
  <c r="G81" i="5"/>
  <c r="D82" i="5"/>
  <c r="C81" i="5"/>
  <c r="F82" i="5"/>
  <c r="E81" i="5"/>
  <c r="B45" i="4"/>
  <c r="Z46" i="4"/>
  <c r="Y45" i="4"/>
  <c r="X46" i="4"/>
  <c r="W45" i="4"/>
  <c r="V46" i="4"/>
  <c r="U45" i="4"/>
  <c r="T46" i="4"/>
  <c r="S45" i="4"/>
  <c r="R46" i="4"/>
  <c r="Q45" i="4"/>
  <c r="P46" i="4"/>
  <c r="O45" i="4"/>
  <c r="N46" i="4"/>
  <c r="M45" i="4"/>
  <c r="L46" i="4"/>
  <c r="K45" i="4"/>
  <c r="J46" i="4"/>
  <c r="I45" i="4"/>
  <c r="H46" i="4"/>
  <c r="G45" i="4"/>
  <c r="F46" i="4"/>
  <c r="E45" i="4"/>
  <c r="D46" i="4"/>
  <c r="D47" i="4" s="1"/>
  <c r="D53" i="4" s="1"/>
  <c r="C45" i="4"/>
  <c r="N115" i="2"/>
  <c r="M115" i="2"/>
  <c r="L115" i="2"/>
  <c r="K115" i="2"/>
  <c r="J115" i="2"/>
  <c r="I115" i="2"/>
  <c r="H115" i="2"/>
  <c r="G115" i="2"/>
  <c r="F115" i="2"/>
  <c r="E115" i="2"/>
  <c r="D115" i="2"/>
  <c r="C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N140" i="1"/>
  <c r="M140" i="1"/>
  <c r="L140" i="1"/>
  <c r="K140" i="1"/>
  <c r="J140" i="1"/>
  <c r="I140" i="1"/>
  <c r="H140" i="1"/>
  <c r="G140" i="1"/>
  <c r="F140" i="1"/>
  <c r="E140" i="1"/>
  <c r="D140" i="1"/>
  <c r="C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8" i="1"/>
  <c r="U53" i="1"/>
  <c r="F91" i="6" l="1"/>
  <c r="V93" i="14"/>
  <c r="V97" i="14" s="1"/>
  <c r="M116" i="2"/>
  <c r="M155" i="1" s="1"/>
  <c r="I116" i="2"/>
  <c r="I155" i="1" s="1"/>
  <c r="O139" i="1"/>
  <c r="D142" i="1" s="1"/>
  <c r="N141" i="1"/>
  <c r="N156" i="1" s="1"/>
  <c r="Y88" i="5" s="1"/>
  <c r="H88" i="6"/>
  <c r="C141" i="1"/>
  <c r="C156" i="1" s="1"/>
  <c r="C88" i="5" s="1"/>
  <c r="K141" i="1"/>
  <c r="K156" i="1" s="1"/>
  <c r="S88" i="5" s="1"/>
  <c r="M141" i="1"/>
  <c r="M156" i="1" s="1"/>
  <c r="W88" i="5" s="1"/>
  <c r="G141" i="1"/>
  <c r="G156" i="1" s="1"/>
  <c r="K88" i="5" s="1"/>
  <c r="D117" i="2"/>
  <c r="E116" i="2"/>
  <c r="E155" i="1" s="1"/>
  <c r="AA81" i="5"/>
  <c r="C83" i="5"/>
  <c r="E83" i="5" s="1"/>
  <c r="G83" i="5" s="1"/>
  <c r="I83" i="5" s="1"/>
  <c r="K83" i="5" s="1"/>
  <c r="M83" i="5" s="1"/>
  <c r="O83" i="5" s="1"/>
  <c r="Q83" i="5" s="1"/>
  <c r="S83" i="5" s="1"/>
  <c r="U83" i="5" s="1"/>
  <c r="W83" i="5" s="1"/>
  <c r="Y83" i="5" s="1"/>
  <c r="AA82" i="5"/>
  <c r="D84" i="5"/>
  <c r="F84" i="5" s="1"/>
  <c r="F89" i="5" s="1"/>
  <c r="F47" i="4"/>
  <c r="F53" i="4" s="1"/>
  <c r="E141" i="1"/>
  <c r="E156" i="1" s="1"/>
  <c r="I141" i="1"/>
  <c r="I156" i="1" s="1"/>
  <c r="N116" i="2"/>
  <c r="L116" i="2"/>
  <c r="J116" i="2"/>
  <c r="H116" i="2"/>
  <c r="F116" i="2"/>
  <c r="D116" i="2"/>
  <c r="C116" i="2"/>
  <c r="G116" i="2"/>
  <c r="K116" i="2"/>
  <c r="O140" i="1"/>
  <c r="D143" i="1" s="1"/>
  <c r="D141" i="1"/>
  <c r="D156" i="1" s="1"/>
  <c r="E88" i="5" s="1"/>
  <c r="F141" i="1"/>
  <c r="F156" i="1" s="1"/>
  <c r="I88" i="5" s="1"/>
  <c r="H141" i="1"/>
  <c r="H156" i="1" s="1"/>
  <c r="M88" i="5" s="1"/>
  <c r="J141" i="1"/>
  <c r="J156" i="1" s="1"/>
  <c r="Q88" i="5" s="1"/>
  <c r="L141" i="1"/>
  <c r="L156" i="1" s="1"/>
  <c r="U88" i="5" s="1"/>
  <c r="H91" i="6" l="1"/>
  <c r="X93" i="14"/>
  <c r="X97" i="14" s="1"/>
  <c r="M157" i="1"/>
  <c r="J88" i="6"/>
  <c r="I157" i="1"/>
  <c r="O88" i="5"/>
  <c r="E157" i="1"/>
  <c r="G88" i="5"/>
  <c r="H84" i="5"/>
  <c r="J84" i="5" s="1"/>
  <c r="L84" i="5" s="1"/>
  <c r="N84" i="5" s="1"/>
  <c r="P84" i="5" s="1"/>
  <c r="R84" i="5" s="1"/>
  <c r="T84" i="5" s="1"/>
  <c r="V84" i="5" s="1"/>
  <c r="X84" i="5" s="1"/>
  <c r="Z84" i="5" s="1"/>
  <c r="D89" i="5"/>
  <c r="H47" i="4"/>
  <c r="K155" i="1"/>
  <c r="K157" i="1" s="1"/>
  <c r="C155" i="1"/>
  <c r="C157" i="1" s="1"/>
  <c r="F155" i="1"/>
  <c r="F157" i="1" s="1"/>
  <c r="J155" i="1"/>
  <c r="J157" i="1" s="1"/>
  <c r="N155" i="1"/>
  <c r="N157" i="1" s="1"/>
  <c r="G155" i="1"/>
  <c r="G157" i="1" s="1"/>
  <c r="D155" i="1"/>
  <c r="D157" i="1" s="1"/>
  <c r="H155" i="1"/>
  <c r="H157" i="1" s="1"/>
  <c r="L155" i="1"/>
  <c r="L157" i="1" s="1"/>
  <c r="J91" i="6" l="1"/>
  <c r="Z93" i="14"/>
  <c r="Z97" i="14" s="1"/>
  <c r="L88" i="6"/>
  <c r="H89" i="5"/>
  <c r="H53" i="4"/>
  <c r="J47" i="4"/>
  <c r="L91" i="6" l="1"/>
  <c r="AB93" i="14"/>
  <c r="AB97" i="14" s="1"/>
  <c r="N88" i="6"/>
  <c r="J89" i="5"/>
  <c r="J53" i="4"/>
  <c r="L47" i="4"/>
  <c r="N91" i="6" l="1"/>
  <c r="AD93" i="14"/>
  <c r="AD97" i="14" s="1"/>
  <c r="P88" i="6"/>
  <c r="L89" i="5"/>
  <c r="N47" i="4"/>
  <c r="L53" i="4"/>
  <c r="P91" i="6" l="1"/>
  <c r="AF93" i="14"/>
  <c r="AF97" i="14" s="1"/>
  <c r="R88" i="6"/>
  <c r="N89" i="5"/>
  <c r="N53" i="4"/>
  <c r="P47" i="4"/>
  <c r="R91" i="6" l="1"/>
  <c r="AH93" i="14"/>
  <c r="AH97" i="14" s="1"/>
  <c r="T88" i="6"/>
  <c r="P89" i="5"/>
  <c r="R47" i="4"/>
  <c r="P53" i="4"/>
  <c r="T91" i="6" l="1"/>
  <c r="AJ93" i="14"/>
  <c r="AJ97" i="14" s="1"/>
  <c r="V88" i="6"/>
  <c r="R89" i="5"/>
  <c r="R53" i="4"/>
  <c r="T47" i="4"/>
  <c r="V91" i="6" l="1"/>
  <c r="AL93" i="14"/>
  <c r="AL97" i="14" s="1"/>
  <c r="X88" i="6"/>
  <c r="T89" i="5"/>
  <c r="V47" i="4"/>
  <c r="T53" i="4"/>
  <c r="X91" i="6" l="1"/>
  <c r="AN93" i="14"/>
  <c r="AN97" i="14" s="1"/>
  <c r="Z88" i="6"/>
  <c r="V89" i="5"/>
  <c r="V53" i="4"/>
  <c r="X47" i="4"/>
  <c r="Z91" i="6" l="1"/>
  <c r="AP93" i="14"/>
  <c r="AP97" i="14" s="1"/>
  <c r="AB88" i="6"/>
  <c r="X89" i="5"/>
  <c r="Z89" i="5"/>
  <c r="Z47" i="4"/>
  <c r="Z53" i="4" s="1"/>
  <c r="X53" i="4"/>
  <c r="AB91" i="6" l="1"/>
  <c r="AR93" i="14"/>
  <c r="AR97" i="14" s="1"/>
  <c r="AV43" i="23"/>
  <c r="AT173" i="23"/>
  <c r="AT178" i="23" s="1"/>
  <c r="AU179" i="23"/>
  <c r="AW179" i="23" s="1"/>
  <c r="AY179" i="23" s="1"/>
  <c r="BA179" i="23" s="1"/>
  <c r="BC179" i="23" s="1"/>
  <c r="BE179" i="23" s="1"/>
  <c r="BG179" i="23" s="1"/>
  <c r="BI179" i="23" s="1"/>
  <c r="BK179" i="23" s="1"/>
  <c r="BM179" i="23" s="1"/>
  <c r="BO179" i="23" s="1"/>
  <c r="AX43" i="23" l="1"/>
  <c r="AX173" i="23" s="1"/>
  <c r="AV173" i="23"/>
  <c r="AV178" i="23" s="1"/>
  <c r="AZ43" i="23" l="1"/>
  <c r="AZ173" i="23" s="1"/>
  <c r="AX178" i="23"/>
  <c r="AZ178" i="23" l="1"/>
  <c r="BB43" i="23"/>
  <c r="BB173" i="23" s="1"/>
  <c r="BB178" i="23" s="1"/>
  <c r="BD43" i="23"/>
  <c r="BD173" i="23" l="1"/>
  <c r="BD178" i="23" s="1"/>
  <c r="BF43" i="23"/>
  <c r="BF173" i="23" l="1"/>
  <c r="BF178" i="23" s="1"/>
  <c r="BH43" i="23"/>
  <c r="BH173" i="23" l="1"/>
  <c r="BH178" i="23" s="1"/>
  <c r="BJ43" i="23"/>
  <c r="BJ173" i="23" l="1"/>
  <c r="BJ178" i="23" s="1"/>
  <c r="BL43" i="23"/>
  <c r="BL173" i="23" s="1"/>
  <c r="BN43" i="23" l="1"/>
  <c r="BN173" i="23" s="1"/>
  <c r="BL178" i="23"/>
  <c r="BP43" i="23" l="1"/>
  <c r="BP178" i="23" s="1"/>
  <c r="BN17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L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josse</t>
        </r>
      </text>
    </comment>
    <comment ref="N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james</t>
        </r>
      </text>
    </comment>
    <comment ref="V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  louiche,regnault,rousseau,bacon,estorges,lecomte</t>
        </r>
      </text>
    </comment>
    <comment ref="P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terrasse bois</t>
        </r>
      </text>
    </comment>
    <comment ref="T1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+7269 VMC</t>
        </r>
      </text>
    </comment>
    <comment ref="V2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+3200iso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  <author>utilisateur</author>
  </authors>
  <commentList>
    <comment ref="V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billet</t>
        </r>
      </text>
    </comment>
    <comment ref="Z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flaguais(406) ,dupont(511)
manche (1570)</t>
        </r>
      </text>
    </comment>
    <comment ref="N4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MCR ref papillon</t>
        </r>
      </text>
    </comment>
    <comment ref="V4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escanor ferard,medhi vaucher (lozach,578)
</t>
        </r>
      </text>
    </comment>
    <comment ref="X4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vaucher ref LOZACH</t>
        </r>
      </text>
    </comment>
    <comment ref="Z4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MCR ref marie</t>
        </r>
      </text>
    </comment>
    <comment ref="L6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160x3=480</t>
        </r>
      </text>
    </comment>
    <comment ref="N6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+3x160</t>
        </r>
      </text>
    </comment>
    <comment ref="H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937 avenant+8000
</t>
        </r>
      </text>
    </comment>
    <comment ref="J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avenant 112,89</t>
        </r>
      </text>
    </comment>
    <comment ref="N1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+porte ssol +1026,93</t>
        </r>
      </text>
    </comment>
    <comment ref="T12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7686+3335,15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  <author>User</author>
  </authors>
  <commentList>
    <comment ref="G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lozach 423
marie 459</t>
        </r>
      </text>
    </comment>
    <comment ref="K3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porte ouverte vergriette
</t>
        </r>
      </text>
    </comment>
    <comment ref="M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Kite surf</t>
        </r>
      </text>
    </comment>
    <comment ref="Q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 pasquet REY BONNIEUX</t>
        </r>
      </text>
    </comment>
    <comment ref="U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 dubreul 276,26
Com Potet 1078,87</t>
        </r>
      </text>
    </comment>
    <comment ref="I4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lgo frais com : 1000</t>
        </r>
      </text>
    </comment>
    <comment ref="K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 MCR KITE SURF</t>
        </r>
      </text>
    </comment>
    <comment ref="M4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loret-anquetil
</t>
        </r>
      </text>
    </comment>
    <comment ref="Q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com planichape 183,02
com bacon 988,4</t>
        </r>
      </text>
    </comment>
    <comment ref="S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escanor marie 132,5
guillemette lozach 
262,38</t>
        </r>
      </text>
    </comment>
    <comment ref="W4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932,54 vaucher DAGORN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tc={DCBFC1EC-38E2-4755-8C9B-B703E6BD114E}</author>
    <author>tc={A307B086-CB74-4878-B1BD-B9BFAC33391D}</author>
  </authors>
  <commentList>
    <comment ref="AD25" authorId="0" shapeId="0" xr:uid="{DCBFC1EC-38E2-4755-8C9B-B703E6BD11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Non incluse dans le total</t>
      </text>
    </comment>
    <comment ref="AB26" authorId="1" shapeId="0" xr:uid="{A307B086-CB74-4878-B1BD-B9BFAC33391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 et déchet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tc={1CC49979-40F5-4823-A80B-99768194FACC}</author>
    <author>tc={36AC0E6B-5AA3-433F-8448-24168A567858}</author>
    <author>tc={32CEF073-00BC-46E5-AA32-81BBAC7F0CE2}</author>
    <author>tc={277AC80B-8998-4E31-A52B-11FD366094BB}</author>
  </authors>
  <commentList>
    <comment ref="AB35" authorId="0" shapeId="0" xr:uid="{1CC49979-40F5-4823-A80B-99768194FAC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Frais de déplacement et déchet </t>
      </text>
    </comment>
    <comment ref="D40" authorId="1" shapeId="0" xr:uid="{36AC0E6B-5AA3-433F-8448-24168A5678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Devis 18009903 : 262 262.35 €</t>
      </text>
    </comment>
    <comment ref="C75" authorId="2" shapeId="0" xr:uid="{32CEF073-00BC-46E5-AA32-81BBAC7F0C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Devis 18009980 : 41 395 .86 €</t>
      </text>
    </comment>
    <comment ref="AB117" authorId="3" shapeId="0" xr:uid="{277AC80B-8998-4E31-A52B-11FD36609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Tri déchets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tc={4CA8C1C6-EC95-4577-A508-DAAE18E231F9}</author>
    <author>tc={744423D2-6B62-42B4-9AC7-157931A5ECC4}</author>
    <author>tc={0C56B70B-6A60-4B27-9523-5CC874242E35}</author>
    <author>tc={314DAB77-FCEF-4C92-AAC0-40FD4DDBFB60}</author>
  </authors>
  <commentList>
    <comment ref="AC38" authorId="0" shapeId="0" xr:uid="{4CA8C1C6-EC95-4577-A508-DAAE18E231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Ts accès garage</t>
      </text>
    </comment>
    <comment ref="AU43" authorId="1" shapeId="0" xr:uid="{744423D2-6B62-42B4-9AC7-157931A5ECC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abris et cloture moins le TMA velux
Réponse :
    Modif sur 41D
</t>
      </text>
    </comment>
    <comment ref="AT77" authorId="2" shapeId="0" xr:uid="{0C56B70B-6A60-4B27-9523-5CC874242E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Ts casquette</t>
      </text>
    </comment>
    <comment ref="AX123" authorId="3" shapeId="0" xr:uid="{314DAB77-FCEF-4C92-AAC0-40FD4DDBFB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fourniture VMC</t>
      </text>
    </comment>
  </commentList>
</comments>
</file>

<file path=xl/sharedStrings.xml><?xml version="1.0" encoding="utf-8"?>
<sst xmlns="http://schemas.openxmlformats.org/spreadsheetml/2006/main" count="2192" uniqueCount="881">
  <si>
    <t>Noms</t>
  </si>
  <si>
    <t>CA prévu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</si>
  <si>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</si>
  <si>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</si>
  <si>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</si>
  <si>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</si>
  <si>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</si>
  <si>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</si>
  <si>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</si>
  <si>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</si>
  <si>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</si>
  <si>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</si>
  <si>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</si>
  <si>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</si>
  <si>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guilbert thales</t>
  </si>
  <si>
    <t xml:space="preserve">chaventre </t>
  </si>
  <si>
    <t>bisson</t>
  </si>
  <si>
    <t>mazonni</t>
  </si>
  <si>
    <t>chaignet -dubois</t>
  </si>
  <si>
    <t>saillard</t>
  </si>
  <si>
    <t>dumont cocain</t>
  </si>
  <si>
    <t>dumont lelong</t>
  </si>
  <si>
    <t>freire  olivier</t>
  </si>
  <si>
    <t>freire   bozec</t>
  </si>
  <si>
    <t>lemauf</t>
  </si>
  <si>
    <t>lemasle reno</t>
  </si>
  <si>
    <t>jeanne françoise</t>
  </si>
  <si>
    <r>
      <rPr>
        <sz val="11"/>
        <color rgb="FF0070C0"/>
        <rFont val="Arial"/>
        <family val="2"/>
      </rPr>
      <t xml:space="preserve">isoplaf devaux </t>
    </r>
    <r>
      <rPr>
        <sz val="11"/>
        <color rgb="FF000000"/>
        <rFont val="Arial"/>
        <family val="2"/>
      </rPr>
      <t>charp</t>
    </r>
  </si>
  <si>
    <r>
      <rPr>
        <sz val="11"/>
        <color rgb="FFC00000"/>
        <rFont val="Arial"/>
        <family val="2"/>
      </rPr>
      <t>breteau   mob</t>
    </r>
    <r>
      <rPr>
        <sz val="11"/>
        <color rgb="FF000000"/>
        <rFont val="Arial"/>
        <family val="2"/>
      </rPr>
      <t xml:space="preserve">       </t>
    </r>
  </si>
  <si>
    <t>scournec jean max</t>
  </si>
  <si>
    <t>rocton mob</t>
  </si>
  <si>
    <t>michel vinc mob</t>
  </si>
  <si>
    <t>perin</t>
  </si>
  <si>
    <t xml:space="preserve">viquesnel </t>
  </si>
  <si>
    <t>freire daniel</t>
  </si>
  <si>
    <t>deigneuret parquet</t>
  </si>
  <si>
    <t>hervieu st sylvain</t>
  </si>
  <si>
    <t xml:space="preserve">bellenger mob </t>
  </si>
  <si>
    <t>comm pasquet</t>
  </si>
  <si>
    <t>BENOIST YO</t>
  </si>
  <si>
    <t>cointo charpente</t>
  </si>
  <si>
    <t xml:space="preserve">scp michel </t>
  </si>
  <si>
    <t xml:space="preserve">desfeux reno </t>
  </si>
  <si>
    <t>besnier mob</t>
  </si>
  <si>
    <t>cauvin</t>
  </si>
  <si>
    <t xml:space="preserve">magny renov </t>
  </si>
  <si>
    <t>bondurand</t>
  </si>
  <si>
    <t>renouard</t>
  </si>
  <si>
    <t xml:space="preserve">RF rault renouf </t>
  </si>
  <si>
    <t>aec ref heckel</t>
  </si>
  <si>
    <t>ricateau</t>
  </si>
  <si>
    <t>la taverne andre</t>
  </si>
  <si>
    <t>carre olivier</t>
  </si>
  <si>
    <t>rf croteau</t>
  </si>
  <si>
    <t>rf  letourneur</t>
  </si>
  <si>
    <t>daigremont</t>
  </si>
  <si>
    <t>antoine ferreira</t>
  </si>
  <si>
    <t>pinçon</t>
  </si>
  <si>
    <t>regnauld</t>
  </si>
  <si>
    <t>foulon firma</t>
  </si>
  <si>
    <t>gardie david</t>
  </si>
  <si>
    <t>le mistral</t>
  </si>
  <si>
    <t>moblefevre manuel</t>
  </si>
  <si>
    <t>mob auber</t>
  </si>
  <si>
    <t>chebout mousset</t>
  </si>
  <si>
    <t>garnier</t>
  </si>
  <si>
    <t>rf lachouque</t>
  </si>
  <si>
    <t>sci la jalousie</t>
  </si>
  <si>
    <t>sarl ferme du parc</t>
  </si>
  <si>
    <t>phillippe nico</t>
  </si>
  <si>
    <t>lecoeur</t>
  </si>
  <si>
    <t>courbassier</t>
  </si>
  <si>
    <t>MOB GIRARD JORIS</t>
  </si>
  <si>
    <t>laigre bigot</t>
  </si>
  <si>
    <t xml:space="preserve">leblond </t>
  </si>
  <si>
    <t>gergaud</t>
  </si>
  <si>
    <t xml:space="preserve">dubosq </t>
  </si>
  <si>
    <t>poret caval</t>
  </si>
  <si>
    <t>cordon charp</t>
  </si>
  <si>
    <t>sci jls</t>
  </si>
  <si>
    <t>bouet</t>
  </si>
  <si>
    <t>hebert</t>
  </si>
  <si>
    <t>total devis signés</t>
  </si>
  <si>
    <t>total ligne</t>
  </si>
  <si>
    <r>
      <t xml:space="preserve">Total mensuel </t>
    </r>
    <r>
      <rPr>
        <sz val="11"/>
        <color rgb="FF000000"/>
        <rFont val="Arial"/>
        <family val="2"/>
      </rPr>
      <t>prévisionne</t>
    </r>
    <r>
      <rPr>
        <sz val="11"/>
        <color rgb="FF000000"/>
        <rFont val="Arial"/>
        <family val="2"/>
      </rPr>
      <t>l</t>
    </r>
  </si>
  <si>
    <t>Total mensuel</t>
  </si>
  <si>
    <t>Cumul CA réalisé</t>
  </si>
  <si>
    <r>
      <t xml:space="preserve">Total annuel </t>
    </r>
    <r>
      <rPr>
        <sz val="11"/>
        <color rgb="FF000000"/>
        <rFont val="Arial"/>
        <family val="2"/>
      </rPr>
      <t>prévisionne</t>
    </r>
    <r>
      <rPr>
        <sz val="11"/>
        <color rgb="FF000000"/>
        <rFont val="Arial"/>
        <family val="2"/>
      </rPr>
      <t>l</t>
    </r>
  </si>
  <si>
    <t>Total annuel</t>
  </si>
  <si>
    <t>2013-2014</t>
  </si>
  <si>
    <t>2014-2015</t>
  </si>
  <si>
    <t xml:space="preserve"> </t>
  </si>
  <si>
    <t>toutain</t>
  </si>
  <si>
    <t>maurice</t>
  </si>
  <si>
    <t>landron</t>
  </si>
  <si>
    <t>leloup</t>
  </si>
  <si>
    <t>mary etienne</t>
  </si>
  <si>
    <t>lefebvre letourneur</t>
  </si>
  <si>
    <t>delacotte</t>
  </si>
  <si>
    <t>fablet</t>
  </si>
  <si>
    <t>foulquier leveziel</t>
  </si>
  <si>
    <t>marie toit mondeville</t>
  </si>
  <si>
    <t>dechauffour</t>
  </si>
  <si>
    <t>moulinet</t>
  </si>
  <si>
    <t xml:space="preserve"> lycée malherbe</t>
  </si>
  <si>
    <t>feve damien</t>
  </si>
  <si>
    <t>mme etienne martine</t>
  </si>
  <si>
    <t>urban</t>
  </si>
  <si>
    <t>rf girard-marais</t>
  </si>
  <si>
    <t>pasquet menuiseries</t>
  </si>
  <si>
    <t>dauvergne</t>
  </si>
  <si>
    <t>carre</t>
  </si>
  <si>
    <t xml:space="preserve">mariepierre(ancerne </t>
  </si>
  <si>
    <t>hervieu</t>
  </si>
  <si>
    <t>sarl sosson depot repar</t>
  </si>
  <si>
    <t>sarl sosson sci galou</t>
  </si>
  <si>
    <t>suard    32000</t>
  </si>
  <si>
    <t>memet kilick</t>
  </si>
  <si>
    <t>josse</t>
  </si>
  <si>
    <t>benoist yohann</t>
  </si>
  <si>
    <t>bicard-burlot</t>
  </si>
  <si>
    <t xml:space="preserve">eoles aventures </t>
  </si>
  <si>
    <t>chaventre</t>
  </si>
  <si>
    <t>cfab cotonnière</t>
  </si>
  <si>
    <t>viglieri</t>
  </si>
  <si>
    <t>mairie bretteville</t>
  </si>
  <si>
    <t>bouyguesifs</t>
  </si>
  <si>
    <t>talmar</t>
  </si>
  <si>
    <t>isoplaf</t>
  </si>
  <si>
    <t>selle iso ite</t>
  </si>
  <si>
    <t>viquesnel mob</t>
  </si>
  <si>
    <t xml:space="preserve">legarrec terrasse  </t>
  </si>
  <si>
    <t>res fam rabout</t>
  </si>
  <si>
    <t>HERVIEU report oct14</t>
  </si>
  <si>
    <t>bonneau</t>
  </si>
  <si>
    <t>rf guillot</t>
  </si>
  <si>
    <t>RF SEYMOUR</t>
  </si>
  <si>
    <t>NOM</t>
  </si>
  <si>
    <t>JANVIER</t>
  </si>
  <si>
    <t>FEVRIER</t>
  </si>
  <si>
    <t>MARS</t>
  </si>
  <si>
    <t>AVRIL</t>
  </si>
  <si>
    <t>OCTOBRE</t>
  </si>
  <si>
    <t>NOVEMBRE</t>
  </si>
  <si>
    <t>DECEMBRE</t>
  </si>
  <si>
    <t>MAI</t>
  </si>
  <si>
    <t>JUIN</t>
  </si>
  <si>
    <t>JUILLET</t>
  </si>
  <si>
    <t>AOUT</t>
  </si>
  <si>
    <t>SEPTEMBRE</t>
  </si>
  <si>
    <t>prévu</t>
  </si>
  <si>
    <t>réalisé</t>
  </si>
  <si>
    <t>CA/contrat</t>
  </si>
  <si>
    <t>TOTAL</t>
  </si>
  <si>
    <t>TOTAL CA réalisé</t>
  </si>
  <si>
    <t>TOTAL CA  mensuel prévu</t>
  </si>
  <si>
    <t>TOTAL CA réalisé cumulé</t>
  </si>
  <si>
    <t>Cumul CA réalisé 2015-16</t>
  </si>
  <si>
    <t>Cumul CA réalisé 2016-17</t>
  </si>
  <si>
    <t>Cumul CA réalisé 2014-15</t>
  </si>
  <si>
    <t>% évolution année n-1</t>
  </si>
  <si>
    <t>PASQUET commission</t>
  </si>
  <si>
    <t>SARL ferme du parc</t>
  </si>
  <si>
    <t>Antoine Ferrera POPUP</t>
  </si>
  <si>
    <t xml:space="preserve">Lefevre </t>
  </si>
  <si>
    <t>Auber</t>
  </si>
  <si>
    <t>Poret Caval</t>
  </si>
  <si>
    <t>Bouet</t>
  </si>
  <si>
    <t>Hebert</t>
  </si>
  <si>
    <t>Chérance</t>
  </si>
  <si>
    <t>Regnault</t>
  </si>
  <si>
    <t>PINCON</t>
  </si>
  <si>
    <t>ROUILLE</t>
  </si>
  <si>
    <t>ESNAULT</t>
  </si>
  <si>
    <t>MALECOT</t>
  </si>
  <si>
    <t>CARRE</t>
  </si>
  <si>
    <t>LA TAVERNE</t>
  </si>
  <si>
    <t>RAVENEL</t>
  </si>
  <si>
    <t>APAEI</t>
  </si>
  <si>
    <t>MARAIS</t>
  </si>
  <si>
    <t>RF JACQUELIN</t>
  </si>
  <si>
    <t>RF JARDIN</t>
  </si>
  <si>
    <t>DENIS Archiviolette</t>
  </si>
  <si>
    <t>CHAPRON</t>
  </si>
  <si>
    <t>RF MELENNE</t>
  </si>
  <si>
    <t>AASSGARD</t>
  </si>
  <si>
    <t>SCI LA JALOUSIE</t>
  </si>
  <si>
    <t>SBTP BIHEL</t>
  </si>
  <si>
    <t>VALDENAIRE</t>
  </si>
  <si>
    <t>GRUAU</t>
  </si>
  <si>
    <t>RF LEMETTEIL</t>
  </si>
  <si>
    <t>RF VICQUELIN</t>
  </si>
  <si>
    <t>SCI GALOU</t>
  </si>
  <si>
    <t>PRIGENT</t>
  </si>
  <si>
    <t>EARL FERME DU PARC</t>
  </si>
  <si>
    <t>RF LESENECHAL</t>
  </si>
  <si>
    <t>RF HGP</t>
  </si>
  <si>
    <t>SARL ESNAULT LES MARINAS</t>
  </si>
  <si>
    <t>DAUMESNIL</t>
  </si>
  <si>
    <t>CORTEQUISSE ext</t>
  </si>
  <si>
    <t>JORIS GIRARD</t>
  </si>
  <si>
    <t>SAITER</t>
  </si>
  <si>
    <t>BUNEL terrasse</t>
  </si>
  <si>
    <t>REANULT 2B peinture</t>
  </si>
  <si>
    <t>DUVAL à moult</t>
  </si>
  <si>
    <t>RF CORNILLE</t>
  </si>
  <si>
    <t>DUBOIS CHAIGNET</t>
  </si>
  <si>
    <t>RF LOHARD</t>
  </si>
  <si>
    <t>RF MANGION</t>
  </si>
  <si>
    <t>RF RICHARD</t>
  </si>
  <si>
    <t>LEBOUCHER ext</t>
  </si>
  <si>
    <t>ROSELIER</t>
  </si>
  <si>
    <t>BILLE francois</t>
  </si>
  <si>
    <t>BOUILLARD</t>
  </si>
  <si>
    <t>DE SOUSA</t>
  </si>
  <si>
    <t>TANGUY</t>
  </si>
  <si>
    <t>L'audacieuse</t>
  </si>
  <si>
    <t>BACON</t>
  </si>
  <si>
    <t>SAMSON</t>
  </si>
  <si>
    <t xml:space="preserve">GASTON samuel </t>
  </si>
  <si>
    <t>SOCHON</t>
  </si>
  <si>
    <t>CHAUVEL</t>
  </si>
  <si>
    <t>LEMANISSIER</t>
  </si>
  <si>
    <t>LEYEUCH</t>
  </si>
  <si>
    <t>GOUESLARD</t>
  </si>
  <si>
    <t>TOTAL CA prévu cumulé</t>
  </si>
  <si>
    <t>TOTAL CA mensuel réalisé</t>
  </si>
  <si>
    <t>rf SORTON</t>
  </si>
  <si>
    <t>rf tardif</t>
  </si>
  <si>
    <t>jouannot</t>
  </si>
  <si>
    <t>stab</t>
  </si>
  <si>
    <t>guilloux</t>
  </si>
  <si>
    <t>rf sabatier</t>
  </si>
  <si>
    <t xml:space="preserve">rf russ </t>
  </si>
  <si>
    <t>sarl ecs bretteville</t>
  </si>
  <si>
    <t>GODIN</t>
  </si>
  <si>
    <t>fossey</t>
  </si>
  <si>
    <t>jegou</t>
  </si>
  <si>
    <t>corbion</t>
  </si>
  <si>
    <t>lotton</t>
  </si>
  <si>
    <t>letourneur</t>
  </si>
  <si>
    <t>college sacre cœur</t>
  </si>
  <si>
    <t>suard</t>
  </si>
  <si>
    <t xml:space="preserve">marie nadine </t>
  </si>
  <si>
    <t>delahayes</t>
  </si>
  <si>
    <t>poulain</t>
  </si>
  <si>
    <t>cointo</t>
  </si>
  <si>
    <t>hamon</t>
  </si>
  <si>
    <t>cardet</t>
  </si>
  <si>
    <t xml:space="preserve">le de </t>
  </si>
  <si>
    <t>marie stephanie</t>
  </si>
  <si>
    <t>hamel extension</t>
  </si>
  <si>
    <t>hamel reno</t>
  </si>
  <si>
    <t>huard</t>
  </si>
  <si>
    <t>queron</t>
  </si>
  <si>
    <t>james</t>
  </si>
  <si>
    <t>peltier</t>
  </si>
  <si>
    <t>perret</t>
  </si>
  <si>
    <t>guiboux</t>
  </si>
  <si>
    <t>lefevre</t>
  </si>
  <si>
    <t>duquenoy</t>
  </si>
  <si>
    <t xml:space="preserve">defibat </t>
  </si>
  <si>
    <t xml:space="preserve">leclerc charp     </t>
  </si>
  <si>
    <t>bugenne</t>
  </si>
  <si>
    <t>skrzypeck</t>
  </si>
  <si>
    <t>perree</t>
  </si>
  <si>
    <t>henry ifs</t>
  </si>
  <si>
    <t>desnos</t>
  </si>
  <si>
    <t>CA/prevision</t>
  </si>
  <si>
    <t>mickaelis</t>
  </si>
  <si>
    <t>bacon</t>
  </si>
  <si>
    <t>hoste</t>
  </si>
  <si>
    <t xml:space="preserve">louiche </t>
  </si>
  <si>
    <t>rf goubin</t>
  </si>
  <si>
    <t>patrignani</t>
  </si>
  <si>
    <t xml:space="preserve">FAUNY </t>
  </si>
  <si>
    <t>JARDIN via C. CABARET</t>
  </si>
  <si>
    <t>Rousseau</t>
  </si>
  <si>
    <t>De Souza</t>
  </si>
  <si>
    <t>bihel sbtp</t>
  </si>
  <si>
    <t>estorges</t>
  </si>
  <si>
    <t>crosfit</t>
  </si>
  <si>
    <t>rf ablin</t>
  </si>
  <si>
    <t>pezant</t>
  </si>
  <si>
    <t>thomann</t>
  </si>
  <si>
    <t>ccs international</t>
  </si>
  <si>
    <t>lequitte</t>
  </si>
  <si>
    <t>pelloin</t>
  </si>
  <si>
    <t>mealet</t>
  </si>
  <si>
    <t>camping</t>
  </si>
  <si>
    <t>sci fill st sylvain</t>
  </si>
  <si>
    <t>euromatec</t>
  </si>
  <si>
    <t>ledorze</t>
  </si>
  <si>
    <t>lecomte</t>
  </si>
  <si>
    <t>bresson</t>
  </si>
  <si>
    <t>rf plancher</t>
  </si>
  <si>
    <t>Germain</t>
  </si>
  <si>
    <t>Morotti</t>
  </si>
  <si>
    <t>Gabriel</t>
  </si>
  <si>
    <t>martin</t>
  </si>
  <si>
    <t>taillepied</t>
  </si>
  <si>
    <t>naceur</t>
  </si>
  <si>
    <t>MORLET blonville sur mer</t>
  </si>
  <si>
    <t>vandermersch</t>
  </si>
  <si>
    <t>Cumul CA réalisé 2017-18</t>
  </si>
  <si>
    <t>QUEMENER</t>
  </si>
  <si>
    <t>GOULAIN</t>
  </si>
  <si>
    <t>PELTIER</t>
  </si>
  <si>
    <t>LEDORZE</t>
  </si>
  <si>
    <t>GERMAIN</t>
  </si>
  <si>
    <t>SARL LA FOURNEE</t>
  </si>
  <si>
    <t>FERARD</t>
  </si>
  <si>
    <t>MOREL</t>
  </si>
  <si>
    <t>GABRIEL</t>
  </si>
  <si>
    <t>CHAMPION</t>
  </si>
  <si>
    <t>AMCM</t>
  </si>
  <si>
    <t>SCI IFL</t>
  </si>
  <si>
    <t>SCI DES MOTTETS</t>
  </si>
  <si>
    <t xml:space="preserve">TALMAR </t>
  </si>
  <si>
    <t>PAPILLON</t>
  </si>
  <si>
    <t>LOPEZ</t>
  </si>
  <si>
    <t>MANCHE</t>
  </si>
  <si>
    <t>MOROTTI</t>
  </si>
  <si>
    <t>DEFLIN</t>
  </si>
  <si>
    <t>GUIBOUT</t>
  </si>
  <si>
    <t>ESTORGES</t>
  </si>
  <si>
    <t>LASTELLE</t>
  </si>
  <si>
    <t>VERGRIETE</t>
  </si>
  <si>
    <t>MARIE</t>
  </si>
  <si>
    <t>KITE SURF</t>
  </si>
  <si>
    <t>GIRARD</t>
  </si>
  <si>
    <t>CADIEU NOURY</t>
  </si>
  <si>
    <t>FOUREY</t>
  </si>
  <si>
    <t>FLAGUAIS</t>
  </si>
  <si>
    <t>BOUET</t>
  </si>
  <si>
    <t>DLH</t>
  </si>
  <si>
    <t xml:space="preserve">JOLY </t>
  </si>
  <si>
    <t>NOGENT</t>
  </si>
  <si>
    <t>DARDE</t>
  </si>
  <si>
    <t>DUPONT CHALESLE</t>
  </si>
  <si>
    <t>VAUCHER</t>
  </si>
  <si>
    <t>LOZACH MARY</t>
  </si>
  <si>
    <t>GIRRE</t>
  </si>
  <si>
    <t>LOBERGER</t>
  </si>
  <si>
    <t>SOFINAB (crocus)</t>
  </si>
  <si>
    <t>LE LOUARN</t>
  </si>
  <si>
    <t>BILLET</t>
  </si>
  <si>
    <t>Commission ST</t>
  </si>
  <si>
    <t>SINIGAGLIA</t>
  </si>
  <si>
    <t>DAGORN</t>
  </si>
  <si>
    <t>MARABETTI</t>
  </si>
  <si>
    <t>AGELIA</t>
  </si>
  <si>
    <t>Cumul CA réalisé 2018-19</t>
  </si>
  <si>
    <t>ANQUETIL</t>
  </si>
  <si>
    <t>SCI PRJ</t>
  </si>
  <si>
    <t>LEVEQUE</t>
  </si>
  <si>
    <t>COYER</t>
  </si>
  <si>
    <t>LOCK QUEST</t>
  </si>
  <si>
    <t>DE JEAN</t>
  </si>
  <si>
    <t>LE MASSON</t>
  </si>
  <si>
    <t>TESSON</t>
  </si>
  <si>
    <t>MAINCENT</t>
  </si>
  <si>
    <t>ROHRBACH</t>
  </si>
  <si>
    <t>JOUAULT</t>
  </si>
  <si>
    <t>BRETEAU</t>
  </si>
  <si>
    <t>PHILIPPE</t>
  </si>
  <si>
    <t>MAILLARD</t>
  </si>
  <si>
    <t>DELAMARE</t>
  </si>
  <si>
    <t>PARISOTTO</t>
  </si>
  <si>
    <t>spie batignol</t>
  </si>
  <si>
    <t>DUPONT CHALESLE iso ext</t>
  </si>
  <si>
    <t>LETOURNEUR</t>
  </si>
  <si>
    <t>POTET</t>
  </si>
  <si>
    <t>PREVEL</t>
  </si>
  <si>
    <t>DESFEUX</t>
  </si>
  <si>
    <t xml:space="preserve">DARDE </t>
  </si>
  <si>
    <t>COLORE CAEN</t>
  </si>
  <si>
    <t>BENOIST</t>
  </si>
  <si>
    <t>DUBREUL</t>
  </si>
  <si>
    <t>RAOULT</t>
  </si>
  <si>
    <t>CABOURG</t>
  </si>
  <si>
    <t>RF FLIPO</t>
  </si>
  <si>
    <t>HULIN</t>
  </si>
  <si>
    <t>LEROULLIER</t>
  </si>
  <si>
    <t>GOSSET</t>
  </si>
  <si>
    <t>ATILLA (EPSM)</t>
  </si>
  <si>
    <t>GUIMOND</t>
  </si>
  <si>
    <t>CAUCE via joris cenier</t>
  </si>
  <si>
    <t>CHAO</t>
  </si>
  <si>
    <t>MCR</t>
  </si>
  <si>
    <t>PASQUET</t>
  </si>
  <si>
    <t>AUVRAY</t>
  </si>
  <si>
    <t>PLANICHAPE</t>
  </si>
  <si>
    <t>ESCANOR</t>
  </si>
  <si>
    <t>LGO</t>
  </si>
  <si>
    <t>DARCILLON</t>
  </si>
  <si>
    <t>ROUSSEL</t>
  </si>
  <si>
    <t>SHACHER</t>
  </si>
  <si>
    <t>HAMEL</t>
  </si>
  <si>
    <t>BOEUVE</t>
  </si>
  <si>
    <t xml:space="preserve">Commission PASQUET </t>
  </si>
  <si>
    <t xml:space="preserve">  </t>
  </si>
  <si>
    <t>BRODIN</t>
  </si>
  <si>
    <t>GEZE</t>
  </si>
  <si>
    <t>THIRE</t>
  </si>
  <si>
    <t>JAGER</t>
  </si>
  <si>
    <t>BROUARD</t>
  </si>
  <si>
    <t>ZAGHBOUNI</t>
  </si>
  <si>
    <t>SCI WATIER</t>
  </si>
  <si>
    <t>AGREN</t>
  </si>
  <si>
    <t>BICARD</t>
  </si>
  <si>
    <t>TOTAL CA réalisé cumulé 2019 2020</t>
  </si>
  <si>
    <t>TOTAL CA réalisé cumulé 2018-2019</t>
  </si>
  <si>
    <t>ATILLA (Bardage)</t>
  </si>
  <si>
    <t>LEVEQUE GARAGE</t>
  </si>
  <si>
    <t>GERNAULT - IBANESCU</t>
  </si>
  <si>
    <t>CHESNEL</t>
  </si>
  <si>
    <t>TOTAL CA réalisé cumulé 2020 2021</t>
  </si>
  <si>
    <t>SCHIEL</t>
  </si>
  <si>
    <t>SOURDIN</t>
  </si>
  <si>
    <t>cee</t>
  </si>
  <si>
    <t>ROUILLARD</t>
  </si>
  <si>
    <t>LALLOZ</t>
  </si>
  <si>
    <t>RF ROUSSEL</t>
  </si>
  <si>
    <t>FROGER</t>
  </si>
  <si>
    <t>LEROUX</t>
  </si>
  <si>
    <t>EXAEQUO</t>
  </si>
  <si>
    <t>MAHE</t>
  </si>
  <si>
    <t xml:space="preserve">LEBOUCHER </t>
  </si>
  <si>
    <t>ROBIN</t>
  </si>
  <si>
    <t>BANSE BROTELANDE</t>
  </si>
  <si>
    <t>LECLEIR</t>
  </si>
  <si>
    <t>GESLIN</t>
  </si>
  <si>
    <t>SCI LABRADORITE</t>
  </si>
  <si>
    <t>MANOIR POMMERAIE</t>
  </si>
  <si>
    <t>PORET</t>
  </si>
  <si>
    <t>CLET CARON</t>
  </si>
  <si>
    <t>BRETAGNE</t>
  </si>
  <si>
    <t>ARCHE DES BEBES</t>
  </si>
  <si>
    <t>TOTAL CA mensuel réalisé N-1</t>
  </si>
  <si>
    <t>TOTAL CA mensuel réalisé N-2</t>
  </si>
  <si>
    <t>HUARD</t>
  </si>
  <si>
    <t>TOTAL CA réalisé cumulé N-1</t>
  </si>
  <si>
    <t>TOTAL CA réalisé cumulé N-2</t>
  </si>
  <si>
    <t>GUEDON</t>
  </si>
  <si>
    <t>DELENTE</t>
  </si>
  <si>
    <t>PREV 2021/2022</t>
  </si>
  <si>
    <t>2021/2022</t>
  </si>
  <si>
    <t>CHAVENTRE</t>
  </si>
  <si>
    <t>DUMAT MATTA</t>
  </si>
  <si>
    <t>GUILLEMETTE</t>
  </si>
  <si>
    <t>ANG14</t>
  </si>
  <si>
    <t>GUENON TP</t>
  </si>
  <si>
    <t>VAUCHER medhi</t>
  </si>
  <si>
    <t>MATHIEU GODEY - AMG</t>
  </si>
  <si>
    <t>BOURDON Stéphane</t>
  </si>
  <si>
    <t>DIMITRI DESMONTS</t>
  </si>
  <si>
    <t>BH MACONNERIE BUNOT</t>
  </si>
  <si>
    <t>ETOURMY BAILLY</t>
  </si>
  <si>
    <t>BAZIRE Vincent</t>
  </si>
  <si>
    <t>LORET</t>
  </si>
  <si>
    <t>CAGNARD</t>
  </si>
  <si>
    <t>MARELEC</t>
  </si>
  <si>
    <t>VERGRIETTE Karl</t>
  </si>
  <si>
    <t>PIERRE Denis</t>
  </si>
  <si>
    <t>BACON Alvin</t>
  </si>
  <si>
    <t>BTHN</t>
  </si>
  <si>
    <t>BROSSARD</t>
  </si>
  <si>
    <t>MONTFOURNY</t>
  </si>
  <si>
    <t>MAIRIE EVRECY</t>
  </si>
  <si>
    <t>BICART</t>
  </si>
  <si>
    <t>BOUILLET</t>
  </si>
  <si>
    <t>GERBAULT - IBANESCU</t>
  </si>
  <si>
    <t>GEZE existant</t>
  </si>
  <si>
    <t>GEZE extension</t>
  </si>
  <si>
    <t>PREVOST</t>
  </si>
  <si>
    <t>DUCHENNE</t>
  </si>
  <si>
    <t>CUVIGNY</t>
  </si>
  <si>
    <t>loret avoir</t>
  </si>
  <si>
    <t>Chantier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</si>
  <si>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</si>
  <si>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</si>
  <si>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</si>
  <si>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</si>
  <si>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</si>
  <si>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</si>
  <si>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</si>
  <si>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</si>
  <si>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</si>
  <si>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</si>
  <si>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</si>
  <si>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</si>
  <si>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prépa</t>
  </si>
  <si>
    <t>STEPH</t>
  </si>
  <si>
    <t>BEN</t>
  </si>
  <si>
    <t>GEOF</t>
  </si>
  <si>
    <t>THEO</t>
  </si>
  <si>
    <t>pose ossature</t>
  </si>
  <si>
    <t>BAPT</t>
  </si>
  <si>
    <t>JOF</t>
  </si>
  <si>
    <t>ALEX</t>
  </si>
  <si>
    <t>CLEM</t>
  </si>
  <si>
    <t>pose charpente</t>
  </si>
  <si>
    <t>THOM</t>
  </si>
  <si>
    <t>GERBAULT</t>
  </si>
  <si>
    <t>BARDAGE</t>
  </si>
  <si>
    <t>PLACO</t>
  </si>
  <si>
    <t>DIVERS</t>
  </si>
  <si>
    <t>BROTELANDE</t>
  </si>
  <si>
    <t>DUCHAINE</t>
  </si>
  <si>
    <t>ARCHE BEBE</t>
  </si>
  <si>
    <t>PREPA</t>
  </si>
  <si>
    <t>POSE OSSATURE</t>
  </si>
  <si>
    <t>POSE CHARPENTE</t>
  </si>
  <si>
    <t>POSE MENUISERIE</t>
  </si>
  <si>
    <t>Ref chantier</t>
  </si>
  <si>
    <t>Pévision</t>
  </si>
  <si>
    <t>contrat</t>
  </si>
  <si>
    <t>Ossature</t>
  </si>
  <si>
    <t>Charpente</t>
  </si>
  <si>
    <t xml:space="preserve">Isolation étanchéité </t>
  </si>
  <si>
    <t>platrerie isolation</t>
  </si>
  <si>
    <t>menuiserie exterieur</t>
  </si>
  <si>
    <t>menuiserie interieur</t>
  </si>
  <si>
    <t>Bardage</t>
  </si>
  <si>
    <t>Divers</t>
  </si>
  <si>
    <t>Frais D'étude</t>
  </si>
  <si>
    <t>total</t>
  </si>
  <si>
    <t>chiffre d'affaires</t>
  </si>
  <si>
    <t xml:space="preserve">pose menuiserie &amp; iso </t>
  </si>
  <si>
    <t xml:space="preserve">BASSIERE </t>
  </si>
  <si>
    <t>FRANCOIS</t>
  </si>
  <si>
    <t>flipo portail</t>
  </si>
  <si>
    <t>CHATELIN</t>
  </si>
  <si>
    <t>LEMOINE</t>
  </si>
  <si>
    <t>HERBLOT</t>
  </si>
  <si>
    <t>CROCHARD</t>
  </si>
  <si>
    <t>Mairie de MOULT</t>
  </si>
  <si>
    <t xml:space="preserve">OSSATURE </t>
  </si>
  <si>
    <t>BOIS</t>
  </si>
  <si>
    <t>OB</t>
  </si>
  <si>
    <t>%</t>
  </si>
  <si>
    <t>CHARPENTE</t>
  </si>
  <si>
    <t>CB</t>
  </si>
  <si>
    <t>MENUISERIE</t>
  </si>
  <si>
    <t>EXT</t>
  </si>
  <si>
    <t>MX</t>
  </si>
  <si>
    <t>BA</t>
  </si>
  <si>
    <t>ISOLATION</t>
  </si>
  <si>
    <t>ETANCHEITE</t>
  </si>
  <si>
    <t>IEA</t>
  </si>
  <si>
    <t>PLATRERIE</t>
  </si>
  <si>
    <t>PII</t>
  </si>
  <si>
    <t>DIV</t>
  </si>
  <si>
    <t>EXTERIEURE</t>
  </si>
  <si>
    <t>ISO INT MI</t>
  </si>
  <si>
    <t>VIVIER</t>
  </si>
  <si>
    <t>FOUQUES mam bassene</t>
  </si>
  <si>
    <t>MARTINS</t>
  </si>
  <si>
    <t>2022/2023</t>
  </si>
  <si>
    <t>PREV 2022/2023</t>
  </si>
  <si>
    <t>TOTAL CA réalisé cumulé 2021 2022</t>
  </si>
  <si>
    <t>SCI MICSTEPH</t>
  </si>
  <si>
    <t xml:space="preserve">SCI AMSD </t>
  </si>
  <si>
    <t>GUIBERT (Geslin)</t>
  </si>
  <si>
    <t>MEURIOT (LGO BE HOME)</t>
  </si>
  <si>
    <t>LEFRANCOIS (Evrecy)</t>
  </si>
  <si>
    <t>BOUQUIN</t>
  </si>
  <si>
    <t>GIRARD double Flux fourniture</t>
  </si>
  <si>
    <t>Guilloux Materiaux</t>
  </si>
  <si>
    <t>LIGNE EXEMPLE GARDER</t>
  </si>
  <si>
    <t>ADB TREVIERS</t>
  </si>
  <si>
    <t>ADB VAL D'ARRY</t>
  </si>
  <si>
    <t>MONTFOURNY SCI M.A.F.X</t>
  </si>
  <si>
    <t>SCI PALLIERE</t>
  </si>
  <si>
    <t>JARDIN</t>
  </si>
  <si>
    <t>LEGRAS</t>
  </si>
  <si>
    <t>FIEFFE</t>
  </si>
  <si>
    <t>LECOEUR</t>
  </si>
  <si>
    <t>THOUVENIN</t>
  </si>
  <si>
    <t>ETUDE
 SUIVI</t>
  </si>
  <si>
    <t>THEREZE</t>
  </si>
  <si>
    <t>HOTEL ZENITH</t>
  </si>
  <si>
    <t>DEVEZAUX</t>
  </si>
  <si>
    <t>AMRAM (charpente)</t>
  </si>
  <si>
    <t>SCI FELAH</t>
  </si>
  <si>
    <t xml:space="preserve">ROULLIER </t>
  </si>
  <si>
    <t>GOURDIER</t>
  </si>
  <si>
    <t>DMUB SARLJULMAS</t>
  </si>
  <si>
    <t>DUMAS</t>
  </si>
  <si>
    <t>LVM14</t>
  </si>
  <si>
    <t>STENOU/BALOCHE</t>
  </si>
  <si>
    <t>JAMIN</t>
  </si>
  <si>
    <t>JALALI</t>
  </si>
  <si>
    <t xml:space="preserve">mairie de perriere </t>
  </si>
  <si>
    <t>GONI-LACAZA</t>
  </si>
  <si>
    <t>CLAPAREDE</t>
  </si>
  <si>
    <t>Ecole Merville</t>
  </si>
  <si>
    <t>HERVIEUX</t>
  </si>
  <si>
    <t>SAUSSAYE</t>
  </si>
  <si>
    <t>PATIN</t>
  </si>
  <si>
    <t>mairie de perrière 2</t>
  </si>
  <si>
    <t>LAINE JAMET</t>
  </si>
  <si>
    <t>GRARD</t>
  </si>
  <si>
    <t>KGBR</t>
  </si>
  <si>
    <t>HOFLACK</t>
  </si>
  <si>
    <t>LEPLE</t>
  </si>
  <si>
    <t>BASSIERE 2</t>
  </si>
  <si>
    <t>CHATRE</t>
  </si>
  <si>
    <t xml:space="preserve">bernard </t>
  </si>
  <si>
    <t>CHATELET</t>
  </si>
  <si>
    <t>BRUNEAU</t>
  </si>
  <si>
    <t>MARIE Aurelien</t>
  </si>
  <si>
    <t xml:space="preserve">SCHIEL </t>
  </si>
  <si>
    <t>SAUTOT</t>
  </si>
  <si>
    <t>DEPREZ</t>
  </si>
  <si>
    <t>DELACOUR</t>
  </si>
  <si>
    <t>GRARD ORABONA</t>
  </si>
  <si>
    <t>HERVE SIMON</t>
  </si>
  <si>
    <t>LIAUTAUD</t>
  </si>
  <si>
    <t>ARNOULT LEMOINE</t>
  </si>
  <si>
    <t>BERGARD</t>
  </si>
  <si>
    <t>RENAUDE</t>
  </si>
  <si>
    <t>GRANGE</t>
  </si>
  <si>
    <t>SCHACHER</t>
  </si>
  <si>
    <t>FERRE</t>
  </si>
  <si>
    <t>LANGLOIS</t>
  </si>
  <si>
    <t>TOTAL CA réalisé cumulé 2022 2023</t>
  </si>
  <si>
    <t>mairie de combray</t>
  </si>
  <si>
    <t>HENRY</t>
  </si>
  <si>
    <t>LE TANNEUR</t>
  </si>
  <si>
    <t>STENOU</t>
  </si>
  <si>
    <t>SAISON</t>
  </si>
  <si>
    <t>BOURGET/POPOVIC</t>
  </si>
  <si>
    <t>lavoir 3 perrieres</t>
  </si>
  <si>
    <t>SAVARY</t>
  </si>
  <si>
    <t>COUVERTURE</t>
  </si>
  <si>
    <t>BILLOIN HEUGUEBART</t>
  </si>
  <si>
    <t>DUFOUR</t>
  </si>
  <si>
    <t>GAUGUIN</t>
  </si>
  <si>
    <t>PERIOT</t>
  </si>
  <si>
    <t>2023/2024</t>
  </si>
  <si>
    <t>DELORME</t>
  </si>
  <si>
    <t>POCHAT</t>
  </si>
  <si>
    <t>FERRARO</t>
  </si>
  <si>
    <t>HARDOIN</t>
  </si>
  <si>
    <t>SCI NOMELANI</t>
  </si>
  <si>
    <t>DELENTECOMMELCHAL</t>
  </si>
  <si>
    <t>VITAL SPORT IFS</t>
  </si>
  <si>
    <t>ALLEMAGNE</t>
  </si>
  <si>
    <t>KLEBANER</t>
  </si>
  <si>
    <t>LOCKQUEST</t>
  </si>
  <si>
    <t>GABARD</t>
  </si>
  <si>
    <t>LE CUZIAT</t>
  </si>
  <si>
    <t>ARTU MAUBANC</t>
  </si>
  <si>
    <t>BLOTTIERE LAMARRE</t>
  </si>
  <si>
    <t>FERRARO TERRASSE</t>
  </si>
  <si>
    <t>DARNEY BATISTA</t>
  </si>
  <si>
    <t>DUPONT</t>
  </si>
  <si>
    <t>SUIVI</t>
  </si>
  <si>
    <t>ETUDE</t>
  </si>
  <si>
    <t>TERRASSE</t>
  </si>
  <si>
    <t>VMC</t>
  </si>
  <si>
    <t>TE</t>
  </si>
  <si>
    <t>SUIV</t>
  </si>
  <si>
    <t>ETU</t>
  </si>
  <si>
    <t>ISO EXT</t>
  </si>
  <si>
    <t>IE</t>
  </si>
  <si>
    <t>IMEA</t>
  </si>
  <si>
    <t>Maisons</t>
  </si>
  <si>
    <t>Extensions</t>
  </si>
  <si>
    <t>Charpentes</t>
  </si>
  <si>
    <t>Rénovations énergetiques</t>
  </si>
  <si>
    <t>Couvertures</t>
  </si>
  <si>
    <t>GUE</t>
  </si>
  <si>
    <t>BINET</t>
  </si>
  <si>
    <t>MARIE (Sannerville)</t>
  </si>
  <si>
    <t>POREE Romane</t>
  </si>
  <si>
    <t>TOTAL CA réalisé cumulé 2023 2024</t>
  </si>
  <si>
    <t>SAVARY 2</t>
  </si>
  <si>
    <t>ISABELLE</t>
  </si>
  <si>
    <t>PARKOUR</t>
  </si>
  <si>
    <t>MARTIN (Bourguebus)</t>
  </si>
  <si>
    <t>PEZIER (Langrune)</t>
  </si>
  <si>
    <t xml:space="preserve">mairie de BSL </t>
  </si>
  <si>
    <t>Facturation BE HOME</t>
  </si>
  <si>
    <t>SAVARY 01</t>
  </si>
  <si>
    <t>facture location NESTA+FIAT</t>
  </si>
  <si>
    <t>BONNEAU</t>
  </si>
  <si>
    <t>ALTO</t>
  </si>
  <si>
    <t>CLEMENT</t>
  </si>
  <si>
    <t>SCI JPBLB</t>
  </si>
  <si>
    <t>CAEN COUVERTURES</t>
  </si>
  <si>
    <t>GROUSSARD</t>
  </si>
  <si>
    <t>STENOU Gilles 2</t>
  </si>
  <si>
    <t xml:space="preserve">DUMAT 2 </t>
  </si>
  <si>
    <t>SAS LPCR</t>
  </si>
  <si>
    <t>DESLOGES (RF)</t>
  </si>
  <si>
    <t>GUILLOT 3</t>
  </si>
  <si>
    <t>GUILLOT 2</t>
  </si>
  <si>
    <t>GUILLOT 1</t>
  </si>
  <si>
    <t>MOULINET</t>
  </si>
  <si>
    <t>BOMPTEMPS</t>
  </si>
  <si>
    <t>AMRAM</t>
  </si>
  <si>
    <t>BRIAND</t>
  </si>
  <si>
    <t>GARNIER</t>
  </si>
  <si>
    <t>HUBER</t>
  </si>
  <si>
    <t>CFA Normandie</t>
  </si>
  <si>
    <t>CROSVILLE</t>
  </si>
  <si>
    <t>2024/2025</t>
  </si>
  <si>
    <t>MAIRIE DE COMBRAY</t>
  </si>
  <si>
    <t>PREV 2024/2025</t>
  </si>
  <si>
    <t>BERGAR</t>
  </si>
  <si>
    <t>SCI LA MOINERIE</t>
  </si>
  <si>
    <t>MORIVAL</t>
  </si>
  <si>
    <t>CLAIRAY</t>
  </si>
  <si>
    <t>Constructys remboursement formation</t>
  </si>
  <si>
    <t>SELARL PHARMACIE DU VAL DE SEULLES</t>
  </si>
  <si>
    <t>Commission CLAUS TP</t>
  </si>
  <si>
    <t>Commission LGO</t>
  </si>
  <si>
    <t xml:space="preserve">Commission </t>
  </si>
  <si>
    <t>Commission AUVRAY</t>
  </si>
  <si>
    <t>integré</t>
  </si>
  <si>
    <t>integré garage</t>
  </si>
  <si>
    <t>intégré extension</t>
  </si>
  <si>
    <t>intégré</t>
  </si>
  <si>
    <t>JOLY</t>
  </si>
  <si>
    <t>TOTAL CA réalisé cumulé 2024 2025</t>
  </si>
  <si>
    <t>PREV 2025/2026</t>
  </si>
  <si>
    <t>TOTAL CA mensuel réalisé 2024 2025</t>
  </si>
  <si>
    <t>COUV</t>
  </si>
  <si>
    <t>Pla</t>
  </si>
  <si>
    <t>ETANCH AIR</t>
  </si>
  <si>
    <t>ECURIE BASSENEVILLE</t>
  </si>
  <si>
    <t>SCI PJR</t>
  </si>
  <si>
    <t>CHANU HD OXYGEN</t>
  </si>
  <si>
    <t>BRIEND</t>
  </si>
  <si>
    <t>OLIVIER</t>
  </si>
  <si>
    <t>SARL ALP</t>
  </si>
  <si>
    <t>CHANU HD EQUINOXE 1</t>
  </si>
  <si>
    <t>PIERRE (Barbery)</t>
  </si>
  <si>
    <t>BARRE à Thaon</t>
  </si>
  <si>
    <t>MARCHAIS</t>
  </si>
  <si>
    <t>RES,LA ROCHE A BUNEL</t>
  </si>
  <si>
    <t>RENAUDE (Terrasse)</t>
  </si>
  <si>
    <t>CHANU HD EQUINOXE 2</t>
  </si>
  <si>
    <t>CHANU HD OXYGEN Cplt</t>
  </si>
  <si>
    <t>MARIE (Terrasse)</t>
  </si>
  <si>
    <t>GATE Laura</t>
  </si>
  <si>
    <t>ARNOULD LEMOINE portes</t>
  </si>
  <si>
    <t>ARNOULD LEMOINE (Terrasse)</t>
  </si>
  <si>
    <t>PARKOURS</t>
  </si>
  <si>
    <t>GUE (Travaux complémentaires)</t>
  </si>
  <si>
    <t>CROIZE Céline</t>
  </si>
  <si>
    <t>PELTIER SCI BOSQUET DE LA GUERRIERE</t>
  </si>
  <si>
    <t>RICHARD SOPHIE</t>
  </si>
  <si>
    <t>Echafaudage</t>
  </si>
  <si>
    <t>Tri Décehts</t>
  </si>
  <si>
    <t>Tri déchets</t>
  </si>
  <si>
    <t>COUTANCE Colas</t>
  </si>
  <si>
    <t>BSL 2 Mediatheque 2e partie</t>
  </si>
  <si>
    <t>Commission PIEPLU</t>
  </si>
  <si>
    <t>ARNOULD LEMOINE TERRASSE 2</t>
  </si>
  <si>
    <t>Vente matériel Emerick</t>
  </si>
  <si>
    <t>HERMILLY CARREAU</t>
  </si>
  <si>
    <t>BEAUSSIER</t>
  </si>
  <si>
    <t>DUFOUR Maxime</t>
  </si>
  <si>
    <t>DUFOUR Gaêtan</t>
  </si>
  <si>
    <t>Commission CANU</t>
  </si>
  <si>
    <t>TOUSSAINT à Olendon</t>
  </si>
  <si>
    <t>HUREL LELIEVRE à Escoville</t>
  </si>
  <si>
    <t>SAUTOT Terrasse</t>
  </si>
  <si>
    <t>MAIRIE de COMBRAY</t>
  </si>
  <si>
    <t>DENOS KOPP Varaville</t>
  </si>
  <si>
    <t>CAMBAY</t>
  </si>
  <si>
    <t>URBAIN</t>
  </si>
  <si>
    <t>DUFOUR Gaetan</t>
  </si>
  <si>
    <t>GLOWACKI</t>
  </si>
  <si>
    <t>CHAUVEAU</t>
  </si>
  <si>
    <t>LEQUITTE</t>
  </si>
  <si>
    <t>SIMONET</t>
  </si>
  <si>
    <t>LEGENDRE</t>
  </si>
  <si>
    <t>LEPLUS</t>
  </si>
  <si>
    <t>DENOS KOPP</t>
  </si>
  <si>
    <t>CHATEL LAURENT Alexandra</t>
  </si>
  <si>
    <t>SIGNORET</t>
  </si>
  <si>
    <t>CAMPANILE</t>
  </si>
  <si>
    <t>GAUDIN</t>
  </si>
  <si>
    <t>LEROYER PIOLINE</t>
  </si>
  <si>
    <t>DROCOURT Marina</t>
  </si>
  <si>
    <t>BEN Julien</t>
  </si>
  <si>
    <t>GIOMMI</t>
  </si>
  <si>
    <t>Commission PIERRE</t>
  </si>
  <si>
    <t>Commission BACON</t>
  </si>
  <si>
    <t>Commission ESCANOR</t>
  </si>
  <si>
    <t>Commission BAZIRE</t>
  </si>
  <si>
    <t>SAUTOT Box</t>
  </si>
  <si>
    <t>BERTRAND</t>
  </si>
  <si>
    <t>GESLAIN</t>
  </si>
  <si>
    <t>LECONTE carport</t>
  </si>
  <si>
    <t>LEMAZURIEZ</t>
  </si>
  <si>
    <t>BERNARD Goeff</t>
  </si>
  <si>
    <t>BOUJRAD</t>
  </si>
  <si>
    <t>GANIVET</t>
  </si>
  <si>
    <t>MAISON BOIS METAL</t>
  </si>
  <si>
    <t>Étanchéité</t>
  </si>
  <si>
    <t>2025/2026</t>
  </si>
  <si>
    <t>PREV 2026/2027</t>
  </si>
  <si>
    <t>TOTAL CA mensuel réalisé 2025 2026</t>
  </si>
  <si>
    <t>TOTAL CA réalisé cumulé 2025 2026</t>
  </si>
  <si>
    <t>CAMPAGNILE</t>
  </si>
  <si>
    <t>GUILLOT 18</t>
  </si>
  <si>
    <t>GUILLEMOT</t>
  </si>
  <si>
    <t>KUFEL</t>
  </si>
  <si>
    <t>LAURENT</t>
  </si>
  <si>
    <t>LECLERC DUMARAIS</t>
  </si>
  <si>
    <t>LEPRETE</t>
  </si>
  <si>
    <t>LEROYER</t>
  </si>
  <si>
    <t>SIMONET (garage)</t>
  </si>
  <si>
    <t>DUCHESNE</t>
  </si>
  <si>
    <t>RAVENEL (batiment garage)</t>
  </si>
  <si>
    <t>LEMOIGNE</t>
  </si>
  <si>
    <t>DESFONTAINE</t>
  </si>
  <si>
    <t xml:space="preserve">SEEGERS </t>
  </si>
  <si>
    <t>DECLERCK NORGOLL</t>
  </si>
  <si>
    <t>SCI COTARD</t>
  </si>
  <si>
    <t>OLIVIER (devis fenetre)</t>
  </si>
  <si>
    <t>BEN JULIEN</t>
  </si>
  <si>
    <t>Couverture
Préfa/Zing</t>
  </si>
  <si>
    <t>Bardage
Préfa/Zing</t>
  </si>
  <si>
    <t>BERNARD</t>
  </si>
  <si>
    <t>LECONTE STEPHANE</t>
  </si>
  <si>
    <t>DROCOURT (légume)</t>
  </si>
  <si>
    <t>PEPIN JACQUES</t>
  </si>
  <si>
    <t xml:space="preserve">COISSAC </t>
  </si>
  <si>
    <t>SEC à Moulines (pour chantier poret)</t>
  </si>
  <si>
    <t>PFEIFFER</t>
  </si>
  <si>
    <t>OLIVIER (rénovation complete)</t>
  </si>
  <si>
    <t>LAUVERGNE</t>
  </si>
  <si>
    <t>QUERON QUELLIER</t>
  </si>
  <si>
    <t xml:space="preserve">BACON ALVIN </t>
  </si>
  <si>
    <t>COTENTIN</t>
  </si>
  <si>
    <t>CRUCHON  LEGUEVASQUES</t>
  </si>
  <si>
    <t>OSCAR ORGANISATION (Toussaint)</t>
  </si>
  <si>
    <t>ROUSSEL (réglage menuiserie)</t>
  </si>
  <si>
    <t>DUFOUR G</t>
  </si>
  <si>
    <t>SAS COLLEVILLE PRODUCTION</t>
  </si>
  <si>
    <t>JÉROME FROGER</t>
  </si>
  <si>
    <t>DÉFIBAT</t>
  </si>
  <si>
    <t>OLIVIER (plan de travail)</t>
  </si>
  <si>
    <t>VIRAY (ami larcher)</t>
  </si>
  <si>
    <t>GERVAIS</t>
  </si>
  <si>
    <t>DELASALLE</t>
  </si>
  <si>
    <t>LEGEAI</t>
  </si>
  <si>
    <t xml:space="preserve">Commission NM </t>
  </si>
  <si>
    <t>MORIVAL (abris cloture)</t>
  </si>
  <si>
    <t>FRANCOIS (fourniture bardage)</t>
  </si>
  <si>
    <t>GUESNON</t>
  </si>
  <si>
    <t>HAMON Alexandre (Bardage)</t>
  </si>
  <si>
    <t>HUCHET</t>
  </si>
  <si>
    <t xml:space="preserve">MONIN M </t>
  </si>
  <si>
    <t>GLOBALE CONSTRUCTION</t>
  </si>
  <si>
    <t>DEFRETIN Q</t>
  </si>
  <si>
    <t>BRUNSCHVICG</t>
  </si>
  <si>
    <t>VALSEMEY</t>
  </si>
  <si>
    <t>BRETEAU (crémone)</t>
  </si>
  <si>
    <t>BARON</t>
  </si>
  <si>
    <t>CA TCE</t>
  </si>
  <si>
    <t>MAIRIE BRETTEVILLE LAIZE BANC</t>
  </si>
  <si>
    <t>GUAY LEMAZURIER</t>
  </si>
  <si>
    <t>GESLAIN reno</t>
  </si>
  <si>
    <t>DUTRIPON R</t>
  </si>
  <si>
    <t>Facturation CLEAN PAYSAGE</t>
  </si>
  <si>
    <t>BRIERE</t>
  </si>
  <si>
    <t>SAMSON Agnes</t>
  </si>
  <si>
    <t>BOUTY</t>
  </si>
  <si>
    <t>LEPROVOT</t>
  </si>
  <si>
    <t>CHARLET</t>
  </si>
  <si>
    <t>ENP fourniture Laine 80mm</t>
  </si>
  <si>
    <t>LEROUTIER</t>
  </si>
  <si>
    <t>EPINETTE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</si>
</sst>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&quot; &quot;[$€-40C];[Red]&quot;-&quot;#,##0.00&quot; &quot;[$€-40C]"/>
    <numFmt numFmtId="165" formatCode="#,##0.00\ _€"/>
  </numFmts>
  <fonts count="59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  <font>
      <sz val="11"/>
      <color rgb="FF16365C"/>
      <name val="Arial"/>
      <family val="2"/>
    </font>
    <font>
      <sz val="11"/>
      <color rgb="FF00B050"/>
      <name val="Arial"/>
      <family val="2"/>
    </font>
    <font>
      <sz val="11"/>
      <color rgb="FF0070C0"/>
      <name val="Arial"/>
      <family val="2"/>
    </font>
    <font>
      <sz val="11"/>
      <color rgb="FFC00000"/>
      <name val="Arial"/>
      <family val="2"/>
    </font>
    <font>
      <sz val="11"/>
      <color rgb="FF5B9BD5"/>
      <name val="Arial"/>
      <family val="2"/>
    </font>
    <font>
      <sz val="11"/>
      <color rgb="FF2909E7"/>
      <name val="Arial"/>
      <family val="2"/>
    </font>
    <font>
      <sz val="11"/>
      <color rgb="FFFFFF00"/>
      <name val="Arial"/>
      <family val="2"/>
    </font>
    <font>
      <b/>
      <sz val="11"/>
      <color rgb="FFFF3333"/>
      <name val="Arial"/>
      <family val="2"/>
    </font>
    <font>
      <u/>
      <sz val="12"/>
      <color rgb="FF000000"/>
      <name val="Arial"/>
      <family val="2"/>
    </font>
    <font>
      <sz val="11"/>
      <color theme="7" tint="-0.249977111117893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2"/>
      <color rgb="FF000000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sz val="11"/>
      <color rgb="FF7030A0"/>
      <name val="Arial"/>
      <family val="2"/>
    </font>
    <font>
      <sz val="11"/>
      <color rgb="FF00B0F0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Arial"/>
      <family val="2"/>
    </font>
    <font>
      <sz val="11"/>
      <color theme="8"/>
      <name val="Arial"/>
      <family val="2"/>
    </font>
    <font>
      <sz val="11"/>
      <color theme="1" tint="0.14999847407452621"/>
      <name val="Arial"/>
      <family val="2"/>
    </font>
    <font>
      <sz val="11"/>
      <color theme="4" tint="-0.249977111117893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theme="4" tint="-0.249977111117893"/>
      <name val="Arial"/>
      <family val="2"/>
    </font>
    <font>
      <sz val="10"/>
      <name val="Arial"/>
      <family val="2"/>
    </font>
    <font>
      <sz val="8"/>
      <color rgb="FF0070C0"/>
      <name val="Arial"/>
      <family val="2"/>
    </font>
    <font>
      <strike/>
      <sz val="11"/>
      <color rgb="FF000000"/>
      <name val="Arial"/>
      <family val="2"/>
    </font>
    <font>
      <sz val="11"/>
      <color theme="2" tint="-0.499984740745262"/>
      <name val="Arial"/>
      <family val="2"/>
    </font>
    <font>
      <i/>
      <u/>
      <sz val="11"/>
      <color theme="3" tint="-0.249977111117893"/>
      <name val="Arial"/>
      <family val="2"/>
    </font>
    <font>
      <sz val="11"/>
      <color theme="3"/>
      <name val="Arial"/>
      <family val="2"/>
    </font>
    <font>
      <sz val="11"/>
      <color theme="1" tint="0.34998626667073579"/>
      <name val="Arial"/>
      <family val="2"/>
    </font>
    <font>
      <b/>
      <sz val="11"/>
      <color rgb="FF7030A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8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rial"/>
      <family val="2"/>
    </font>
    <font>
      <sz val="10"/>
      <color rgb="FF7030A0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4" tint="-0.499984740745262"/>
      <name val="Arial"/>
      <family val="2"/>
    </font>
    <font>
      <sz val="11"/>
      <color theme="4" tint="-0.49998474074526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950E"/>
        <bgColor rgb="FFFF950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Up">
        <fgColor rgb="FFFF0000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Up">
        <fgColor theme="5" tint="-0.24994659260841701"/>
        <bgColor theme="3" tint="0.79995117038483843"/>
      </patternFill>
    </fill>
    <fill>
      <patternFill patternType="lightUp">
        <fgColor theme="5" tint="-0.24994659260841701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52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12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4" fillId="0" borderId="1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/>
    </xf>
    <xf numFmtId="9" fontId="1" fillId="0" borderId="0" xfId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8" borderId="13" xfId="0" applyFill="1" applyBorder="1"/>
    <xf numFmtId="0" fontId="0" fillId="8" borderId="6" xfId="0" applyFill="1" applyBorder="1"/>
    <xf numFmtId="0" fontId="0" fillId="8" borderId="8" xfId="0" applyFill="1" applyBorder="1"/>
    <xf numFmtId="0" fontId="15" fillId="0" borderId="15" xfId="0" applyFont="1" applyBorder="1" applyAlignment="1">
      <alignment horizontal="center"/>
    </xf>
    <xf numFmtId="0" fontId="0" fillId="6" borderId="13" xfId="0" applyFill="1" applyBorder="1"/>
    <xf numFmtId="0" fontId="0" fillId="6" borderId="6" xfId="0" applyFill="1" applyBorder="1"/>
    <xf numFmtId="0" fontId="0" fillId="5" borderId="6" xfId="0" applyFill="1" applyBorder="1"/>
    <xf numFmtId="0" fontId="0" fillId="5" borderId="14" xfId="0" applyFill="1" applyBorder="1"/>
    <xf numFmtId="0" fontId="0" fillId="5" borderId="10" xfId="0" applyFill="1" applyBorder="1"/>
    <xf numFmtId="0" fontId="15" fillId="5" borderId="15" xfId="0" applyFont="1" applyFill="1" applyBorder="1" applyAlignment="1">
      <alignment horizontal="center"/>
    </xf>
    <xf numFmtId="0" fontId="0" fillId="5" borderId="16" xfId="0" applyFill="1" applyBorder="1"/>
    <xf numFmtId="0" fontId="16" fillId="5" borderId="16" xfId="0" applyFont="1" applyFill="1" applyBorder="1"/>
    <xf numFmtId="0" fontId="5" fillId="5" borderId="16" xfId="0" applyFont="1" applyFill="1" applyBorder="1"/>
    <xf numFmtId="0" fontId="8" fillId="5" borderId="16" xfId="0" applyFont="1" applyFill="1" applyBorder="1"/>
    <xf numFmtId="0" fontId="9" fillId="5" borderId="16" xfId="0" applyFont="1" applyFill="1" applyBorder="1"/>
    <xf numFmtId="3" fontId="0" fillId="5" borderId="10" xfId="0" applyNumberFormat="1" applyFill="1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0" xfId="0" applyNumberFormat="1"/>
    <xf numFmtId="3" fontId="0" fillId="5" borderId="0" xfId="0" applyNumberFormat="1" applyFill="1"/>
    <xf numFmtId="3" fontId="0" fillId="0" borderId="12" xfId="0" applyNumberFormat="1" applyBorder="1"/>
    <xf numFmtId="3" fontId="0" fillId="0" borderId="7" xfId="0" applyNumberFormat="1" applyBorder="1"/>
    <xf numFmtId="3" fontId="0" fillId="7" borderId="0" xfId="0" applyNumberFormat="1" applyFill="1" applyAlignment="1">
      <alignment horizontal="right"/>
    </xf>
    <xf numFmtId="3" fontId="0" fillId="6" borderId="18" xfId="0" applyNumberFormat="1" applyFill="1" applyBorder="1"/>
    <xf numFmtId="3" fontId="0" fillId="6" borderId="19" xfId="0" applyNumberFormat="1" applyFill="1" applyBorder="1"/>
    <xf numFmtId="3" fontId="0" fillId="7" borderId="0" xfId="0" applyNumberFormat="1" applyFill="1"/>
    <xf numFmtId="3" fontId="0" fillId="4" borderId="18" xfId="0" applyNumberFormat="1" applyFill="1" applyBorder="1"/>
    <xf numFmtId="3" fontId="0" fillId="8" borderId="6" xfId="0" applyNumberFormat="1" applyFill="1" applyBorder="1"/>
    <xf numFmtId="3" fontId="0" fillId="8" borderId="8" xfId="0" applyNumberFormat="1" applyFill="1" applyBorder="1"/>
    <xf numFmtId="3" fontId="0" fillId="6" borderId="6" xfId="0" applyNumberFormat="1" applyFill="1" applyBorder="1"/>
    <xf numFmtId="0" fontId="0" fillId="9" borderId="12" xfId="0" applyFill="1" applyBorder="1"/>
    <xf numFmtId="3" fontId="0" fillId="9" borderId="0" xfId="0" applyNumberFormat="1" applyFill="1"/>
    <xf numFmtId="3" fontId="0" fillId="9" borderId="7" xfId="0" applyNumberFormat="1" applyFill="1" applyBorder="1"/>
    <xf numFmtId="3" fontId="9" fillId="5" borderId="0" xfId="0" applyNumberFormat="1" applyFont="1" applyFill="1"/>
    <xf numFmtId="3" fontId="0" fillId="10" borderId="12" xfId="0" applyNumberFormat="1" applyFill="1" applyBorder="1"/>
    <xf numFmtId="3" fontId="0" fillId="10" borderId="7" xfId="0" applyNumberFormat="1" applyFill="1" applyBorder="1"/>
    <xf numFmtId="0" fontId="17" fillId="5" borderId="16" xfId="0" applyFont="1" applyFill="1" applyBorder="1"/>
    <xf numFmtId="0" fontId="18" fillId="5" borderId="14" xfId="0" applyFont="1" applyFill="1" applyBorder="1"/>
    <xf numFmtId="0" fontId="18" fillId="5" borderId="10" xfId="0" applyFont="1" applyFill="1" applyBorder="1"/>
    <xf numFmtId="0" fontId="18" fillId="0" borderId="0" xfId="0" applyFont="1"/>
    <xf numFmtId="0" fontId="19" fillId="5" borderId="15" xfId="0" applyFont="1" applyFill="1" applyBorder="1" applyAlignment="1">
      <alignment horizontal="center"/>
    </xf>
    <xf numFmtId="0" fontId="18" fillId="5" borderId="6" xfId="0" applyFont="1" applyFill="1" applyBorder="1"/>
    <xf numFmtId="0" fontId="18" fillId="6" borderId="13" xfId="0" applyFont="1" applyFill="1" applyBorder="1"/>
    <xf numFmtId="0" fontId="18" fillId="8" borderId="8" xfId="0" applyFont="1" applyFill="1" applyBorder="1"/>
    <xf numFmtId="0" fontId="18" fillId="0" borderId="8" xfId="0" applyFont="1" applyBorder="1"/>
    <xf numFmtId="0" fontId="18" fillId="6" borderId="6" xfId="0" applyFont="1" applyFill="1" applyBorder="1"/>
    <xf numFmtId="0" fontId="18" fillId="0" borderId="6" xfId="0" applyFont="1" applyBorder="1"/>
    <xf numFmtId="3" fontId="18" fillId="5" borderId="10" xfId="0" applyNumberFormat="1" applyFont="1" applyFill="1" applyBorder="1"/>
    <xf numFmtId="3" fontId="18" fillId="0" borderId="9" xfId="0" applyNumberFormat="1" applyFont="1" applyBorder="1"/>
    <xf numFmtId="3" fontId="18" fillId="0" borderId="11" xfId="0" applyNumberFormat="1" applyFont="1" applyBorder="1"/>
    <xf numFmtId="3" fontId="18" fillId="0" borderId="10" xfId="0" applyNumberFormat="1" applyFont="1" applyBorder="1"/>
    <xf numFmtId="3" fontId="18" fillId="0" borderId="0" xfId="0" applyNumberFormat="1" applyFont="1"/>
    <xf numFmtId="0" fontId="20" fillId="5" borderId="16" xfId="0" applyFont="1" applyFill="1" applyBorder="1"/>
    <xf numFmtId="3" fontId="18" fillId="5" borderId="0" xfId="0" applyNumberFormat="1" applyFont="1" applyFill="1"/>
    <xf numFmtId="3" fontId="18" fillId="0" borderId="12" xfId="0" applyNumberFormat="1" applyFont="1" applyBorder="1"/>
    <xf numFmtId="3" fontId="18" fillId="0" borderId="7" xfId="0" applyNumberFormat="1" applyFont="1" applyBorder="1"/>
    <xf numFmtId="4" fontId="21" fillId="5" borderId="0" xfId="0" applyNumberFormat="1" applyFont="1" applyFill="1"/>
    <xf numFmtId="3" fontId="18" fillId="7" borderId="0" xfId="0" applyNumberFormat="1" applyFont="1" applyFill="1" applyAlignment="1">
      <alignment horizontal="right"/>
    </xf>
    <xf numFmtId="0" fontId="18" fillId="6" borderId="17" xfId="0" applyFont="1" applyFill="1" applyBorder="1"/>
    <xf numFmtId="3" fontId="18" fillId="6" borderId="18" xfId="0" applyNumberFormat="1" applyFont="1" applyFill="1" applyBorder="1"/>
    <xf numFmtId="3" fontId="18" fillId="6" borderId="19" xfId="0" applyNumberFormat="1" applyFont="1" applyFill="1" applyBorder="1"/>
    <xf numFmtId="3" fontId="18" fillId="7" borderId="0" xfId="0" applyNumberFormat="1" applyFont="1" applyFill="1"/>
    <xf numFmtId="0" fontId="18" fillId="4" borderId="17" xfId="0" applyFont="1" applyFill="1" applyBorder="1"/>
    <xf numFmtId="3" fontId="18" fillId="4" borderId="18" xfId="0" applyNumberFormat="1" applyFont="1" applyFill="1" applyBorder="1"/>
    <xf numFmtId="3" fontId="18" fillId="6" borderId="6" xfId="0" applyNumberFormat="1" applyFont="1" applyFill="1" applyBorder="1"/>
    <xf numFmtId="0" fontId="18" fillId="8" borderId="13" xfId="0" applyFont="1" applyFill="1" applyBorder="1"/>
    <xf numFmtId="3" fontId="18" fillId="8" borderId="6" xfId="0" applyNumberFormat="1" applyFont="1" applyFill="1" applyBorder="1"/>
    <xf numFmtId="3" fontId="18" fillId="8" borderId="8" xfId="0" applyNumberFormat="1" applyFont="1" applyFill="1" applyBorder="1"/>
    <xf numFmtId="3" fontId="18" fillId="9" borderId="0" xfId="0" applyNumberFormat="1" applyFont="1" applyFill="1"/>
    <xf numFmtId="3" fontId="18" fillId="9" borderId="7" xfId="0" applyNumberFormat="1" applyFont="1" applyFill="1" applyBorder="1"/>
    <xf numFmtId="0" fontId="22" fillId="5" borderId="16" xfId="0" applyFont="1" applyFill="1" applyBorder="1"/>
    <xf numFmtId="0" fontId="23" fillId="5" borderId="16" xfId="0" applyFont="1" applyFill="1" applyBorder="1"/>
    <xf numFmtId="4" fontId="17" fillId="5" borderId="0" xfId="0" applyNumberFormat="1" applyFont="1" applyFill="1"/>
    <xf numFmtId="4" fontId="9" fillId="5" borderId="0" xfId="0" applyNumberFormat="1" applyFont="1" applyFill="1"/>
    <xf numFmtId="4" fontId="0" fillId="5" borderId="0" xfId="0" applyNumberFormat="1" applyFill="1"/>
    <xf numFmtId="3" fontId="24" fillId="5" borderId="0" xfId="0" applyNumberFormat="1" applyFont="1" applyFill="1"/>
    <xf numFmtId="4" fontId="24" fillId="5" borderId="0" xfId="0" applyNumberFormat="1" applyFont="1" applyFill="1"/>
    <xf numFmtId="3" fontId="17" fillId="5" borderId="0" xfId="0" applyNumberFormat="1" applyFont="1" applyFill="1"/>
    <xf numFmtId="0" fontId="1" fillId="5" borderId="14" xfId="0" applyFont="1" applyFill="1" applyBorder="1"/>
    <xf numFmtId="0" fontId="1" fillId="5" borderId="10" xfId="0" applyFont="1" applyFill="1" applyBorder="1"/>
    <xf numFmtId="0" fontId="1" fillId="0" borderId="0" xfId="0" applyFont="1"/>
    <xf numFmtId="0" fontId="1" fillId="5" borderId="6" xfId="0" applyFont="1" applyFill="1" applyBorder="1"/>
    <xf numFmtId="0" fontId="1" fillId="6" borderId="13" xfId="0" applyFont="1" applyFill="1" applyBorder="1"/>
    <xf numFmtId="0" fontId="1" fillId="8" borderId="8" xfId="0" applyFont="1" applyFill="1" applyBorder="1"/>
    <xf numFmtId="0" fontId="1" fillId="0" borderId="8" xfId="0" applyFont="1" applyBorder="1"/>
    <xf numFmtId="0" fontId="1" fillId="6" borderId="6" xfId="0" applyFont="1" applyFill="1" applyBorder="1"/>
    <xf numFmtId="0" fontId="1" fillId="0" borderId="6" xfId="0" applyFont="1" applyBorder="1"/>
    <xf numFmtId="3" fontId="1" fillId="5" borderId="10" xfId="0" applyNumberFormat="1" applyFont="1" applyFill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0" xfId="0" applyNumberFormat="1" applyFont="1" applyBorder="1"/>
    <xf numFmtId="3" fontId="1" fillId="0" borderId="0" xfId="0" applyNumberFormat="1" applyFont="1"/>
    <xf numFmtId="3" fontId="1" fillId="5" borderId="0" xfId="0" applyNumberFormat="1" applyFont="1" applyFill="1"/>
    <xf numFmtId="3" fontId="1" fillId="0" borderId="12" xfId="0" applyNumberFormat="1" applyFont="1" applyBorder="1"/>
    <xf numFmtId="3" fontId="1" fillId="0" borderId="7" xfId="0" applyNumberFormat="1" applyFont="1" applyBorder="1"/>
    <xf numFmtId="4" fontId="1" fillId="5" borderId="0" xfId="0" applyNumberFormat="1" applyFont="1" applyFill="1"/>
    <xf numFmtId="3" fontId="1" fillId="7" borderId="0" xfId="0" applyNumberFormat="1" applyFont="1" applyFill="1" applyAlignment="1">
      <alignment horizontal="right"/>
    </xf>
    <xf numFmtId="0" fontId="1" fillId="6" borderId="17" xfId="0" applyFont="1" applyFill="1" applyBorder="1"/>
    <xf numFmtId="3" fontId="1" fillId="6" borderId="18" xfId="0" applyNumberFormat="1" applyFont="1" applyFill="1" applyBorder="1"/>
    <xf numFmtId="3" fontId="1" fillId="6" borderId="19" xfId="0" applyNumberFormat="1" applyFont="1" applyFill="1" applyBorder="1"/>
    <xf numFmtId="3" fontId="1" fillId="7" borderId="0" xfId="0" applyNumberFormat="1" applyFont="1" applyFill="1"/>
    <xf numFmtId="0" fontId="1" fillId="4" borderId="17" xfId="0" applyFont="1" applyFill="1" applyBorder="1"/>
    <xf numFmtId="3" fontId="1" fillId="4" borderId="18" xfId="0" applyNumberFormat="1" applyFont="1" applyFill="1" applyBorder="1"/>
    <xf numFmtId="3" fontId="1" fillId="6" borderId="6" xfId="0" applyNumberFormat="1" applyFont="1" applyFill="1" applyBorder="1"/>
    <xf numFmtId="0" fontId="1" fillId="8" borderId="13" xfId="0" applyFont="1" applyFill="1" applyBorder="1"/>
    <xf numFmtId="3" fontId="1" fillId="8" borderId="6" xfId="0" applyNumberFormat="1" applyFont="1" applyFill="1" applyBorder="1"/>
    <xf numFmtId="3" fontId="1" fillId="8" borderId="8" xfId="0" applyNumberFormat="1" applyFont="1" applyFill="1" applyBorder="1"/>
    <xf numFmtId="3" fontId="1" fillId="9" borderId="0" xfId="0" applyNumberFormat="1" applyFont="1" applyFill="1"/>
    <xf numFmtId="3" fontId="1" fillId="9" borderId="7" xfId="0" applyNumberFormat="1" applyFont="1" applyFill="1" applyBorder="1"/>
    <xf numFmtId="0" fontId="27" fillId="5" borderId="16" xfId="0" applyFont="1" applyFill="1" applyBorder="1"/>
    <xf numFmtId="3" fontId="23" fillId="5" borderId="0" xfId="0" applyNumberFormat="1" applyFont="1" applyFill="1"/>
    <xf numFmtId="3" fontId="27" fillId="5" borderId="0" xfId="0" applyNumberFormat="1" applyFont="1" applyFill="1"/>
    <xf numFmtId="3" fontId="28" fillId="5" borderId="0" xfId="0" applyNumberFormat="1" applyFont="1" applyFill="1"/>
    <xf numFmtId="0" fontId="18" fillId="5" borderId="0" xfId="0" applyFont="1" applyFill="1"/>
    <xf numFmtId="3" fontId="18" fillId="0" borderId="8" xfId="0" applyNumberFormat="1" applyFont="1" applyBorder="1"/>
    <xf numFmtId="10" fontId="18" fillId="0" borderId="0" xfId="0" applyNumberFormat="1" applyFont="1"/>
    <xf numFmtId="2" fontId="18" fillId="0" borderId="0" xfId="0" applyNumberFormat="1" applyFont="1"/>
    <xf numFmtId="3" fontId="18" fillId="0" borderId="6" xfId="0" applyNumberFormat="1" applyFont="1" applyBorder="1"/>
    <xf numFmtId="0" fontId="29" fillId="5" borderId="1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17" fillId="5" borderId="7" xfId="0" applyFont="1" applyFill="1" applyBorder="1"/>
    <xf numFmtId="3" fontId="0" fillId="0" borderId="8" xfId="0" applyNumberFormat="1" applyBorder="1"/>
    <xf numFmtId="3" fontId="18" fillId="0" borderId="13" xfId="0" applyNumberFormat="1" applyFont="1" applyBorder="1"/>
    <xf numFmtId="3" fontId="24" fillId="0" borderId="9" xfId="0" applyNumberFormat="1" applyFont="1" applyBorder="1"/>
    <xf numFmtId="0" fontId="19" fillId="5" borderId="6" xfId="0" applyFont="1" applyFill="1" applyBorder="1" applyAlignment="1">
      <alignment horizontal="center"/>
    </xf>
    <xf numFmtId="0" fontId="17" fillId="5" borderId="0" xfId="0" applyFont="1" applyFill="1"/>
    <xf numFmtId="0" fontId="18" fillId="4" borderId="18" xfId="0" applyFont="1" applyFill="1" applyBorder="1"/>
    <xf numFmtId="0" fontId="18" fillId="8" borderId="6" xfId="0" applyFont="1" applyFill="1" applyBorder="1"/>
    <xf numFmtId="0" fontId="22" fillId="5" borderId="7" xfId="0" applyFont="1" applyFill="1" applyBorder="1"/>
    <xf numFmtId="0" fontId="30" fillId="5" borderId="7" xfId="0" applyFont="1" applyFill="1" applyBorder="1"/>
    <xf numFmtId="0" fontId="30" fillId="5" borderId="16" xfId="0" applyFont="1" applyFill="1" applyBorder="1"/>
    <xf numFmtId="3" fontId="18" fillId="0" borderId="0" xfId="0" applyNumberFormat="1" applyFont="1" applyAlignment="1">
      <alignment horizontal="right"/>
    </xf>
    <xf numFmtId="0" fontId="18" fillId="0" borderId="12" xfId="0" applyFont="1" applyBorder="1"/>
    <xf numFmtId="0" fontId="18" fillId="0" borderId="13" xfId="0" applyFont="1" applyBorder="1"/>
    <xf numFmtId="0" fontId="18" fillId="5" borderId="9" xfId="0" applyFont="1" applyFill="1" applyBorder="1"/>
    <xf numFmtId="3" fontId="18" fillId="5" borderId="11" xfId="0" applyNumberFormat="1" applyFont="1" applyFill="1" applyBorder="1"/>
    <xf numFmtId="0" fontId="17" fillId="5" borderId="12" xfId="0" applyFont="1" applyFill="1" applyBorder="1"/>
    <xf numFmtId="3" fontId="18" fillId="5" borderId="7" xfId="0" applyNumberFormat="1" applyFont="1" applyFill="1" applyBorder="1"/>
    <xf numFmtId="0" fontId="20" fillId="5" borderId="12" xfId="0" applyFont="1" applyFill="1" applyBorder="1"/>
    <xf numFmtId="0" fontId="5" fillId="5" borderId="12" xfId="0" applyFont="1" applyFill="1" applyBorder="1"/>
    <xf numFmtId="3" fontId="17" fillId="5" borderId="7" xfId="0" applyNumberFormat="1" applyFont="1" applyFill="1" applyBorder="1"/>
    <xf numFmtId="0" fontId="22" fillId="5" borderId="12" xfId="0" applyFont="1" applyFill="1" applyBorder="1"/>
    <xf numFmtId="0" fontId="8" fillId="5" borderId="12" xfId="0" applyFont="1" applyFill="1" applyBorder="1"/>
    <xf numFmtId="0" fontId="9" fillId="5" borderId="12" xfId="0" applyFont="1" applyFill="1" applyBorder="1"/>
    <xf numFmtId="3" fontId="9" fillId="5" borderId="7" xfId="0" applyNumberFormat="1" applyFont="1" applyFill="1" applyBorder="1"/>
    <xf numFmtId="3" fontId="30" fillId="5" borderId="7" xfId="0" applyNumberFormat="1" applyFont="1" applyFill="1" applyBorder="1"/>
    <xf numFmtId="0" fontId="23" fillId="5" borderId="12" xfId="0" applyFont="1" applyFill="1" applyBorder="1"/>
    <xf numFmtId="3" fontId="30" fillId="5" borderId="0" xfId="0" applyNumberFormat="1" applyFont="1" applyFill="1"/>
    <xf numFmtId="0" fontId="29" fillId="5" borderId="12" xfId="0" applyFont="1" applyFill="1" applyBorder="1"/>
    <xf numFmtId="0" fontId="27" fillId="5" borderId="12" xfId="0" applyFont="1" applyFill="1" applyBorder="1"/>
    <xf numFmtId="0" fontId="5" fillId="5" borderId="13" xfId="0" applyFont="1" applyFill="1" applyBorder="1"/>
    <xf numFmtId="3" fontId="9" fillId="5" borderId="6" xfId="0" applyNumberFormat="1" applyFont="1" applyFill="1" applyBorder="1"/>
    <xf numFmtId="3" fontId="9" fillId="5" borderId="8" xfId="0" applyNumberFormat="1" applyFont="1" applyFill="1" applyBorder="1"/>
    <xf numFmtId="0" fontId="18" fillId="6" borderId="18" xfId="0" applyFont="1" applyFill="1" applyBorder="1"/>
    <xf numFmtId="165" fontId="0" fillId="0" borderId="0" xfId="0" applyNumberFormat="1"/>
    <xf numFmtId="3" fontId="24" fillId="5" borderId="7" xfId="0" applyNumberFormat="1" applyFont="1" applyFill="1" applyBorder="1"/>
    <xf numFmtId="0" fontId="9" fillId="5" borderId="7" xfId="0" applyFont="1" applyFill="1" applyBorder="1"/>
    <xf numFmtId="0" fontId="22" fillId="0" borderId="0" xfId="0" applyFont="1"/>
    <xf numFmtId="0" fontId="5" fillId="0" borderId="0" xfId="0" applyFont="1"/>
    <xf numFmtId="3" fontId="9" fillId="0" borderId="0" xfId="0" applyNumberFormat="1" applyFont="1"/>
    <xf numFmtId="0" fontId="0" fillId="9" borderId="17" xfId="0" applyFill="1" applyBorder="1"/>
    <xf numFmtId="0" fontId="0" fillId="9" borderId="18" xfId="0" applyFill="1" applyBorder="1"/>
    <xf numFmtId="3" fontId="18" fillId="9" borderId="18" xfId="0" applyNumberFormat="1" applyFont="1" applyFill="1" applyBorder="1"/>
    <xf numFmtId="3" fontId="18" fillId="9" borderId="19" xfId="0" applyNumberFormat="1" applyFont="1" applyFill="1" applyBorder="1"/>
    <xf numFmtId="3" fontId="18" fillId="10" borderId="0" xfId="0" applyNumberFormat="1" applyFont="1" applyFill="1"/>
    <xf numFmtId="3" fontId="17" fillId="10" borderId="0" xfId="0" applyNumberFormat="1" applyFont="1" applyFill="1"/>
    <xf numFmtId="3" fontId="24" fillId="10" borderId="0" xfId="0" applyNumberFormat="1" applyFont="1" applyFill="1"/>
    <xf numFmtId="3" fontId="0" fillId="0" borderId="0" xfId="0" applyNumberFormat="1" applyAlignment="1">
      <alignment horizontal="right"/>
    </xf>
    <xf numFmtId="0" fontId="0" fillId="12" borderId="17" xfId="0" applyFill="1" applyBorder="1"/>
    <xf numFmtId="0" fontId="18" fillId="12" borderId="18" xfId="0" applyFont="1" applyFill="1" applyBorder="1"/>
    <xf numFmtId="3" fontId="18" fillId="12" borderId="18" xfId="0" applyNumberFormat="1" applyFont="1" applyFill="1" applyBorder="1"/>
    <xf numFmtId="3" fontId="18" fillId="12" borderId="19" xfId="0" applyNumberFormat="1" applyFont="1" applyFill="1" applyBorder="1"/>
    <xf numFmtId="3" fontId="18" fillId="4" borderId="19" xfId="0" applyNumberFormat="1" applyFont="1" applyFill="1" applyBorder="1"/>
    <xf numFmtId="0" fontId="18" fillId="12" borderId="0" xfId="0" applyFont="1" applyFill="1"/>
    <xf numFmtId="3" fontId="18" fillId="12" borderId="0" xfId="0" applyNumberFormat="1" applyFont="1" applyFill="1"/>
    <xf numFmtId="0" fontId="5" fillId="5" borderId="17" xfId="0" applyFont="1" applyFill="1" applyBorder="1"/>
    <xf numFmtId="3" fontId="18" fillId="13" borderId="18" xfId="0" applyNumberFormat="1" applyFont="1" applyFill="1" applyBorder="1"/>
    <xf numFmtId="0" fontId="18" fillId="9" borderId="6" xfId="0" applyFont="1" applyFill="1" applyBorder="1"/>
    <xf numFmtId="3" fontId="18" fillId="9" borderId="6" xfId="0" applyNumberFormat="1" applyFont="1" applyFill="1" applyBorder="1"/>
    <xf numFmtId="0" fontId="0" fillId="9" borderId="13" xfId="0" applyFill="1" applyBorder="1"/>
    <xf numFmtId="0" fontId="24" fillId="5" borderId="7" xfId="0" applyFont="1" applyFill="1" applyBorder="1"/>
    <xf numFmtId="3" fontId="18" fillId="0" borderId="20" xfId="0" applyNumberFormat="1" applyFont="1" applyBorder="1"/>
    <xf numFmtId="3" fontId="18" fillId="0" borderId="21" xfId="0" applyNumberFormat="1" applyFont="1" applyBorder="1"/>
    <xf numFmtId="3" fontId="18" fillId="0" borderId="21" xfId="0" applyNumberFormat="1" applyFont="1" applyBorder="1" applyAlignment="1">
      <alignment horizontal="right"/>
    </xf>
    <xf numFmtId="3" fontId="18" fillId="0" borderId="22" xfId="0" applyNumberFormat="1" applyFont="1" applyBorder="1" applyAlignment="1">
      <alignment horizontal="right"/>
    </xf>
    <xf numFmtId="0" fontId="0" fillId="6" borderId="0" xfId="0" applyFill="1"/>
    <xf numFmtId="0" fontId="19" fillId="0" borderId="1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7" xfId="0" applyFont="1" applyBorder="1"/>
    <xf numFmtId="3" fontId="0" fillId="0" borderId="6" xfId="0" applyNumberFormat="1" applyBorder="1"/>
    <xf numFmtId="0" fontId="32" fillId="0" borderId="0" xfId="0" applyFont="1" applyAlignment="1">
      <alignment textRotation="90"/>
    </xf>
    <xf numFmtId="165" fontId="0" fillId="0" borderId="0" xfId="0" applyNumberFormat="1" applyAlignment="1">
      <alignment textRotation="90"/>
    </xf>
    <xf numFmtId="0" fontId="32" fillId="11" borderId="0" xfId="0" applyFont="1" applyFill="1" applyAlignment="1">
      <alignment textRotation="90"/>
    </xf>
    <xf numFmtId="3" fontId="18" fillId="14" borderId="12" xfId="0" applyNumberFormat="1" applyFont="1" applyFill="1" applyBorder="1"/>
    <xf numFmtId="3" fontId="18" fillId="14" borderId="0" xfId="0" applyNumberFormat="1" applyFont="1" applyFill="1"/>
    <xf numFmtId="3" fontId="18" fillId="15" borderId="7" xfId="0" applyNumberFormat="1" applyFont="1" applyFill="1" applyBorder="1"/>
    <xf numFmtId="3" fontId="18" fillId="16" borderId="12" xfId="0" applyNumberFormat="1" applyFont="1" applyFill="1" applyBorder="1"/>
    <xf numFmtId="3" fontId="5" fillId="16" borderId="12" xfId="0" applyNumberFormat="1" applyFont="1" applyFill="1" applyBorder="1"/>
    <xf numFmtId="3" fontId="5" fillId="15" borderId="7" xfId="0" applyNumberFormat="1" applyFont="1" applyFill="1" applyBorder="1"/>
    <xf numFmtId="3" fontId="18" fillId="10" borderId="12" xfId="0" applyNumberFormat="1" applyFont="1" applyFill="1" applyBorder="1"/>
    <xf numFmtId="3" fontId="18" fillId="10" borderId="7" xfId="0" applyNumberFormat="1" applyFont="1" applyFill="1" applyBorder="1"/>
    <xf numFmtId="3" fontId="5" fillId="0" borderId="12" xfId="0" applyNumberFormat="1" applyFont="1" applyBorder="1"/>
    <xf numFmtId="3" fontId="18" fillId="10" borderId="9" xfId="0" applyNumberFormat="1" applyFont="1" applyFill="1" applyBorder="1"/>
    <xf numFmtId="3" fontId="18" fillId="10" borderId="11" xfId="0" applyNumberFormat="1" applyFont="1" applyFill="1" applyBorder="1"/>
    <xf numFmtId="0" fontId="18" fillId="5" borderId="12" xfId="0" applyFont="1" applyFill="1" applyBorder="1"/>
    <xf numFmtId="3" fontId="24" fillId="0" borderId="12" xfId="0" applyNumberFormat="1" applyFont="1" applyBorder="1"/>
    <xf numFmtId="0" fontId="0" fillId="14" borderId="23" xfId="0" applyFill="1" applyBorder="1"/>
    <xf numFmtId="0" fontId="0" fillId="17" borderId="34" xfId="0" applyFill="1" applyBorder="1"/>
    <xf numFmtId="0" fontId="0" fillId="14" borderId="36" xfId="0" applyFill="1" applyBorder="1"/>
    <xf numFmtId="0" fontId="0" fillId="15" borderId="36" xfId="0" applyFill="1" applyBorder="1"/>
    <xf numFmtId="0" fontId="0" fillId="14" borderId="39" xfId="0" applyFill="1" applyBorder="1"/>
    <xf numFmtId="0" fontId="33" fillId="17" borderId="34" xfId="0" applyFont="1" applyFill="1" applyBorder="1"/>
    <xf numFmtId="0" fontId="33" fillId="14" borderId="39" xfId="0" applyFont="1" applyFill="1" applyBorder="1"/>
    <xf numFmtId="0" fontId="34" fillId="14" borderId="39" xfId="0" applyFont="1" applyFill="1" applyBorder="1"/>
    <xf numFmtId="0" fontId="0" fillId="17" borderId="36" xfId="0" applyFill="1" applyBorder="1"/>
    <xf numFmtId="0" fontId="0" fillId="18" borderId="36" xfId="0" applyFill="1" applyBorder="1"/>
    <xf numFmtId="0" fontId="0" fillId="20" borderId="36" xfId="0" applyFill="1" applyBorder="1"/>
    <xf numFmtId="0" fontId="35" fillId="22" borderId="36" xfId="0" applyFont="1" applyFill="1" applyBorder="1"/>
    <xf numFmtId="0" fontId="0" fillId="24" borderId="36" xfId="0" applyFill="1" applyBorder="1"/>
    <xf numFmtId="0" fontId="0" fillId="0" borderId="32" xfId="0" applyBorder="1"/>
    <xf numFmtId="3" fontId="0" fillId="0" borderId="32" xfId="0" applyNumberForma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3" fontId="0" fillId="0" borderId="36" xfId="0" applyNumberFormat="1" applyBorder="1"/>
    <xf numFmtId="0" fontId="0" fillId="0" borderId="40" xfId="0" applyBorder="1"/>
    <xf numFmtId="3" fontId="0" fillId="0" borderId="17" xfId="0" applyNumberFormat="1" applyBorder="1"/>
    <xf numFmtId="3" fontId="0" fillId="0" borderId="44" xfId="0" applyNumberFormat="1" applyBorder="1"/>
    <xf numFmtId="3" fontId="0" fillId="0" borderId="45" xfId="0" applyNumberFormat="1" applyBorder="1"/>
    <xf numFmtId="0" fontId="0" fillId="17" borderId="44" xfId="0" applyFill="1" applyBorder="1"/>
    <xf numFmtId="3" fontId="0" fillId="17" borderId="32" xfId="0" applyNumberFormat="1" applyFill="1" applyBorder="1"/>
    <xf numFmtId="3" fontId="0" fillId="17" borderId="17" xfId="0" applyNumberFormat="1" applyFill="1" applyBorder="1"/>
    <xf numFmtId="3" fontId="0" fillId="17" borderId="15" xfId="0" applyNumberFormat="1" applyFill="1" applyBorder="1"/>
    <xf numFmtId="0" fontId="0" fillId="14" borderId="16" xfId="0" applyFill="1" applyBorder="1"/>
    <xf numFmtId="10" fontId="0" fillId="17" borderId="32" xfId="1" applyNumberFormat="1" applyFont="1" applyFill="1" applyBorder="1"/>
    <xf numFmtId="3" fontId="0" fillId="17" borderId="44" xfId="0" applyNumberFormat="1" applyFill="1" applyBorder="1"/>
    <xf numFmtId="10" fontId="0" fillId="17" borderId="36" xfId="1" applyNumberFormat="1" applyFont="1" applyFill="1" applyBorder="1"/>
    <xf numFmtId="4" fontId="0" fillId="17" borderId="46" xfId="0" applyNumberFormat="1" applyFill="1" applyBorder="1"/>
    <xf numFmtId="10" fontId="0" fillId="17" borderId="15" xfId="1" applyNumberFormat="1" applyFont="1" applyFill="1" applyBorder="1"/>
    <xf numFmtId="10" fontId="0" fillId="17" borderId="47" xfId="1" applyNumberFormat="1" applyFont="1" applyFill="1" applyBorder="1"/>
    <xf numFmtId="4" fontId="0" fillId="17" borderId="15" xfId="0" applyNumberFormat="1" applyFill="1" applyBorder="1"/>
    <xf numFmtId="4" fontId="0" fillId="0" borderId="0" xfId="0" applyNumberFormat="1"/>
    <xf numFmtId="4" fontId="0" fillId="0" borderId="44" xfId="0" applyNumberFormat="1" applyBorder="1"/>
    <xf numFmtId="4" fontId="0" fillId="0" borderId="32" xfId="0" applyNumberFormat="1" applyBorder="1"/>
    <xf numFmtId="10" fontId="0" fillId="14" borderId="32" xfId="1" applyNumberFormat="1" applyFont="1" applyFill="1" applyBorder="1"/>
    <xf numFmtId="0" fontId="0" fillId="0" borderId="15" xfId="0" applyBorder="1"/>
    <xf numFmtId="9" fontId="0" fillId="0" borderId="0" xfId="1" applyFont="1"/>
    <xf numFmtId="10" fontId="0" fillId="0" borderId="0" xfId="1" applyNumberFormat="1" applyFont="1"/>
    <xf numFmtId="0" fontId="0" fillId="0" borderId="19" xfId="0" applyBorder="1"/>
    <xf numFmtId="0" fontId="0" fillId="0" borderId="17" xfId="0" applyBorder="1"/>
    <xf numFmtId="3" fontId="17" fillId="0" borderId="12" xfId="0" applyNumberFormat="1" applyFont="1" applyBorder="1"/>
    <xf numFmtId="0" fontId="36" fillId="5" borderId="6" xfId="0" applyFont="1" applyFill="1" applyBorder="1" applyAlignment="1">
      <alignment horizontal="center" vertical="center"/>
    </xf>
    <xf numFmtId="3" fontId="37" fillId="26" borderId="14" xfId="0" applyNumberFormat="1" applyFont="1" applyFill="1" applyBorder="1"/>
    <xf numFmtId="3" fontId="37" fillId="25" borderId="14" xfId="0" applyNumberFormat="1" applyFont="1" applyFill="1" applyBorder="1"/>
    <xf numFmtId="3" fontId="37" fillId="26" borderId="16" xfId="0" applyNumberFormat="1" applyFont="1" applyFill="1" applyBorder="1"/>
    <xf numFmtId="3" fontId="37" fillId="25" borderId="16" xfId="0" applyNumberFormat="1" applyFont="1" applyFill="1" applyBorder="1"/>
    <xf numFmtId="3" fontId="38" fillId="26" borderId="16" xfId="0" applyNumberFormat="1" applyFont="1" applyFill="1" applyBorder="1"/>
    <xf numFmtId="9" fontId="38" fillId="26" borderId="16" xfId="0" applyNumberFormat="1" applyFont="1" applyFill="1" applyBorder="1"/>
    <xf numFmtId="3" fontId="38" fillId="25" borderId="16" xfId="0" applyNumberFormat="1" applyFont="1" applyFill="1" applyBorder="1"/>
    <xf numFmtId="9" fontId="38" fillId="25" borderId="16" xfId="0" applyNumberFormat="1" applyFont="1" applyFill="1" applyBorder="1"/>
    <xf numFmtId="3" fontId="39" fillId="26" borderId="16" xfId="0" applyNumberFormat="1" applyFont="1" applyFill="1" applyBorder="1"/>
    <xf numFmtId="9" fontId="39" fillId="26" borderId="16" xfId="0" applyNumberFormat="1" applyFont="1" applyFill="1" applyBorder="1"/>
    <xf numFmtId="3" fontId="39" fillId="25" borderId="16" xfId="0" applyNumberFormat="1" applyFont="1" applyFill="1" applyBorder="1"/>
    <xf numFmtId="9" fontId="37" fillId="26" borderId="16" xfId="0" applyNumberFormat="1" applyFont="1" applyFill="1" applyBorder="1"/>
    <xf numFmtId="3" fontId="40" fillId="0" borderId="0" xfId="0" applyNumberFormat="1" applyFont="1"/>
    <xf numFmtId="0" fontId="18" fillId="5" borderId="54" xfId="0" applyFont="1" applyFill="1" applyBorder="1"/>
    <xf numFmtId="0" fontId="36" fillId="5" borderId="55" xfId="0" applyFont="1" applyFill="1" applyBorder="1" applyAlignment="1">
      <alignment horizontal="center" vertical="center"/>
    </xf>
    <xf numFmtId="0" fontId="0" fillId="5" borderId="56" xfId="0" applyFill="1" applyBorder="1"/>
    <xf numFmtId="0" fontId="0" fillId="0" borderId="57" xfId="0" applyBorder="1"/>
    <xf numFmtId="3" fontId="18" fillId="27" borderId="58" xfId="0" applyNumberFormat="1" applyFont="1" applyFill="1" applyBorder="1"/>
    <xf numFmtId="3" fontId="18" fillId="27" borderId="59" xfId="0" applyNumberFormat="1" applyFont="1" applyFill="1" applyBorder="1"/>
    <xf numFmtId="3" fontId="9" fillId="27" borderId="59" xfId="0" applyNumberFormat="1" applyFont="1" applyFill="1" applyBorder="1"/>
    <xf numFmtId="3" fontId="30" fillId="27" borderId="59" xfId="0" applyNumberFormat="1" applyFont="1" applyFill="1" applyBorder="1"/>
    <xf numFmtId="3" fontId="17" fillId="27" borderId="59" xfId="0" applyNumberFormat="1" applyFont="1" applyFill="1" applyBorder="1"/>
    <xf numFmtId="3" fontId="24" fillId="27" borderId="59" xfId="0" applyNumberFormat="1" applyFont="1" applyFill="1" applyBorder="1"/>
    <xf numFmtId="3" fontId="18" fillId="8" borderId="61" xfId="0" applyNumberFormat="1" applyFont="1" applyFill="1" applyBorder="1"/>
    <xf numFmtId="9" fontId="18" fillId="8" borderId="61" xfId="0" applyNumberFormat="1" applyFont="1" applyFill="1" applyBorder="1"/>
    <xf numFmtId="3" fontId="18" fillId="13" borderId="61" xfId="0" applyNumberFormat="1" applyFont="1" applyFill="1" applyBorder="1"/>
    <xf numFmtId="9" fontId="18" fillId="13" borderId="61" xfId="0" applyNumberFormat="1" applyFont="1" applyFill="1" applyBorder="1"/>
    <xf numFmtId="3" fontId="18" fillId="27" borderId="60" xfId="0" applyNumberFormat="1" applyFont="1" applyFill="1" applyBorder="1"/>
    <xf numFmtId="3" fontId="37" fillId="26" borderId="9" xfId="0" applyNumberFormat="1" applyFont="1" applyFill="1" applyBorder="1"/>
    <xf numFmtId="3" fontId="37" fillId="26" borderId="12" xfId="0" applyNumberFormat="1" applyFont="1" applyFill="1" applyBorder="1"/>
    <xf numFmtId="9" fontId="38" fillId="26" borderId="12" xfId="0" applyNumberFormat="1" applyFont="1" applyFill="1" applyBorder="1"/>
    <xf numFmtId="3" fontId="38" fillId="26" borderId="12" xfId="0" applyNumberFormat="1" applyFont="1" applyFill="1" applyBorder="1"/>
    <xf numFmtId="3" fontId="39" fillId="26" borderId="12" xfId="0" applyNumberFormat="1" applyFont="1" applyFill="1" applyBorder="1"/>
    <xf numFmtId="9" fontId="18" fillId="8" borderId="62" xfId="0" applyNumberFormat="1" applyFont="1" applyFill="1" applyBorder="1"/>
    <xf numFmtId="0" fontId="36" fillId="5" borderId="63" xfId="0" applyFont="1" applyFill="1" applyBorder="1" applyAlignment="1">
      <alignment horizontal="center" vertical="center"/>
    </xf>
    <xf numFmtId="0" fontId="36" fillId="5" borderId="64" xfId="0" applyFont="1" applyFill="1" applyBorder="1" applyAlignment="1">
      <alignment horizontal="center" vertical="center"/>
    </xf>
    <xf numFmtId="0" fontId="0" fillId="0" borderId="65" xfId="0" applyBorder="1"/>
    <xf numFmtId="3" fontId="37" fillId="26" borderId="66" xfId="0" applyNumberFormat="1" applyFont="1" applyFill="1" applyBorder="1"/>
    <xf numFmtId="3" fontId="37" fillId="26" borderId="65" xfId="0" applyNumberFormat="1" applyFont="1" applyFill="1" applyBorder="1"/>
    <xf numFmtId="10" fontId="37" fillId="26" borderId="65" xfId="0" applyNumberFormat="1" applyFont="1" applyFill="1" applyBorder="1"/>
    <xf numFmtId="10" fontId="38" fillId="26" borderId="65" xfId="0" applyNumberFormat="1" applyFont="1" applyFill="1" applyBorder="1"/>
    <xf numFmtId="10" fontId="38" fillId="26" borderId="67" xfId="0" applyNumberFormat="1" applyFont="1" applyFill="1" applyBorder="1"/>
    <xf numFmtId="3" fontId="41" fillId="0" borderId="12" xfId="0" applyNumberFormat="1" applyFont="1" applyBorder="1"/>
    <xf numFmtId="3" fontId="5" fillId="0" borderId="7" xfId="0" applyNumberFormat="1" applyFont="1" applyBorder="1"/>
    <xf numFmtId="0" fontId="5" fillId="28" borderId="7" xfId="0" applyFont="1" applyFill="1" applyBorder="1"/>
    <xf numFmtId="0" fontId="27" fillId="28" borderId="12" xfId="0" applyFont="1" applyFill="1" applyBorder="1"/>
    <xf numFmtId="3" fontId="18" fillId="28" borderId="0" xfId="0" applyNumberFormat="1" applyFont="1" applyFill="1"/>
    <xf numFmtId="3" fontId="9" fillId="28" borderId="0" xfId="0" applyNumberFormat="1" applyFont="1" applyFill="1"/>
    <xf numFmtId="3" fontId="9" fillId="28" borderId="59" xfId="0" applyNumberFormat="1" applyFont="1" applyFill="1" applyBorder="1"/>
    <xf numFmtId="3" fontId="38" fillId="28" borderId="16" xfId="0" applyNumberFormat="1" applyFont="1" applyFill="1" applyBorder="1"/>
    <xf numFmtId="9" fontId="38" fillId="28" borderId="16" xfId="0" applyNumberFormat="1" applyFont="1" applyFill="1" applyBorder="1"/>
    <xf numFmtId="9" fontId="38" fillId="28" borderId="12" xfId="0" applyNumberFormat="1" applyFont="1" applyFill="1" applyBorder="1"/>
    <xf numFmtId="10" fontId="38" fillId="28" borderId="65" xfId="0" applyNumberFormat="1" applyFont="1" applyFill="1" applyBorder="1"/>
    <xf numFmtId="3" fontId="18" fillId="28" borderId="12" xfId="0" applyNumberFormat="1" applyFont="1" applyFill="1" applyBorder="1"/>
    <xf numFmtId="3" fontId="18" fillId="28" borderId="7" xfId="0" applyNumberFormat="1" applyFont="1" applyFill="1" applyBorder="1"/>
    <xf numFmtId="3" fontId="0" fillId="28" borderId="0" xfId="0" applyNumberFormat="1" applyFill="1"/>
    <xf numFmtId="3" fontId="18" fillId="28" borderId="21" xfId="0" applyNumberFormat="1" applyFont="1" applyFill="1" applyBorder="1" applyAlignment="1">
      <alignment horizontal="right"/>
    </xf>
    <xf numFmtId="3" fontId="5" fillId="0" borderId="0" xfId="0" applyNumberFormat="1" applyFont="1"/>
    <xf numFmtId="0" fontId="5" fillId="23" borderId="7" xfId="0" applyFont="1" applyFill="1" applyBorder="1"/>
    <xf numFmtId="3" fontId="0" fillId="10" borderId="0" xfId="0" applyNumberFormat="1" applyFill="1"/>
    <xf numFmtId="3" fontId="17" fillId="10" borderId="12" xfId="0" applyNumberFormat="1" applyFont="1" applyFill="1" applyBorder="1"/>
    <xf numFmtId="9" fontId="39" fillId="25" borderId="16" xfId="0" applyNumberFormat="1" applyFont="1" applyFill="1" applyBorder="1"/>
    <xf numFmtId="9" fontId="39" fillId="26" borderId="12" xfId="0" applyNumberFormat="1" applyFont="1" applyFill="1" applyBorder="1"/>
    <xf numFmtId="10" fontId="39" fillId="26" borderId="65" xfId="0" applyNumberFormat="1" applyFont="1" applyFill="1" applyBorder="1"/>
    <xf numFmtId="3" fontId="17" fillId="0" borderId="0" xfId="0" applyNumberFormat="1" applyFont="1"/>
    <xf numFmtId="3" fontId="17" fillId="0" borderId="7" xfId="0" applyNumberFormat="1" applyFont="1" applyBorder="1"/>
    <xf numFmtId="3" fontId="17" fillId="0" borderId="21" xfId="0" applyNumberFormat="1" applyFont="1" applyBorder="1" applyAlignment="1">
      <alignment horizontal="right"/>
    </xf>
    <xf numFmtId="0" fontId="17" fillId="0" borderId="0" xfId="0" applyFont="1"/>
    <xf numFmtId="3" fontId="17" fillId="10" borderId="7" xfId="0" applyNumberFormat="1" applyFont="1" applyFill="1" applyBorder="1"/>
    <xf numFmtId="3" fontId="0" fillId="12" borderId="0" xfId="0" applyNumberFormat="1" applyFill="1"/>
    <xf numFmtId="0" fontId="28" fillId="5" borderId="7" xfId="0" applyFont="1" applyFill="1" applyBorder="1"/>
    <xf numFmtId="3" fontId="37" fillId="6" borderId="18" xfId="0" applyNumberFormat="1" applyFont="1" applyFill="1" applyBorder="1"/>
    <xf numFmtId="0" fontId="18" fillId="10" borderId="0" xfId="0" applyFont="1" applyFill="1"/>
    <xf numFmtId="3" fontId="17" fillId="5" borderId="68" xfId="0" applyNumberFormat="1" applyFont="1" applyFill="1" applyBorder="1"/>
    <xf numFmtId="8" fontId="18" fillId="0" borderId="7" xfId="0" applyNumberFormat="1" applyFont="1" applyBorder="1"/>
    <xf numFmtId="3" fontId="0" fillId="12" borderId="18" xfId="0" applyNumberFormat="1" applyFill="1" applyBorder="1"/>
    <xf numFmtId="3" fontId="37" fillId="25" borderId="9" xfId="0" applyNumberFormat="1" applyFont="1" applyFill="1" applyBorder="1"/>
    <xf numFmtId="3" fontId="37" fillId="25" borderId="12" xfId="0" applyNumberFormat="1" applyFont="1" applyFill="1" applyBorder="1"/>
    <xf numFmtId="3" fontId="38" fillId="29" borderId="16" xfId="0" applyNumberFormat="1" applyFont="1" applyFill="1" applyBorder="1"/>
    <xf numFmtId="9" fontId="38" fillId="29" borderId="12" xfId="0" applyNumberFormat="1" applyFont="1" applyFill="1" applyBorder="1"/>
    <xf numFmtId="9" fontId="38" fillId="25" borderId="12" xfId="0" applyNumberFormat="1" applyFont="1" applyFill="1" applyBorder="1"/>
    <xf numFmtId="3" fontId="38" fillId="25" borderId="12" xfId="0" applyNumberFormat="1" applyFont="1" applyFill="1" applyBorder="1"/>
    <xf numFmtId="3" fontId="39" fillId="25" borderId="12" xfId="0" applyNumberFormat="1" applyFont="1" applyFill="1" applyBorder="1"/>
    <xf numFmtId="9" fontId="18" fillId="13" borderId="62" xfId="0" applyNumberFormat="1" applyFont="1" applyFill="1" applyBorder="1"/>
    <xf numFmtId="0" fontId="42" fillId="5" borderId="7" xfId="0" applyFont="1" applyFill="1" applyBorder="1"/>
    <xf numFmtId="0" fontId="43" fillId="30" borderId="7" xfId="0" applyFont="1" applyFill="1" applyBorder="1"/>
    <xf numFmtId="0" fontId="27" fillId="30" borderId="12" xfId="0" applyFont="1" applyFill="1" applyBorder="1"/>
    <xf numFmtId="3" fontId="18" fillId="30" borderId="0" xfId="0" applyNumberFormat="1" applyFont="1" applyFill="1"/>
    <xf numFmtId="3" fontId="28" fillId="30" borderId="0" xfId="0" applyNumberFormat="1" applyFont="1" applyFill="1"/>
    <xf numFmtId="0" fontId="44" fillId="5" borderId="7" xfId="0" applyFont="1" applyFill="1" applyBorder="1"/>
    <xf numFmtId="0" fontId="45" fillId="5" borderId="7" xfId="0" applyFont="1" applyFill="1" applyBorder="1"/>
    <xf numFmtId="3" fontId="0" fillId="0" borderId="21" xfId="0" applyNumberFormat="1" applyBorder="1" applyAlignment="1">
      <alignment horizontal="right"/>
    </xf>
    <xf numFmtId="3" fontId="18" fillId="21" borderId="12" xfId="0" applyNumberFormat="1" applyFont="1" applyFill="1" applyBorder="1"/>
    <xf numFmtId="3" fontId="18" fillId="21" borderId="0" xfId="0" applyNumberFormat="1" applyFont="1" applyFill="1"/>
    <xf numFmtId="0" fontId="0" fillId="15" borderId="0" xfId="0" applyFill="1"/>
    <xf numFmtId="0" fontId="0" fillId="21" borderId="0" xfId="0" applyFill="1"/>
    <xf numFmtId="3" fontId="17" fillId="27" borderId="0" xfId="0" applyNumberFormat="1" applyFont="1" applyFill="1"/>
    <xf numFmtId="3" fontId="17" fillId="27" borderId="69" xfId="0" applyNumberFormat="1" applyFont="1" applyFill="1" applyBorder="1"/>
    <xf numFmtId="3" fontId="18" fillId="27" borderId="57" xfId="0" applyNumberFormat="1" applyFont="1" applyFill="1" applyBorder="1"/>
    <xf numFmtId="3" fontId="37" fillId="25" borderId="0" xfId="0" applyNumberFormat="1" applyFont="1" applyFill="1"/>
    <xf numFmtId="3" fontId="37" fillId="26" borderId="0" xfId="0" applyNumberFormat="1" applyFont="1" applyFill="1"/>
    <xf numFmtId="0" fontId="17" fillId="21" borderId="7" xfId="0" applyFont="1" applyFill="1" applyBorder="1"/>
    <xf numFmtId="0" fontId="17" fillId="27" borderId="7" xfId="0" applyFont="1" applyFill="1" applyBorder="1"/>
    <xf numFmtId="3" fontId="24" fillId="20" borderId="12" xfId="0" applyNumberFormat="1" applyFont="1" applyFill="1" applyBorder="1"/>
    <xf numFmtId="3" fontId="18" fillId="20" borderId="7" xfId="0" applyNumberFormat="1" applyFont="1" applyFill="1" applyBorder="1"/>
    <xf numFmtId="3" fontId="18" fillId="20" borderId="12" xfId="0" applyNumberFormat="1" applyFont="1" applyFill="1" applyBorder="1"/>
    <xf numFmtId="0" fontId="46" fillId="5" borderId="7" xfId="0" applyFont="1" applyFill="1" applyBorder="1"/>
    <xf numFmtId="0" fontId="47" fillId="5" borderId="7" xfId="0" applyFont="1" applyFill="1" applyBorder="1"/>
    <xf numFmtId="0" fontId="48" fillId="5" borderId="7" xfId="0" applyFont="1" applyFill="1" applyBorder="1"/>
    <xf numFmtId="0" fontId="49" fillId="5" borderId="7" xfId="0" applyFont="1" applyFill="1" applyBorder="1"/>
    <xf numFmtId="0" fontId="50" fillId="5" borderId="7" xfId="0" applyFont="1" applyFill="1" applyBorder="1"/>
    <xf numFmtId="0" fontId="51" fillId="5" borderId="7" xfId="0" applyFont="1" applyFill="1" applyBorder="1"/>
    <xf numFmtId="0" fontId="52" fillId="5" borderId="7" xfId="0" applyFont="1" applyFill="1" applyBorder="1"/>
    <xf numFmtId="0" fontId="24" fillId="5" borderId="12" xfId="0" applyFont="1" applyFill="1" applyBorder="1"/>
    <xf numFmtId="3" fontId="53" fillId="25" borderId="16" xfId="0" applyNumberFormat="1" applyFont="1" applyFill="1" applyBorder="1"/>
    <xf numFmtId="9" fontId="53" fillId="25" borderId="12" xfId="0" applyNumberFormat="1" applyFont="1" applyFill="1" applyBorder="1"/>
    <xf numFmtId="3" fontId="53" fillId="26" borderId="16" xfId="0" applyNumberFormat="1" applyFont="1" applyFill="1" applyBorder="1"/>
    <xf numFmtId="9" fontId="53" fillId="26" borderId="12" xfId="0" applyNumberFormat="1" applyFont="1" applyFill="1" applyBorder="1"/>
    <xf numFmtId="9" fontId="53" fillId="26" borderId="16" xfId="0" applyNumberFormat="1" applyFont="1" applyFill="1" applyBorder="1"/>
    <xf numFmtId="9" fontId="53" fillId="25" borderId="16" xfId="0" applyNumberFormat="1" applyFont="1" applyFill="1" applyBorder="1"/>
    <xf numFmtId="10" fontId="53" fillId="26" borderId="65" xfId="0" applyNumberFormat="1" applyFont="1" applyFill="1" applyBorder="1"/>
    <xf numFmtId="3" fontId="24" fillId="0" borderId="0" xfId="0" applyNumberFormat="1" applyFont="1"/>
    <xf numFmtId="3" fontId="24" fillId="0" borderId="7" xfId="0" applyNumberFormat="1" applyFont="1" applyBorder="1"/>
    <xf numFmtId="3" fontId="24" fillId="0" borderId="21" xfId="0" applyNumberFormat="1" applyFont="1" applyBorder="1" applyAlignment="1">
      <alignment horizontal="right"/>
    </xf>
    <xf numFmtId="0" fontId="24" fillId="0" borderId="0" xfId="0" applyFont="1"/>
    <xf numFmtId="0" fontId="54" fillId="5" borderId="7" xfId="0" applyFont="1" applyFill="1" applyBorder="1"/>
    <xf numFmtId="3" fontId="22" fillId="5" borderId="0" xfId="0" applyNumberFormat="1" applyFont="1" applyFill="1"/>
    <xf numFmtId="3" fontId="22" fillId="27" borderId="59" xfId="0" applyNumberFormat="1" applyFont="1" applyFill="1" applyBorder="1"/>
    <xf numFmtId="3" fontId="55" fillId="25" borderId="16" xfId="0" applyNumberFormat="1" applyFont="1" applyFill="1" applyBorder="1"/>
    <xf numFmtId="3" fontId="22" fillId="0" borderId="0" xfId="0" applyNumberFormat="1" applyFont="1"/>
    <xf numFmtId="3" fontId="22" fillId="0" borderId="12" xfId="0" applyNumberFormat="1" applyFont="1" applyBorder="1"/>
    <xf numFmtId="3" fontId="22" fillId="0" borderId="7" xfId="0" applyNumberFormat="1" applyFont="1" applyBorder="1"/>
    <xf numFmtId="3" fontId="22" fillId="0" borderId="21" xfId="0" applyNumberFormat="1" applyFont="1" applyBorder="1" applyAlignment="1">
      <alignment horizontal="right"/>
    </xf>
    <xf numFmtId="3" fontId="24" fillId="10" borderId="12" xfId="0" applyNumberFormat="1" applyFont="1" applyFill="1" applyBorder="1"/>
    <xf numFmtId="3" fontId="24" fillId="10" borderId="7" xfId="0" applyNumberFormat="1" applyFont="1" applyFill="1" applyBorder="1"/>
    <xf numFmtId="0" fontId="56" fillId="5" borderId="7" xfId="0" applyFont="1" applyFill="1" applyBorder="1"/>
    <xf numFmtId="0" fontId="18" fillId="5" borderId="11" xfId="0" applyFont="1" applyFill="1" applyBorder="1"/>
    <xf numFmtId="0" fontId="19" fillId="5" borderId="8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0" fillId="5" borderId="11" xfId="0" applyFill="1" applyBorder="1"/>
    <xf numFmtId="0" fontId="0" fillId="5" borderId="7" xfId="0" applyFill="1" applyBorder="1"/>
    <xf numFmtId="0" fontId="0" fillId="5" borderId="19" xfId="0" applyFill="1" applyBorder="1"/>
    <xf numFmtId="0" fontId="18" fillId="0" borderId="16" xfId="0" applyFont="1" applyBorder="1"/>
    <xf numFmtId="0" fontId="24" fillId="0" borderId="16" xfId="0" applyFont="1" applyBorder="1"/>
    <xf numFmtId="0" fontId="18" fillId="5" borderId="16" xfId="0" applyFont="1" applyFill="1" applyBorder="1"/>
    <xf numFmtId="0" fontId="24" fillId="5" borderId="16" xfId="0" applyFont="1" applyFill="1" applyBorder="1"/>
    <xf numFmtId="0" fontId="18" fillId="5" borderId="15" xfId="0" applyFont="1" applyFill="1" applyBorder="1"/>
    <xf numFmtId="0" fontId="18" fillId="30" borderId="16" xfId="0" applyFont="1" applyFill="1" applyBorder="1"/>
    <xf numFmtId="0" fontId="57" fillId="5" borderId="7" xfId="0" applyFont="1" applyFill="1" applyBorder="1"/>
    <xf numFmtId="3" fontId="18" fillId="5" borderId="16" xfId="0" applyNumberFormat="1" applyFont="1" applyFill="1" applyBorder="1"/>
    <xf numFmtId="3" fontId="10" fillId="27" borderId="59" xfId="0" applyNumberFormat="1" applyFont="1" applyFill="1" applyBorder="1"/>
    <xf numFmtId="3" fontId="5" fillId="27" borderId="59" xfId="0" applyNumberFormat="1" applyFont="1" applyFill="1" applyBorder="1"/>
    <xf numFmtId="3" fontId="18" fillId="11" borderId="7" xfId="0" applyNumberFormat="1" applyFont="1" applyFill="1" applyBorder="1"/>
    <xf numFmtId="0" fontId="58" fillId="5" borderId="7" xfId="0" applyFont="1" applyFill="1" applyBorder="1"/>
    <xf numFmtId="0" fontId="18" fillId="4" borderId="10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6" fillId="5" borderId="55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0" fillId="2" borderId="1" xfId="0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10" fillId="2" borderId="1" xfId="0" applyFont="1" applyFill="1" applyBorder="1"/>
    <xf numFmtId="0" fontId="9" fillId="2" borderId="1" xfId="0" applyFont="1" applyFill="1" applyBorder="1"/>
    <xf numFmtId="0" fontId="11" fillId="2" borderId="1" xfId="0" applyFont="1" applyFill="1" applyBorder="1"/>
    <xf numFmtId="0" fontId="1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2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7" borderId="36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7" borderId="35" xfId="0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8" borderId="36" xfId="0" applyFill="1" applyBorder="1" applyAlignment="1">
      <alignment horizontal="center"/>
    </xf>
    <xf numFmtId="0" fontId="0" fillId="20" borderId="36" xfId="0" applyFill="1" applyBorder="1" applyAlignment="1">
      <alignment horizontal="center"/>
    </xf>
    <xf numFmtId="0" fontId="0" fillId="22" borderId="36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3" borderId="32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21" borderId="32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0" fillId="17" borderId="41" xfId="0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0" fillId="22" borderId="19" xfId="0" applyFill="1" applyBorder="1" applyAlignment="1">
      <alignment horizontal="center"/>
    </xf>
    <xf numFmtId="0" fontId="0" fillId="20" borderId="32" xfId="0" applyFill="1" applyBorder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8" borderId="32" xfId="0" applyFill="1" applyBorder="1" applyAlignment="1">
      <alignment horizontal="center"/>
    </xf>
    <xf numFmtId="0" fontId="0" fillId="14" borderId="30" xfId="0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6">
    <cellStyle name="Heading" xfId="2" xr:uid="{00000000-0005-0000-0000-000000000000}"/>
    <cellStyle name="Heading1" xfId="3" xr:uid="{00000000-0005-0000-0000-000001000000}"/>
    <cellStyle name="Normal" xfId="0" builtinId="0" customBuiltin="1"/>
    <cellStyle name="Pourcentage" xfId="1" builtinId="5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'2019-20'!$A$6:$A$48</c:f>
              <c:strCache>
                <c:ptCount val="43"/>
                <c:pt idx="0">
                  <c:v>GERNAULT - IBANESCU</c:v>
                </c:pt>
                <c:pt idx="1">
                  <c:v>SCHIEL</c:v>
                </c:pt>
                <c:pt idx="2">
                  <c:v>GEZE</c:v>
                </c:pt>
                <c:pt idx="3">
                  <c:v>THIRE</c:v>
                </c:pt>
                <c:pt idx="4">
                  <c:v>LEROULLIER</c:v>
                </c:pt>
                <c:pt idx="5">
                  <c:v>CHESNEL</c:v>
                </c:pt>
                <c:pt idx="6">
                  <c:v>RF ROUSSEL</c:v>
                </c:pt>
                <c:pt idx="7">
                  <c:v>JAGER</c:v>
                </c:pt>
                <c:pt idx="8">
                  <c:v>HULIN</c:v>
                </c:pt>
                <c:pt idx="9">
                  <c:v>DARCILLON</c:v>
                </c:pt>
                <c:pt idx="10">
                  <c:v>LALLOZ</c:v>
                </c:pt>
                <c:pt idx="11">
                  <c:v>FROGER</c:v>
                </c:pt>
                <c:pt idx="12">
                  <c:v>ROUILLARD</c:v>
                </c:pt>
                <c:pt idx="13">
                  <c:v>BICARD</c:v>
                </c:pt>
                <c:pt idx="14">
                  <c:v>BOEUVE</c:v>
                </c:pt>
                <c:pt idx="15">
                  <c:v>GERMAIN</c:v>
                </c:pt>
                <c:pt idx="16">
                  <c:v>ROUSSEL</c:v>
                </c:pt>
                <c:pt idx="17">
                  <c:v>RF FLIPO</c:v>
                </c:pt>
                <c:pt idx="18">
                  <c:v>SHACHER</c:v>
                </c:pt>
                <c:pt idx="19">
                  <c:v>LEVEQUE GARAGE</c:v>
                </c:pt>
                <c:pt idx="20">
                  <c:v>LEVEQUE</c:v>
                </c:pt>
                <c:pt idx="21">
                  <c:v>DAGORN</c:v>
                </c:pt>
                <c:pt idx="22">
                  <c:v>CAUCE via joris cenier</c:v>
                </c:pt>
                <c:pt idx="23">
                  <c:v>DARDE </c:v>
                </c:pt>
                <c:pt idx="24">
                  <c:v>BRODIN</c:v>
                </c:pt>
                <c:pt idx="25">
                  <c:v>JOUAULT</c:v>
                </c:pt>
                <c:pt idx="26">
                  <c:v>CHAUVEL</c:v>
                </c:pt>
                <c:pt idx="27">
                  <c:v>SCI WATIER</c:v>
                </c:pt>
                <c:pt idx="28">
                  <c:v>COYER</c:v>
                </c:pt>
                <c:pt idx="29">
                  <c:v>CADIEU NOURY</c:v>
                </c:pt>
                <c:pt idx="30">
                  <c:v>MAINCENT</c:v>
                </c:pt>
                <c:pt idx="31">
                  <c:v>SINIGAGLIA</c:v>
                </c:pt>
                <c:pt idx="32">
                  <c:v>RAOULT</c:v>
                </c:pt>
                <c:pt idx="33">
                  <c:v>TESSON</c:v>
                </c:pt>
                <c:pt idx="34">
                  <c:v>MAHE</c:v>
                </c:pt>
                <c:pt idx="35">
                  <c:v>EXAEQUO</c:v>
                </c:pt>
                <c:pt idx="36">
                  <c:v>LEROUX</c:v>
                </c:pt>
                <c:pt idx="37">
                  <c:v>PINCON</c:v>
                </c:pt>
                <c:pt idx="38">
                  <c:v>BROUARD</c:v>
                </c:pt>
                <c:pt idx="39">
                  <c:v>SOURDIN</c:v>
                </c:pt>
                <c:pt idx="40">
                  <c:v>ATILLA (Bardage)</c:v>
                </c:pt>
                <c:pt idx="41">
                  <c:v>HAMEL</c:v>
                </c:pt>
                <c:pt idx="42">
                  <c:v>ZAGHBOUNI</c:v>
                </c:pt>
              </c:strCache>
            </c:strRef>
          </c:cat>
          <c:val>
            <c:numRef>
              <c:f>'2019-20'!$B$6:$B$48</c:f>
              <c:numCache>
                <c:formatCode>General</c:formatCode>
                <c:ptCount val="43"/>
              </c:numCache>
            </c:numRef>
          </c:val>
          <c:extLst>
            <c:ext xmlns:c16="http://schemas.microsoft.com/office/drawing/2014/chart" uri="{C3380CC4-5D6E-409C-BE32-E72D297353CC}">
              <c16:uniqueId val="{00000000-711B-49D8-9E9D-AB66F05785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'2019-20'!$A$6:$A$48</c:f>
              <c:strCache>
                <c:ptCount val="43"/>
                <c:pt idx="0">
                  <c:v>GERNAULT - IBANESCU</c:v>
                </c:pt>
                <c:pt idx="1">
                  <c:v>SCHIEL</c:v>
                </c:pt>
                <c:pt idx="2">
                  <c:v>GEZE</c:v>
                </c:pt>
                <c:pt idx="3">
                  <c:v>THIRE</c:v>
                </c:pt>
                <c:pt idx="4">
                  <c:v>LEROULLIER</c:v>
                </c:pt>
                <c:pt idx="5">
                  <c:v>CHESNEL</c:v>
                </c:pt>
                <c:pt idx="6">
                  <c:v>RF ROUSSEL</c:v>
                </c:pt>
                <c:pt idx="7">
                  <c:v>JAGER</c:v>
                </c:pt>
                <c:pt idx="8">
                  <c:v>HULIN</c:v>
                </c:pt>
                <c:pt idx="9">
                  <c:v>DARCILLON</c:v>
                </c:pt>
                <c:pt idx="10">
                  <c:v>LALLOZ</c:v>
                </c:pt>
                <c:pt idx="11">
                  <c:v>FROGER</c:v>
                </c:pt>
                <c:pt idx="12">
                  <c:v>ROUILLARD</c:v>
                </c:pt>
                <c:pt idx="13">
                  <c:v>BICARD</c:v>
                </c:pt>
                <c:pt idx="14">
                  <c:v>BOEUVE</c:v>
                </c:pt>
                <c:pt idx="15">
                  <c:v>GERMAIN</c:v>
                </c:pt>
                <c:pt idx="16">
                  <c:v>ROUSSEL</c:v>
                </c:pt>
                <c:pt idx="17">
                  <c:v>RF FLIPO</c:v>
                </c:pt>
                <c:pt idx="18">
                  <c:v>SHACHER</c:v>
                </c:pt>
                <c:pt idx="19">
                  <c:v>LEVEQUE GARAGE</c:v>
                </c:pt>
                <c:pt idx="20">
                  <c:v>LEVEQUE</c:v>
                </c:pt>
                <c:pt idx="21">
                  <c:v>DAGORN</c:v>
                </c:pt>
                <c:pt idx="22">
                  <c:v>CAUCE via joris cenier</c:v>
                </c:pt>
                <c:pt idx="23">
                  <c:v>DARDE </c:v>
                </c:pt>
                <c:pt idx="24">
                  <c:v>BRODIN</c:v>
                </c:pt>
                <c:pt idx="25">
                  <c:v>JOUAULT</c:v>
                </c:pt>
                <c:pt idx="26">
                  <c:v>CHAUVEL</c:v>
                </c:pt>
                <c:pt idx="27">
                  <c:v>SCI WATIER</c:v>
                </c:pt>
                <c:pt idx="28">
                  <c:v>COYER</c:v>
                </c:pt>
                <c:pt idx="29">
                  <c:v>CADIEU NOURY</c:v>
                </c:pt>
                <c:pt idx="30">
                  <c:v>MAINCENT</c:v>
                </c:pt>
                <c:pt idx="31">
                  <c:v>SINIGAGLIA</c:v>
                </c:pt>
                <c:pt idx="32">
                  <c:v>RAOULT</c:v>
                </c:pt>
                <c:pt idx="33">
                  <c:v>TESSON</c:v>
                </c:pt>
                <c:pt idx="34">
                  <c:v>MAHE</c:v>
                </c:pt>
                <c:pt idx="35">
                  <c:v>EXAEQUO</c:v>
                </c:pt>
                <c:pt idx="36">
                  <c:v>LEROUX</c:v>
                </c:pt>
                <c:pt idx="37">
                  <c:v>PINCON</c:v>
                </c:pt>
                <c:pt idx="38">
                  <c:v>BROUARD</c:v>
                </c:pt>
                <c:pt idx="39">
                  <c:v>SOURDIN</c:v>
                </c:pt>
                <c:pt idx="40">
                  <c:v>ATILLA (Bardage)</c:v>
                </c:pt>
                <c:pt idx="41">
                  <c:v>HAMEL</c:v>
                </c:pt>
                <c:pt idx="42">
                  <c:v>ZAGHBOUNI</c:v>
                </c:pt>
              </c:strCache>
            </c:strRef>
          </c:cat>
          <c:val>
            <c:numRef>
              <c:f>'2019-20'!$C$6:$C$48</c:f>
              <c:numCache>
                <c:formatCode>#,##0</c:formatCode>
                <c:ptCount val="43"/>
                <c:pt idx="4">
                  <c:v>43205</c:v>
                </c:pt>
                <c:pt idx="5">
                  <c:v>23403</c:v>
                </c:pt>
                <c:pt idx="6">
                  <c:v>51345</c:v>
                </c:pt>
                <c:pt idx="7">
                  <c:v>70682</c:v>
                </c:pt>
                <c:pt idx="8">
                  <c:v>35372</c:v>
                </c:pt>
                <c:pt idx="10">
                  <c:v>4865.8</c:v>
                </c:pt>
                <c:pt idx="11">
                  <c:v>1913</c:v>
                </c:pt>
                <c:pt idx="12">
                  <c:v>11993.73</c:v>
                </c:pt>
                <c:pt idx="13">
                  <c:v>13428</c:v>
                </c:pt>
                <c:pt idx="14">
                  <c:v>22297</c:v>
                </c:pt>
                <c:pt idx="15">
                  <c:v>2019</c:v>
                </c:pt>
                <c:pt idx="16">
                  <c:v>86048</c:v>
                </c:pt>
                <c:pt idx="17">
                  <c:v>12911</c:v>
                </c:pt>
                <c:pt idx="18" formatCode="General">
                  <c:v>35629</c:v>
                </c:pt>
                <c:pt idx="19" formatCode="General">
                  <c:v>16424.62</c:v>
                </c:pt>
                <c:pt idx="20" formatCode="General">
                  <c:v>56711.6</c:v>
                </c:pt>
                <c:pt idx="21">
                  <c:v>60469</c:v>
                </c:pt>
                <c:pt idx="22">
                  <c:v>20274</c:v>
                </c:pt>
                <c:pt idx="23">
                  <c:v>4357</c:v>
                </c:pt>
                <c:pt idx="24">
                  <c:v>27757</c:v>
                </c:pt>
                <c:pt idx="25">
                  <c:v>21815.39</c:v>
                </c:pt>
                <c:pt idx="26">
                  <c:v>77453</c:v>
                </c:pt>
                <c:pt idx="27">
                  <c:v>36413</c:v>
                </c:pt>
                <c:pt idx="28">
                  <c:v>32375.45</c:v>
                </c:pt>
                <c:pt idx="29">
                  <c:v>87107.63</c:v>
                </c:pt>
                <c:pt idx="30">
                  <c:v>28887</c:v>
                </c:pt>
                <c:pt idx="31">
                  <c:v>20059.27</c:v>
                </c:pt>
                <c:pt idx="32">
                  <c:v>108035.12</c:v>
                </c:pt>
                <c:pt idx="33">
                  <c:v>73304</c:v>
                </c:pt>
                <c:pt idx="34">
                  <c:v>458.33</c:v>
                </c:pt>
                <c:pt idx="35">
                  <c:v>1500</c:v>
                </c:pt>
                <c:pt idx="36">
                  <c:v>2250</c:v>
                </c:pt>
                <c:pt idx="37">
                  <c:v>4198</c:v>
                </c:pt>
                <c:pt idx="38">
                  <c:v>2835.36</c:v>
                </c:pt>
                <c:pt idx="39">
                  <c:v>878</c:v>
                </c:pt>
                <c:pt idx="40">
                  <c:v>255</c:v>
                </c:pt>
                <c:pt idx="41">
                  <c:v>5023</c:v>
                </c:pt>
                <c:pt idx="42">
                  <c:v>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B-49D8-9E9D-AB66F05785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'2019-20'!$A$6:$A$48</c:f>
              <c:strCache>
                <c:ptCount val="43"/>
                <c:pt idx="0">
                  <c:v>GERNAULT - IBANESCU</c:v>
                </c:pt>
                <c:pt idx="1">
                  <c:v>SCHIEL</c:v>
                </c:pt>
                <c:pt idx="2">
                  <c:v>GEZE</c:v>
                </c:pt>
                <c:pt idx="3">
                  <c:v>THIRE</c:v>
                </c:pt>
                <c:pt idx="4">
                  <c:v>LEROULLIER</c:v>
                </c:pt>
                <c:pt idx="5">
                  <c:v>CHESNEL</c:v>
                </c:pt>
                <c:pt idx="6">
                  <c:v>RF ROUSSEL</c:v>
                </c:pt>
                <c:pt idx="7">
                  <c:v>JAGER</c:v>
                </c:pt>
                <c:pt idx="8">
                  <c:v>HULIN</c:v>
                </c:pt>
                <c:pt idx="9">
                  <c:v>DARCILLON</c:v>
                </c:pt>
                <c:pt idx="10">
                  <c:v>LALLOZ</c:v>
                </c:pt>
                <c:pt idx="11">
                  <c:v>FROGER</c:v>
                </c:pt>
                <c:pt idx="12">
                  <c:v>ROUILLARD</c:v>
                </c:pt>
                <c:pt idx="13">
                  <c:v>BICARD</c:v>
                </c:pt>
                <c:pt idx="14">
                  <c:v>BOEUVE</c:v>
                </c:pt>
                <c:pt idx="15">
                  <c:v>GERMAIN</c:v>
                </c:pt>
                <c:pt idx="16">
                  <c:v>ROUSSEL</c:v>
                </c:pt>
                <c:pt idx="17">
                  <c:v>RF FLIPO</c:v>
                </c:pt>
                <c:pt idx="18">
                  <c:v>SHACHER</c:v>
                </c:pt>
                <c:pt idx="19">
                  <c:v>LEVEQUE GARAGE</c:v>
                </c:pt>
                <c:pt idx="20">
                  <c:v>LEVEQUE</c:v>
                </c:pt>
                <c:pt idx="21">
                  <c:v>DAGORN</c:v>
                </c:pt>
                <c:pt idx="22">
                  <c:v>CAUCE via joris cenier</c:v>
                </c:pt>
                <c:pt idx="23">
                  <c:v>DARDE </c:v>
                </c:pt>
                <c:pt idx="24">
                  <c:v>BRODIN</c:v>
                </c:pt>
                <c:pt idx="25">
                  <c:v>JOUAULT</c:v>
                </c:pt>
                <c:pt idx="26">
                  <c:v>CHAUVEL</c:v>
                </c:pt>
                <c:pt idx="27">
                  <c:v>SCI WATIER</c:v>
                </c:pt>
                <c:pt idx="28">
                  <c:v>COYER</c:v>
                </c:pt>
                <c:pt idx="29">
                  <c:v>CADIEU NOURY</c:v>
                </c:pt>
                <c:pt idx="30">
                  <c:v>MAINCENT</c:v>
                </c:pt>
                <c:pt idx="31">
                  <c:v>SINIGAGLIA</c:v>
                </c:pt>
                <c:pt idx="32">
                  <c:v>RAOULT</c:v>
                </c:pt>
                <c:pt idx="33">
                  <c:v>TESSON</c:v>
                </c:pt>
                <c:pt idx="34">
                  <c:v>MAHE</c:v>
                </c:pt>
                <c:pt idx="35">
                  <c:v>EXAEQUO</c:v>
                </c:pt>
                <c:pt idx="36">
                  <c:v>LEROUX</c:v>
                </c:pt>
                <c:pt idx="37">
                  <c:v>PINCON</c:v>
                </c:pt>
                <c:pt idx="38">
                  <c:v>BROUARD</c:v>
                </c:pt>
                <c:pt idx="39">
                  <c:v>SOURDIN</c:v>
                </c:pt>
                <c:pt idx="40">
                  <c:v>ATILLA (Bardage)</c:v>
                </c:pt>
                <c:pt idx="41">
                  <c:v>HAMEL</c:v>
                </c:pt>
                <c:pt idx="42">
                  <c:v>ZAGHBOUNI</c:v>
                </c:pt>
              </c:strCache>
            </c:strRef>
          </c:cat>
          <c:val>
            <c:numRef>
              <c:f>'2019-20'!$D$6:$D$48</c:f>
              <c:numCache>
                <c:formatCode>#,##0</c:formatCode>
                <c:ptCount val="43"/>
                <c:pt idx="0">
                  <c:v>97245</c:v>
                </c:pt>
                <c:pt idx="1">
                  <c:v>137101</c:v>
                </c:pt>
                <c:pt idx="2">
                  <c:v>46977</c:v>
                </c:pt>
                <c:pt idx="3">
                  <c:v>45339</c:v>
                </c:pt>
                <c:pt idx="4">
                  <c:v>43205</c:v>
                </c:pt>
                <c:pt idx="5">
                  <c:v>23403</c:v>
                </c:pt>
                <c:pt idx="6">
                  <c:v>51345</c:v>
                </c:pt>
                <c:pt idx="7">
                  <c:v>70682</c:v>
                </c:pt>
                <c:pt idx="8">
                  <c:v>35372.239999999998</c:v>
                </c:pt>
                <c:pt idx="9">
                  <c:v>68020</c:v>
                </c:pt>
                <c:pt idx="10">
                  <c:v>4865.8</c:v>
                </c:pt>
                <c:pt idx="11">
                  <c:v>1913</c:v>
                </c:pt>
                <c:pt idx="12">
                  <c:v>11993.73</c:v>
                </c:pt>
                <c:pt idx="13">
                  <c:v>13428</c:v>
                </c:pt>
                <c:pt idx="14">
                  <c:v>22297</c:v>
                </c:pt>
                <c:pt idx="15">
                  <c:v>2019</c:v>
                </c:pt>
                <c:pt idx="16">
                  <c:v>86048</c:v>
                </c:pt>
                <c:pt idx="17">
                  <c:v>12911</c:v>
                </c:pt>
                <c:pt idx="18">
                  <c:v>35629.01</c:v>
                </c:pt>
                <c:pt idx="19">
                  <c:v>16424.62</c:v>
                </c:pt>
                <c:pt idx="20" formatCode="General">
                  <c:v>56711.6</c:v>
                </c:pt>
                <c:pt idx="21">
                  <c:v>60469</c:v>
                </c:pt>
                <c:pt idx="22">
                  <c:v>20274</c:v>
                </c:pt>
                <c:pt idx="23">
                  <c:v>4357</c:v>
                </c:pt>
                <c:pt idx="24">
                  <c:v>27757</c:v>
                </c:pt>
                <c:pt idx="25">
                  <c:v>21815.39</c:v>
                </c:pt>
                <c:pt idx="26">
                  <c:v>77453</c:v>
                </c:pt>
                <c:pt idx="27">
                  <c:v>36413</c:v>
                </c:pt>
                <c:pt idx="28">
                  <c:v>32375</c:v>
                </c:pt>
                <c:pt idx="29">
                  <c:v>87107.63</c:v>
                </c:pt>
                <c:pt idx="30">
                  <c:v>28887</c:v>
                </c:pt>
                <c:pt idx="31">
                  <c:v>20059.27</c:v>
                </c:pt>
                <c:pt idx="32">
                  <c:v>108035</c:v>
                </c:pt>
                <c:pt idx="33">
                  <c:v>73304</c:v>
                </c:pt>
                <c:pt idx="34">
                  <c:v>458.33</c:v>
                </c:pt>
                <c:pt idx="35">
                  <c:v>1500</c:v>
                </c:pt>
                <c:pt idx="36">
                  <c:v>2250</c:v>
                </c:pt>
                <c:pt idx="37">
                  <c:v>4198</c:v>
                </c:pt>
                <c:pt idx="38">
                  <c:v>2835.36</c:v>
                </c:pt>
                <c:pt idx="39">
                  <c:v>878</c:v>
                </c:pt>
                <c:pt idx="40">
                  <c:v>255</c:v>
                </c:pt>
                <c:pt idx="41">
                  <c:v>5023</c:v>
                </c:pt>
                <c:pt idx="42">
                  <c:v>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B-49D8-9E9D-AB66F057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394328"/>
        <c:axId val="362009144"/>
      </c:barChart>
      <c:catAx>
        <c:axId val="36239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009144"/>
        <c:crosses val="autoZero"/>
        <c:auto val="1"/>
        <c:lblAlgn val="ctr"/>
        <c:lblOffset val="100"/>
        <c:noMultiLvlLbl val="0"/>
      </c:catAx>
      <c:valAx>
        <c:axId val="36200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39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827DB4-411D-4537-942C-4DB57D5AF4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zo COZETTE" id="{F8EEA3AD-9E9E-47AA-8189-B2F5D16D7A81}" userId="S::enzo.cozette@sossonmaisonbois.fr::af49ad33-5cc3-42bd-88cc-cd9f09e435e8" providerId="AD"/>
  <person displayName="Nicolas Sosson" id="{FD969ED8-DAA5-4692-BB61-B7415B0B3490}" userId="S::nicolas.sosson@sossonmaisonbois.fr::375cd634-042c-49ea-afb1-bb3246364ad6" providerId="AD"/>
  <person displayName="Solène Longuet" id="{A8C15F9C-90DD-488E-99A4-032577968740}" userId="S::solene.longuet@sossonmaisonbois.fr::ff77ba9f-a1fb-45fb-a1a8-6305a706145d" providerId="AD"/>
  <person displayName="Marie-Thérèse BECAN" id="{20B22497-63B6-4DAB-871E-266F59F0A538}" userId="S::marie-therese.becan@sossonmaisonbois.fr::cb94b377-5b28-4917-aec2-229adc96af16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25" dT="2024-07-31T08:26:09.09" personId="{FD969ED8-DAA5-4692-BB61-B7415B0B3490}" id="{DCBFC1EC-38E2-4755-8C9B-B703E6BD114E}">
    <text>Non incluse dans le total</text>
  </threadedComment>
  <threadedComment ref="AB26" dT="2024-07-31T08:06:55.86" personId="{FD969ED8-DAA5-4692-BB61-B7415B0B3490}" id="{A307B086-CB74-4878-B1BD-B9BFAC33391D}">
    <text xml:space="preserve">Frais de déplacement et déchet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35" dT="2024-07-31T08:06:55.86" personId="{FD969ED8-DAA5-4692-BB61-B7415B0B3490}" id="{1CC49979-40F5-4823-A80B-99768194FACC}">
    <text xml:space="preserve">Frais de déplacement et déchet </text>
  </threadedComment>
  <threadedComment ref="D40" dT="2025-02-18T14:35:30.97" personId="{20B22497-63B6-4DAB-871E-266F59F0A538}" id="{36AC0E6B-5AA3-433F-8448-24168A567858}">
    <text>Devis 18009903 : 262 262.35 €</text>
  </threadedComment>
  <threadedComment ref="C75" dT="2025-02-18T13:50:57.68" personId="{20B22497-63B6-4DAB-871E-266F59F0A538}" id="{32CEF073-00BC-46E5-AA32-81BBAC7F0CE2}">
    <text>Devis 18009980 : 41 395 .86 €</text>
  </threadedComment>
  <threadedComment ref="AB117" dT="2024-12-20T12:45:24.06" personId="{20B22497-63B6-4DAB-871E-266F59F0A538}" id="{277AC80B-8998-4E31-A52B-11FD366094BB}">
    <text>Tri déchets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C38" dT="2025-12-01T15:22:06.54" personId="{A8C15F9C-90DD-488E-99A4-032577968740}" id="{4CA8C1C6-EC95-4577-A508-DAAE18E231F9}">
    <text>Ts accès garage</text>
  </threadedComment>
  <threadedComment ref="AU43" dT="2025-11-28T10:41:35.14" personId="{A8C15F9C-90DD-488E-99A4-032577968740}" id="{744423D2-6B62-42B4-9AC7-157931A5ECC4}">
    <text>Facture abris et cloture moins le TMA velux</text>
  </threadedComment>
  <threadedComment ref="AU43" dT="2026-04-08T11:48:24.07" personId="{F8EEA3AD-9E9E-47AA-8189-B2F5D16D7A81}" id="{E1E3C6D1-A61E-4FF6-BA1B-87D368ACBA34}" parentId="{744423D2-6B62-42B4-9AC7-157931A5ECC4}">
    <text xml:space="preserve">Modif sur 41D
</text>
  </threadedComment>
  <threadedComment ref="AT77" dT="2025-11-12T10:29:36.78" personId="{A8C15F9C-90DD-488E-99A4-032577968740}" id="{0C56B70B-6A60-4B27-9523-5CC874242E35}">
    <text>Ts casquette</text>
  </threadedComment>
  <threadedComment ref="AX123" dT="2026-01-20T08:08:46.58" personId="{A8C15F9C-90DD-488E-99A4-032577968740}" id="{314DAB77-FCEF-4C92-AAC0-40FD4DDBFB60}">
    <text>Facture fourniture VMC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workbookViewId="0">
      <pane ySplit="1" topLeftCell="A77" activePane="bottomLeft" state="frozen"/>
      <selection pane="bottomLeft" activeCell="D119" sqref="D119"/>
    </sheetView>
  </sheetViews>
  <sheetFormatPr baseColWidth="10" defaultRowHeight="13.5" x14ac:dyDescent="0.35"/>
  <cols>
    <col min="1" max="1" width="17.625" customWidth="1"/>
    <col min="2" max="2" width="8.625" customWidth="1"/>
    <col min="3" max="15" width="10.625" customWidth="1"/>
    <col min="16" max="16" width="11" customWidth="1"/>
  </cols>
  <sheetData>
    <row r="1" spans="1:14" ht="13.9" x14ac:dyDescent="0.4">
      <c r="A1" s="4" t="s">
        <v>91</v>
      </c>
      <c r="B1" s="4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445" t="s">
        <v>92</v>
      </c>
      <c r="B2" s="445">
        <v>47000</v>
      </c>
      <c r="C2" s="3"/>
      <c r="D2" s="3">
        <v>25000</v>
      </c>
      <c r="E2" s="3">
        <v>22000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445"/>
      <c r="B3" s="445"/>
      <c r="C3" s="4"/>
      <c r="D3" s="4">
        <v>31686</v>
      </c>
      <c r="E3" s="4">
        <v>15141</v>
      </c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45" t="s">
        <v>93</v>
      </c>
      <c r="B4" s="445">
        <v>31462</v>
      </c>
      <c r="C4" s="3"/>
      <c r="D4" s="3">
        <v>20000</v>
      </c>
      <c r="E4" s="3"/>
      <c r="F4" s="3">
        <v>20700</v>
      </c>
      <c r="G4" s="3"/>
      <c r="H4" s="3"/>
      <c r="I4" s="3"/>
      <c r="J4" s="3"/>
      <c r="K4" s="3"/>
      <c r="L4" s="3"/>
      <c r="M4" s="3"/>
      <c r="N4" s="3"/>
    </row>
    <row r="5" spans="1:14" x14ac:dyDescent="0.35">
      <c r="A5" s="445"/>
      <c r="B5" s="445"/>
      <c r="C5" s="4"/>
      <c r="D5" s="4">
        <v>10751</v>
      </c>
      <c r="E5" s="4"/>
      <c r="F5" s="4">
        <v>24190</v>
      </c>
      <c r="G5" s="4"/>
      <c r="H5" s="4"/>
      <c r="I5" s="4"/>
      <c r="J5" s="4"/>
      <c r="K5" s="4"/>
      <c r="L5" s="4"/>
      <c r="M5" s="4"/>
      <c r="N5" s="4"/>
    </row>
    <row r="6" spans="1:14" x14ac:dyDescent="0.35">
      <c r="A6" s="445" t="s">
        <v>94</v>
      </c>
      <c r="B6" s="445">
        <v>21110</v>
      </c>
      <c r="C6" s="3"/>
      <c r="D6" s="3">
        <v>12000</v>
      </c>
      <c r="E6" s="3">
        <v>9110</v>
      </c>
      <c r="F6" s="3">
        <v>4000</v>
      </c>
      <c r="G6" s="3">
        <v>4000</v>
      </c>
      <c r="H6" s="3"/>
      <c r="I6" s="3"/>
      <c r="J6" s="3"/>
      <c r="K6" s="3"/>
      <c r="L6" s="3"/>
      <c r="M6" s="3"/>
      <c r="N6" s="3"/>
    </row>
    <row r="7" spans="1:14" x14ac:dyDescent="0.35">
      <c r="A7" s="445"/>
      <c r="B7" s="445"/>
      <c r="C7" s="4"/>
      <c r="D7" s="4">
        <v>6428</v>
      </c>
      <c r="E7" s="4">
        <v>10450</v>
      </c>
      <c r="F7" s="4"/>
      <c r="G7" s="4">
        <v>4217</v>
      </c>
      <c r="H7" s="4"/>
      <c r="I7" s="4"/>
      <c r="J7" s="4"/>
      <c r="K7" s="4"/>
      <c r="L7" s="4"/>
      <c r="M7" s="4"/>
      <c r="N7" s="4"/>
    </row>
    <row r="8" spans="1:14" x14ac:dyDescent="0.35">
      <c r="A8" s="445" t="s">
        <v>95</v>
      </c>
      <c r="B8" s="445">
        <v>34990</v>
      </c>
      <c r="C8" s="3"/>
      <c r="D8" s="3">
        <v>15000</v>
      </c>
      <c r="E8" s="3"/>
      <c r="F8" s="3">
        <v>19990</v>
      </c>
      <c r="G8" s="3"/>
      <c r="H8" s="3"/>
      <c r="I8" s="3"/>
      <c r="J8" s="3"/>
      <c r="K8" s="3"/>
      <c r="L8" s="3"/>
      <c r="M8" s="3"/>
      <c r="N8" s="3"/>
    </row>
    <row r="9" spans="1:14" x14ac:dyDescent="0.35">
      <c r="A9" s="445"/>
      <c r="B9" s="445"/>
      <c r="C9" s="4"/>
      <c r="D9" s="4">
        <v>12264</v>
      </c>
      <c r="E9" s="4"/>
      <c r="F9" s="4">
        <v>22276</v>
      </c>
      <c r="G9" s="4"/>
      <c r="H9" s="4"/>
      <c r="I9" s="4"/>
      <c r="J9" s="4"/>
      <c r="K9" s="4"/>
      <c r="L9" s="4"/>
      <c r="M9" s="4"/>
      <c r="N9" s="4"/>
    </row>
    <row r="10" spans="1:14" x14ac:dyDescent="0.35">
      <c r="A10" s="445" t="s">
        <v>96</v>
      </c>
      <c r="B10" s="445">
        <v>7013</v>
      </c>
      <c r="C10" s="3"/>
      <c r="D10" s="3"/>
      <c r="E10" s="3">
        <v>7013</v>
      </c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445"/>
      <c r="B11" s="445"/>
      <c r="C11" s="4"/>
      <c r="D11" s="4"/>
      <c r="E11" s="4">
        <v>7013</v>
      </c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45" t="s">
        <v>97</v>
      </c>
      <c r="B12" s="445">
        <v>2277</v>
      </c>
      <c r="C12" s="3"/>
      <c r="D12" s="3">
        <v>2277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445"/>
      <c r="B13" s="445"/>
      <c r="C13" s="4"/>
      <c r="D13" s="4">
        <v>2277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445" t="s">
        <v>98</v>
      </c>
      <c r="B14" s="445">
        <v>4736</v>
      </c>
      <c r="C14" s="3"/>
      <c r="D14" s="3"/>
      <c r="E14" s="3">
        <v>1551</v>
      </c>
      <c r="F14" s="3"/>
      <c r="G14" s="3">
        <v>3407</v>
      </c>
      <c r="H14" s="3"/>
      <c r="I14" s="3"/>
      <c r="J14" s="3"/>
      <c r="K14" s="3"/>
      <c r="L14" s="3"/>
      <c r="M14" s="3"/>
      <c r="N14" s="3"/>
    </row>
    <row r="15" spans="1:14" x14ac:dyDescent="0.35">
      <c r="A15" s="445"/>
      <c r="B15" s="445"/>
      <c r="C15" s="4"/>
      <c r="D15" s="4"/>
      <c r="E15" s="4">
        <v>1551</v>
      </c>
      <c r="F15" s="4"/>
      <c r="G15" s="4">
        <v>3407</v>
      </c>
      <c r="H15" s="4"/>
      <c r="I15" s="4"/>
      <c r="J15" s="4"/>
      <c r="K15" s="4"/>
      <c r="L15" s="4"/>
      <c r="M15" s="4"/>
      <c r="N15" s="4"/>
    </row>
    <row r="16" spans="1:14" x14ac:dyDescent="0.35">
      <c r="A16" s="445" t="s">
        <v>99</v>
      </c>
      <c r="B16" s="445">
        <v>1209</v>
      </c>
      <c r="C16" s="3"/>
      <c r="D16" s="3">
        <v>1209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445"/>
      <c r="B17" s="445"/>
      <c r="C17" s="4"/>
      <c r="D17" s="4">
        <v>1209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45" t="s">
        <v>100</v>
      </c>
      <c r="B18" s="445">
        <v>9448</v>
      </c>
      <c r="C18" s="3"/>
      <c r="D18" s="3">
        <v>9448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5">
      <c r="A19" s="445"/>
      <c r="B19" s="445"/>
      <c r="C19" s="4"/>
      <c r="D19" s="4">
        <v>9448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45" t="s">
        <v>101</v>
      </c>
      <c r="B20" s="445">
        <v>12155</v>
      </c>
      <c r="C20" s="3"/>
      <c r="D20" s="3"/>
      <c r="E20" s="3"/>
      <c r="F20" s="3"/>
      <c r="G20" s="3"/>
      <c r="H20" s="3">
        <v>12155</v>
      </c>
      <c r="I20" s="3"/>
      <c r="J20" s="3"/>
      <c r="K20" s="3"/>
      <c r="L20" s="3"/>
      <c r="M20" s="3"/>
      <c r="N20" s="3"/>
    </row>
    <row r="21" spans="1:14" x14ac:dyDescent="0.35">
      <c r="A21" s="445"/>
      <c r="B21" s="445"/>
      <c r="C21" s="4"/>
      <c r="D21" s="4"/>
      <c r="E21" s="4"/>
      <c r="F21" s="4"/>
      <c r="G21" s="4"/>
      <c r="H21" s="4">
        <v>16461</v>
      </c>
      <c r="I21" s="4"/>
      <c r="J21" s="4"/>
      <c r="K21" s="4"/>
      <c r="L21" s="4"/>
      <c r="M21" s="4"/>
      <c r="N21" s="4"/>
    </row>
    <row r="22" spans="1:14" x14ac:dyDescent="0.35">
      <c r="A22" s="445" t="s">
        <v>102</v>
      </c>
      <c r="B22" s="445">
        <v>60000</v>
      </c>
      <c r="C22" s="3"/>
      <c r="D22" s="3"/>
      <c r="E22" s="3"/>
      <c r="F22" s="3">
        <v>20000</v>
      </c>
      <c r="G22" s="3">
        <v>20000</v>
      </c>
      <c r="H22" s="3"/>
      <c r="I22" s="3">
        <v>20000</v>
      </c>
      <c r="J22" s="3"/>
      <c r="K22" s="3"/>
      <c r="L22" s="3"/>
      <c r="M22" s="3"/>
      <c r="N22" s="3"/>
    </row>
    <row r="23" spans="1:14" x14ac:dyDescent="0.35">
      <c r="A23" s="445"/>
      <c r="B23" s="445"/>
      <c r="C23" s="4"/>
      <c r="D23" s="4"/>
      <c r="E23" s="4"/>
      <c r="F23" s="4">
        <v>15114</v>
      </c>
      <c r="G23" s="4">
        <v>20145</v>
      </c>
      <c r="H23" s="4"/>
      <c r="I23" s="4">
        <v>17593</v>
      </c>
      <c r="J23" s="4"/>
      <c r="K23" s="4"/>
      <c r="L23" s="4"/>
      <c r="M23" s="4"/>
      <c r="N23" s="4"/>
    </row>
    <row r="24" spans="1:14" x14ac:dyDescent="0.35">
      <c r="A24" s="445" t="s">
        <v>103</v>
      </c>
      <c r="B24" s="445">
        <v>42000</v>
      </c>
      <c r="C24" s="3"/>
      <c r="D24" s="3"/>
      <c r="E24" s="3"/>
      <c r="F24" s="3"/>
      <c r="G24" s="3">
        <v>20000</v>
      </c>
      <c r="H24" s="3"/>
      <c r="I24" s="3">
        <v>11000</v>
      </c>
      <c r="J24" s="3"/>
      <c r="K24" s="3">
        <v>12627</v>
      </c>
      <c r="L24" s="3"/>
      <c r="M24" s="3"/>
      <c r="N24" s="3"/>
    </row>
    <row r="25" spans="1:14" x14ac:dyDescent="0.35">
      <c r="A25" s="445"/>
      <c r="B25" s="445"/>
      <c r="C25" s="4"/>
      <c r="D25" s="4"/>
      <c r="E25" s="4"/>
      <c r="F25" s="4"/>
      <c r="G25" s="4">
        <v>18475</v>
      </c>
      <c r="H25" s="4"/>
      <c r="I25" s="4">
        <v>18026</v>
      </c>
      <c r="J25" s="4"/>
      <c r="K25" s="4">
        <v>12172</v>
      </c>
      <c r="L25" s="4"/>
      <c r="M25" s="4"/>
      <c r="N25" s="4"/>
    </row>
    <row r="26" spans="1:14" x14ac:dyDescent="0.35">
      <c r="A26" s="445" t="s">
        <v>104</v>
      </c>
      <c r="B26" s="445">
        <v>1500</v>
      </c>
      <c r="C26" s="3"/>
      <c r="D26" s="3">
        <v>1500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5">
      <c r="A27" s="445"/>
      <c r="B27" s="445"/>
      <c r="C27" s="4"/>
      <c r="D27" s="4">
        <v>1500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45" t="s">
        <v>105</v>
      </c>
      <c r="B28" s="445">
        <v>7000</v>
      </c>
      <c r="C28" s="3"/>
      <c r="D28" s="3">
        <v>3000</v>
      </c>
      <c r="E28" s="3">
        <v>4000</v>
      </c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445"/>
      <c r="B29" s="445"/>
      <c r="C29" s="4"/>
      <c r="D29" s="4">
        <v>4325</v>
      </c>
      <c r="E29" s="4">
        <v>2604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45" t="s">
        <v>106</v>
      </c>
      <c r="B30" s="445">
        <v>7958</v>
      </c>
      <c r="C30" s="3"/>
      <c r="D30" s="3">
        <v>4500</v>
      </c>
      <c r="E30" s="3">
        <v>3500</v>
      </c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5">
      <c r="A31" s="445"/>
      <c r="B31" s="445"/>
      <c r="C31" s="4"/>
      <c r="D31" s="4">
        <v>4772</v>
      </c>
      <c r="E31" s="4">
        <v>3186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445" t="s">
        <v>107</v>
      </c>
      <c r="B32" s="445">
        <v>55060</v>
      </c>
      <c r="C32" s="3"/>
      <c r="D32" s="3"/>
      <c r="E32" s="3">
        <v>15000</v>
      </c>
      <c r="F32" s="3"/>
      <c r="G32" s="3"/>
      <c r="H32" s="3"/>
      <c r="I32" s="3">
        <v>17000</v>
      </c>
      <c r="J32" s="3">
        <v>10000</v>
      </c>
      <c r="K32" s="3"/>
      <c r="L32" s="3">
        <v>10000</v>
      </c>
      <c r="M32" s="3"/>
      <c r="N32" s="3"/>
    </row>
    <row r="33" spans="1:14" x14ac:dyDescent="0.35">
      <c r="A33" s="445"/>
      <c r="B33" s="445"/>
      <c r="C33" s="4"/>
      <c r="D33" s="4"/>
      <c r="E33" s="4">
        <v>18362</v>
      </c>
      <c r="F33" s="4"/>
      <c r="G33" s="4"/>
      <c r="H33" s="4"/>
      <c r="I33" s="4">
        <v>14190</v>
      </c>
      <c r="J33" s="4">
        <v>12702</v>
      </c>
      <c r="K33" s="4"/>
      <c r="L33" s="4">
        <v>11624</v>
      </c>
      <c r="M33" s="4"/>
      <c r="N33" s="4"/>
    </row>
    <row r="34" spans="1:14" x14ac:dyDescent="0.35">
      <c r="A34" s="445" t="s">
        <v>108</v>
      </c>
      <c r="B34" s="445">
        <v>4911</v>
      </c>
      <c r="C34" s="3"/>
      <c r="D34" s="3">
        <v>4911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5">
      <c r="A35" s="445"/>
      <c r="B35" s="445"/>
      <c r="C35" s="4"/>
      <c r="D35" s="4">
        <v>4911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5">
      <c r="A36" s="445" t="s">
        <v>109</v>
      </c>
      <c r="B36" s="445">
        <v>2995</v>
      </c>
      <c r="C36" s="3"/>
      <c r="D36" s="3">
        <v>2995</v>
      </c>
      <c r="E36" s="3"/>
      <c r="F36" s="3"/>
      <c r="G36" s="3"/>
      <c r="H36" s="3"/>
      <c r="I36" s="3">
        <v>314</v>
      </c>
      <c r="J36" s="3">
        <v>1214</v>
      </c>
      <c r="K36" s="3"/>
      <c r="L36" s="3"/>
      <c r="M36" s="3"/>
      <c r="N36" s="3"/>
    </row>
    <row r="37" spans="1:14" x14ac:dyDescent="0.35">
      <c r="A37" s="445"/>
      <c r="B37" s="445"/>
      <c r="C37" s="4"/>
      <c r="D37" s="4">
        <v>2995</v>
      </c>
      <c r="E37" s="4"/>
      <c r="F37" s="4"/>
      <c r="G37" s="4"/>
      <c r="H37" s="4"/>
      <c r="I37" s="4">
        <v>314</v>
      </c>
      <c r="J37" s="4">
        <v>1214</v>
      </c>
      <c r="K37" s="4"/>
      <c r="L37" s="4"/>
      <c r="M37" s="4"/>
      <c r="N37" s="4"/>
    </row>
    <row r="38" spans="1:14" x14ac:dyDescent="0.35">
      <c r="A38" s="445" t="s">
        <v>110</v>
      </c>
      <c r="B38" s="445">
        <v>15084</v>
      </c>
      <c r="C38" s="3"/>
      <c r="D38" s="3"/>
      <c r="E38" s="3">
        <v>4000</v>
      </c>
      <c r="F38" s="3"/>
      <c r="G38" s="3">
        <v>4752</v>
      </c>
      <c r="H38" s="3">
        <v>6300</v>
      </c>
      <c r="I38" s="3"/>
      <c r="J38" s="3"/>
      <c r="K38" s="3"/>
      <c r="L38" s="3"/>
      <c r="M38" s="3"/>
      <c r="N38" s="3"/>
    </row>
    <row r="39" spans="1:14" x14ac:dyDescent="0.35">
      <c r="A39" s="445"/>
      <c r="B39" s="445"/>
      <c r="C39" s="4"/>
      <c r="D39" s="4"/>
      <c r="E39" s="4">
        <v>5295</v>
      </c>
      <c r="F39" s="4"/>
      <c r="G39" s="4">
        <v>4752</v>
      </c>
      <c r="H39" s="4">
        <v>8430</v>
      </c>
      <c r="I39" s="4"/>
      <c r="J39" s="4"/>
      <c r="K39" s="4"/>
      <c r="L39" s="4"/>
      <c r="M39" s="4"/>
      <c r="N39" s="4"/>
    </row>
    <row r="40" spans="1:14" x14ac:dyDescent="0.35">
      <c r="A40" s="445" t="s">
        <v>111</v>
      </c>
      <c r="B40" s="445">
        <v>797</v>
      </c>
      <c r="C40" s="3"/>
      <c r="D40" s="3"/>
      <c r="E40" s="3"/>
      <c r="F40" s="3"/>
      <c r="G40" s="3">
        <v>797</v>
      </c>
      <c r="H40" s="3"/>
      <c r="I40" s="3"/>
      <c r="J40" s="3"/>
      <c r="K40" s="3"/>
      <c r="L40" s="3"/>
      <c r="M40" s="3"/>
      <c r="N40" s="3"/>
    </row>
    <row r="41" spans="1:14" x14ac:dyDescent="0.35">
      <c r="A41" s="445"/>
      <c r="B41" s="445"/>
      <c r="C41" s="4"/>
      <c r="D41" s="4"/>
      <c r="E41" s="4"/>
      <c r="F41" s="4"/>
      <c r="G41" s="4">
        <v>797</v>
      </c>
      <c r="H41" s="4"/>
      <c r="I41" s="4"/>
      <c r="J41" s="4"/>
      <c r="K41" s="4"/>
      <c r="L41" s="4"/>
      <c r="M41" s="4"/>
      <c r="N41" s="4"/>
    </row>
    <row r="42" spans="1:14" x14ac:dyDescent="0.35">
      <c r="A42" s="445" t="s">
        <v>112</v>
      </c>
      <c r="B42" s="445">
        <v>10800</v>
      </c>
      <c r="C42" s="3"/>
      <c r="D42" s="3"/>
      <c r="E42" s="3">
        <v>3474</v>
      </c>
      <c r="F42" s="3"/>
      <c r="G42" s="3"/>
      <c r="H42" s="3">
        <v>10800</v>
      </c>
      <c r="I42" s="3"/>
      <c r="J42" s="3"/>
      <c r="K42" s="3"/>
      <c r="L42" s="3"/>
      <c r="M42" s="3"/>
      <c r="N42" s="3"/>
    </row>
    <row r="43" spans="1:14" x14ac:dyDescent="0.35">
      <c r="A43" s="445"/>
      <c r="B43" s="445"/>
      <c r="C43" s="4"/>
      <c r="D43" s="4"/>
      <c r="E43" s="4">
        <v>3474</v>
      </c>
      <c r="F43" s="4"/>
      <c r="G43" s="4"/>
      <c r="H43" s="4">
        <v>3500</v>
      </c>
      <c r="I43" s="4"/>
      <c r="J43" s="4"/>
      <c r="K43" s="4"/>
      <c r="L43" s="4"/>
      <c r="M43" s="4"/>
      <c r="N43" s="4"/>
    </row>
    <row r="44" spans="1:14" x14ac:dyDescent="0.35">
      <c r="A44" s="445"/>
      <c r="B44" s="44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35">
      <c r="A45" s="445"/>
      <c r="B45" s="445"/>
      <c r="C45" s="4">
        <v>92000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35">
      <c r="A46" s="445" t="s">
        <v>113</v>
      </c>
      <c r="B46" s="445">
        <v>15362</v>
      </c>
      <c r="C46" s="3"/>
      <c r="D46" s="3"/>
      <c r="E46" s="3"/>
      <c r="F46" s="3"/>
      <c r="G46" s="3"/>
      <c r="H46" s="3">
        <v>10000</v>
      </c>
      <c r="I46" s="3"/>
      <c r="J46" s="3">
        <v>5362</v>
      </c>
      <c r="K46" s="3"/>
      <c r="L46" s="3"/>
      <c r="M46" s="3"/>
      <c r="N46" s="3"/>
    </row>
    <row r="47" spans="1:14" x14ac:dyDescent="0.35">
      <c r="A47" s="445"/>
      <c r="B47" s="445"/>
      <c r="C47" s="4"/>
      <c r="D47" s="4"/>
      <c r="E47" s="4"/>
      <c r="F47" s="4"/>
      <c r="G47" s="4"/>
      <c r="H47" s="4">
        <v>10855</v>
      </c>
      <c r="I47" s="4"/>
      <c r="J47" s="4">
        <v>4507</v>
      </c>
      <c r="K47" s="4"/>
      <c r="L47" s="4"/>
      <c r="M47" s="4"/>
      <c r="N47" s="4"/>
    </row>
    <row r="48" spans="1:14" x14ac:dyDescent="0.35">
      <c r="A48" s="445" t="s">
        <v>114</v>
      </c>
      <c r="B48" s="445">
        <v>28691</v>
      </c>
      <c r="C48" s="3"/>
      <c r="D48" s="3"/>
      <c r="E48" s="3">
        <v>28691</v>
      </c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35">
      <c r="A49" s="445"/>
      <c r="B49" s="445"/>
      <c r="C49" s="4"/>
      <c r="D49" s="4"/>
      <c r="E49" s="4">
        <v>28691</v>
      </c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35">
      <c r="A50" s="445" t="s">
        <v>115</v>
      </c>
      <c r="B50" s="445">
        <v>9415</v>
      </c>
      <c r="C50" s="3"/>
      <c r="D50" s="3"/>
      <c r="E50" s="3">
        <v>9415</v>
      </c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35">
      <c r="A51" s="445"/>
      <c r="B51" s="445"/>
      <c r="C51" s="4"/>
      <c r="D51" s="4"/>
      <c r="E51" s="4">
        <v>9415</v>
      </c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35">
      <c r="A52" s="445" t="s">
        <v>116</v>
      </c>
      <c r="B52" s="445">
        <v>32000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5">
      <c r="A53" s="445"/>
      <c r="B53" s="44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35">
      <c r="A54" s="445" t="s">
        <v>117</v>
      </c>
      <c r="B54" s="445">
        <v>4180</v>
      </c>
      <c r="C54" s="3"/>
      <c r="D54" s="3"/>
      <c r="E54" s="3"/>
      <c r="F54" s="3">
        <v>4180</v>
      </c>
      <c r="G54" s="3"/>
      <c r="H54" s="3"/>
      <c r="I54" s="3"/>
      <c r="J54" s="3"/>
      <c r="K54" s="3"/>
      <c r="L54" s="3"/>
      <c r="M54" s="3"/>
      <c r="N54" s="3"/>
    </row>
    <row r="55" spans="1:14" x14ac:dyDescent="0.35">
      <c r="A55" s="445"/>
      <c r="B55" s="445"/>
      <c r="C55" s="4"/>
      <c r="D55" s="4"/>
      <c r="E55" s="4"/>
      <c r="F55" s="4">
        <v>4180</v>
      </c>
      <c r="G55" s="4"/>
      <c r="H55" s="4"/>
      <c r="I55" s="4"/>
      <c r="J55" s="4"/>
      <c r="K55" s="4"/>
      <c r="L55" s="4"/>
      <c r="M55" s="4"/>
      <c r="N55" s="4"/>
    </row>
    <row r="56" spans="1:14" x14ac:dyDescent="0.35">
      <c r="A56" s="445" t="s">
        <v>118</v>
      </c>
      <c r="B56" s="445">
        <v>485</v>
      </c>
      <c r="C56" s="3"/>
      <c r="D56" s="3"/>
      <c r="E56" s="3"/>
      <c r="F56" s="3">
        <v>485</v>
      </c>
      <c r="G56" s="3"/>
      <c r="H56" s="3"/>
      <c r="I56" s="3"/>
      <c r="J56" s="3"/>
      <c r="K56" s="3"/>
      <c r="L56" s="3"/>
      <c r="M56" s="3"/>
      <c r="N56" s="3"/>
    </row>
    <row r="57" spans="1:14" x14ac:dyDescent="0.35">
      <c r="A57" s="445"/>
      <c r="B57" s="445"/>
      <c r="C57" s="4"/>
      <c r="D57" s="4"/>
      <c r="E57" s="4"/>
      <c r="F57" s="4">
        <v>485</v>
      </c>
      <c r="G57" s="4"/>
      <c r="H57" s="4"/>
      <c r="I57" s="4"/>
      <c r="J57" s="4"/>
      <c r="K57" s="4"/>
      <c r="L57" s="4"/>
      <c r="M57" s="4"/>
      <c r="N57" s="4"/>
    </row>
    <row r="58" spans="1:14" x14ac:dyDescent="0.35">
      <c r="A58" s="445" t="s">
        <v>119</v>
      </c>
      <c r="B58" s="445">
        <v>56902</v>
      </c>
      <c r="C58" s="3"/>
      <c r="D58" s="3"/>
      <c r="E58" s="3"/>
      <c r="F58" s="3"/>
      <c r="G58" s="3"/>
      <c r="H58" s="3"/>
      <c r="I58" s="3">
        <v>15000</v>
      </c>
      <c r="J58" s="3"/>
      <c r="K58" s="3">
        <v>15000</v>
      </c>
      <c r="L58" s="3">
        <v>20000</v>
      </c>
      <c r="M58" s="3"/>
      <c r="N58" s="3"/>
    </row>
    <row r="59" spans="1:14" x14ac:dyDescent="0.35">
      <c r="A59" s="445"/>
      <c r="B59" s="445"/>
      <c r="C59" s="4"/>
      <c r="D59" s="4"/>
      <c r="E59" s="4"/>
      <c r="F59" s="4"/>
      <c r="G59" s="4"/>
      <c r="H59" s="4"/>
      <c r="I59" s="4">
        <v>17025</v>
      </c>
      <c r="J59" s="4"/>
      <c r="K59" s="4">
        <v>8986</v>
      </c>
      <c r="L59" s="4">
        <v>18335</v>
      </c>
      <c r="M59" s="4"/>
      <c r="N59" s="4"/>
    </row>
    <row r="60" spans="1:14" x14ac:dyDescent="0.35">
      <c r="A60" s="445" t="s">
        <v>14</v>
      </c>
      <c r="B60" s="445">
        <v>27031</v>
      </c>
      <c r="C60" s="3"/>
      <c r="D60" s="3"/>
      <c r="E60" s="3"/>
      <c r="F60" s="3"/>
      <c r="G60" s="3"/>
      <c r="H60" s="3"/>
      <c r="I60" s="3"/>
      <c r="J60" s="3">
        <v>7000</v>
      </c>
      <c r="K60" s="3"/>
      <c r="L60" s="3"/>
      <c r="M60" s="3"/>
      <c r="N60" s="3"/>
    </row>
    <row r="61" spans="1:14" x14ac:dyDescent="0.35">
      <c r="A61" s="445"/>
      <c r="B61" s="445"/>
      <c r="C61" s="4"/>
      <c r="D61" s="4"/>
      <c r="E61" s="4"/>
      <c r="F61" s="4"/>
      <c r="G61" s="4"/>
      <c r="H61" s="4"/>
      <c r="I61" s="4"/>
      <c r="J61" s="4">
        <v>7628</v>
      </c>
      <c r="K61" s="4"/>
      <c r="L61" s="4"/>
      <c r="M61" s="4"/>
      <c r="N61" s="4"/>
    </row>
    <row r="62" spans="1:14" x14ac:dyDescent="0.35">
      <c r="A62" s="445" t="s">
        <v>120</v>
      </c>
      <c r="B62" s="445">
        <v>2503</v>
      </c>
      <c r="C62" s="3"/>
      <c r="D62" s="3"/>
      <c r="E62" s="3"/>
      <c r="F62" s="3"/>
      <c r="G62" s="3"/>
      <c r="H62" s="3"/>
      <c r="I62" s="3">
        <v>2503</v>
      </c>
      <c r="J62" s="3"/>
      <c r="K62" s="3"/>
      <c r="L62" s="3"/>
      <c r="M62" s="3"/>
      <c r="N62" s="3"/>
    </row>
    <row r="63" spans="1:14" x14ac:dyDescent="0.35">
      <c r="A63" s="445"/>
      <c r="B63" s="445"/>
      <c r="C63" s="4"/>
      <c r="D63" s="4"/>
      <c r="E63" s="4"/>
      <c r="F63" s="4"/>
      <c r="G63" s="4"/>
      <c r="H63" s="4"/>
      <c r="I63" s="4">
        <v>2503</v>
      </c>
      <c r="J63" s="4"/>
      <c r="K63" s="4"/>
      <c r="L63" s="4"/>
      <c r="M63" s="4"/>
      <c r="N63" s="4"/>
    </row>
    <row r="64" spans="1:14" x14ac:dyDescent="0.35">
      <c r="A64" s="445" t="s">
        <v>121</v>
      </c>
      <c r="B64" s="445">
        <v>3049</v>
      </c>
      <c r="C64" s="3"/>
      <c r="D64" s="3"/>
      <c r="E64" s="3"/>
      <c r="F64" s="3"/>
      <c r="G64" s="3"/>
      <c r="H64" s="3">
        <v>3049</v>
      </c>
      <c r="I64" s="3"/>
      <c r="J64" s="3"/>
      <c r="K64" s="3"/>
      <c r="L64" s="3"/>
      <c r="M64" s="3"/>
      <c r="N64" s="3"/>
    </row>
    <row r="65" spans="1:14" x14ac:dyDescent="0.35">
      <c r="A65" s="445"/>
      <c r="B65" s="445"/>
      <c r="C65" s="4"/>
      <c r="D65" s="4"/>
      <c r="E65" s="4"/>
      <c r="F65" s="4"/>
      <c r="G65" s="4"/>
      <c r="H65" s="4">
        <v>3049</v>
      </c>
      <c r="I65" s="4"/>
      <c r="J65" s="4"/>
      <c r="K65" s="4"/>
      <c r="L65" s="4"/>
      <c r="M65" s="4"/>
      <c r="N65" s="4"/>
    </row>
    <row r="66" spans="1:14" x14ac:dyDescent="0.35">
      <c r="A66" s="445" t="s">
        <v>122</v>
      </c>
      <c r="B66" s="445">
        <v>54201</v>
      </c>
      <c r="C66" s="3"/>
      <c r="D66" s="3"/>
      <c r="E66" s="3"/>
      <c r="F66" s="3"/>
      <c r="G66" s="3"/>
      <c r="H66" s="3"/>
      <c r="I66" s="3"/>
      <c r="J66" s="3">
        <v>15000</v>
      </c>
      <c r="K66" s="3"/>
      <c r="L66" s="3">
        <v>20000</v>
      </c>
      <c r="M66" s="3"/>
      <c r="N66" s="3"/>
    </row>
    <row r="67" spans="1:14" x14ac:dyDescent="0.35">
      <c r="A67" s="445"/>
      <c r="B67" s="445"/>
      <c r="C67" s="4"/>
      <c r="D67" s="4"/>
      <c r="E67" s="4"/>
      <c r="F67" s="4"/>
      <c r="G67" s="4"/>
      <c r="H67" s="4"/>
      <c r="I67" s="4"/>
      <c r="J67" s="4">
        <v>16717</v>
      </c>
      <c r="K67" s="4"/>
      <c r="L67" s="4">
        <v>14755</v>
      </c>
      <c r="M67" s="4"/>
      <c r="N67" s="4"/>
    </row>
    <row r="68" spans="1:14" x14ac:dyDescent="0.35">
      <c r="A68" s="445" t="s">
        <v>123</v>
      </c>
      <c r="B68" s="445">
        <v>3249</v>
      </c>
      <c r="C68" s="3"/>
      <c r="D68" s="3"/>
      <c r="E68" s="3"/>
      <c r="F68" s="3"/>
      <c r="G68" s="3"/>
      <c r="H68" s="3"/>
      <c r="I68" s="3">
        <v>3249</v>
      </c>
      <c r="J68" s="3"/>
      <c r="K68" s="3"/>
      <c r="L68" s="3"/>
      <c r="M68" s="3"/>
      <c r="N68" s="3"/>
    </row>
    <row r="69" spans="1:14" x14ac:dyDescent="0.35">
      <c r="A69" s="445"/>
      <c r="B69" s="445"/>
      <c r="C69" s="4"/>
      <c r="D69" s="4"/>
      <c r="E69" s="4"/>
      <c r="F69" s="4"/>
      <c r="G69" s="4"/>
      <c r="H69" s="4"/>
      <c r="I69" s="4">
        <v>3249</v>
      </c>
      <c r="J69" s="4"/>
      <c r="K69" s="4"/>
      <c r="L69" s="4"/>
      <c r="M69" s="4"/>
      <c r="N69" s="4"/>
    </row>
    <row r="70" spans="1:14" x14ac:dyDescent="0.35">
      <c r="A70" s="445" t="s">
        <v>124</v>
      </c>
      <c r="B70" s="445">
        <v>15000</v>
      </c>
      <c r="C70" s="3"/>
      <c r="D70" s="3"/>
      <c r="E70" s="3"/>
      <c r="F70" s="3"/>
      <c r="G70" s="3"/>
      <c r="H70" s="3"/>
      <c r="I70" s="3">
        <v>5000</v>
      </c>
      <c r="J70" s="3">
        <v>5000</v>
      </c>
      <c r="K70" s="3">
        <v>4700</v>
      </c>
      <c r="L70" s="3"/>
      <c r="M70" s="3"/>
      <c r="N70" s="3"/>
    </row>
    <row r="71" spans="1:14" x14ac:dyDescent="0.35">
      <c r="A71" s="445"/>
      <c r="B71" s="445"/>
      <c r="C71" s="4"/>
      <c r="D71" s="4"/>
      <c r="E71" s="4"/>
      <c r="F71" s="4"/>
      <c r="G71" s="4"/>
      <c r="H71" s="4"/>
      <c r="I71" s="4">
        <v>5883</v>
      </c>
      <c r="J71" s="4">
        <v>6573</v>
      </c>
      <c r="K71" s="4">
        <v>3854</v>
      </c>
      <c r="L71" s="4"/>
      <c r="M71" s="4"/>
      <c r="N71" s="4"/>
    </row>
    <row r="72" spans="1:14" x14ac:dyDescent="0.35">
      <c r="A72" s="445" t="s">
        <v>16</v>
      </c>
      <c r="B72" s="445">
        <v>54277</v>
      </c>
      <c r="C72" s="3"/>
      <c r="D72" s="3"/>
      <c r="E72" s="3"/>
      <c r="F72" s="3"/>
      <c r="G72" s="3"/>
      <c r="H72" s="3"/>
      <c r="I72" s="3"/>
      <c r="J72" s="3"/>
      <c r="K72" s="3">
        <v>15000</v>
      </c>
      <c r="L72" s="3"/>
      <c r="M72" s="3"/>
      <c r="N72" s="3">
        <v>9056</v>
      </c>
    </row>
    <row r="73" spans="1:14" x14ac:dyDescent="0.35">
      <c r="A73" s="445"/>
      <c r="B73" s="445"/>
      <c r="C73" s="4"/>
      <c r="D73" s="4"/>
      <c r="E73" s="4"/>
      <c r="F73" s="4"/>
      <c r="G73" s="4"/>
      <c r="H73" s="4"/>
      <c r="I73" s="4"/>
      <c r="J73" s="4"/>
      <c r="K73" s="4">
        <v>14793</v>
      </c>
      <c r="L73" s="4"/>
      <c r="M73" s="4"/>
      <c r="N73" s="4">
        <v>9056</v>
      </c>
    </row>
    <row r="74" spans="1:14" x14ac:dyDescent="0.35">
      <c r="A74" s="445" t="s">
        <v>59</v>
      </c>
      <c r="B74" s="445">
        <v>11100</v>
      </c>
      <c r="C74" s="3"/>
      <c r="D74" s="3"/>
      <c r="E74" s="3"/>
      <c r="F74" s="3"/>
      <c r="G74" s="3"/>
      <c r="H74" s="3"/>
      <c r="I74" s="3"/>
      <c r="J74" s="3"/>
      <c r="K74" s="3">
        <v>3000</v>
      </c>
      <c r="L74" s="3">
        <v>6000</v>
      </c>
      <c r="M74" s="3"/>
      <c r="N74" s="3">
        <v>2000</v>
      </c>
    </row>
    <row r="75" spans="1:14" x14ac:dyDescent="0.35">
      <c r="A75" s="445"/>
      <c r="B75" s="445"/>
      <c r="C75" s="4"/>
      <c r="D75" s="4"/>
      <c r="E75" s="4"/>
      <c r="F75" s="4"/>
      <c r="G75" s="4"/>
      <c r="H75" s="4"/>
      <c r="I75" s="4"/>
      <c r="J75" s="4"/>
      <c r="K75" s="4">
        <v>2934</v>
      </c>
      <c r="L75" s="4">
        <v>4235</v>
      </c>
      <c r="M75" s="4"/>
      <c r="N75" s="4">
        <v>3159</v>
      </c>
    </row>
    <row r="76" spans="1:14" x14ac:dyDescent="0.35">
      <c r="A76" s="445" t="s">
        <v>125</v>
      </c>
      <c r="B76" s="445">
        <v>5734</v>
      </c>
      <c r="C76" s="3"/>
      <c r="D76" s="3"/>
      <c r="E76" s="3"/>
      <c r="F76" s="3"/>
      <c r="G76" s="3"/>
      <c r="H76" s="3"/>
      <c r="I76" s="3"/>
      <c r="J76" s="3"/>
      <c r="K76" s="3">
        <v>5734</v>
      </c>
      <c r="L76" s="3"/>
      <c r="M76" s="3"/>
      <c r="N76" s="3"/>
    </row>
    <row r="77" spans="1:14" x14ac:dyDescent="0.35">
      <c r="A77" s="445"/>
      <c r="B77" s="445"/>
      <c r="C77" s="4"/>
      <c r="D77" s="4"/>
      <c r="E77" s="4"/>
      <c r="F77" s="4"/>
      <c r="G77" s="4"/>
      <c r="H77" s="4"/>
      <c r="I77" s="4"/>
      <c r="J77" s="4"/>
      <c r="K77" s="4">
        <v>5734</v>
      </c>
      <c r="L77" s="4"/>
      <c r="M77" s="4"/>
      <c r="N77" s="4"/>
    </row>
    <row r="78" spans="1:14" x14ac:dyDescent="0.35">
      <c r="A78" s="446" t="s">
        <v>126</v>
      </c>
      <c r="B78" s="446">
        <v>56000</v>
      </c>
      <c r="C78" s="3"/>
      <c r="D78" s="3"/>
      <c r="E78" s="3"/>
      <c r="F78" s="3"/>
      <c r="G78" s="3"/>
      <c r="H78" s="3"/>
      <c r="I78" s="3"/>
      <c r="J78" s="3"/>
      <c r="K78" s="3">
        <v>20000</v>
      </c>
      <c r="L78" s="3"/>
      <c r="M78" s="3">
        <v>28696</v>
      </c>
      <c r="N78" s="3">
        <v>10184</v>
      </c>
    </row>
    <row r="79" spans="1:14" x14ac:dyDescent="0.35">
      <c r="A79" s="446"/>
      <c r="B79" s="446"/>
      <c r="C79" s="4"/>
      <c r="D79" s="4"/>
      <c r="E79" s="4"/>
      <c r="F79" s="4"/>
      <c r="G79" s="4"/>
      <c r="H79" s="4"/>
      <c r="I79" s="4"/>
      <c r="J79" s="4"/>
      <c r="K79" s="4">
        <v>17120</v>
      </c>
      <c r="L79" s="4"/>
      <c r="M79" s="4">
        <v>28696</v>
      </c>
      <c r="N79" s="4">
        <v>3313</v>
      </c>
    </row>
    <row r="80" spans="1:14" x14ac:dyDescent="0.35">
      <c r="A80" s="445" t="s">
        <v>127</v>
      </c>
      <c r="B80" s="445">
        <v>10000</v>
      </c>
      <c r="C80" s="3"/>
      <c r="D80" s="3"/>
      <c r="E80" s="3"/>
      <c r="F80" s="3"/>
      <c r="G80" s="3"/>
      <c r="H80" s="3"/>
      <c r="I80" s="3"/>
      <c r="J80" s="3">
        <v>10000</v>
      </c>
      <c r="K80" s="3"/>
      <c r="L80" s="3"/>
      <c r="M80" s="3"/>
      <c r="N80" s="3"/>
    </row>
    <row r="81" spans="1:14" x14ac:dyDescent="0.35">
      <c r="A81" s="445"/>
      <c r="B81" s="445"/>
      <c r="C81" s="4"/>
      <c r="D81" s="4"/>
      <c r="E81" s="4"/>
      <c r="F81" s="4"/>
      <c r="G81" s="4"/>
      <c r="H81" s="4"/>
      <c r="I81" s="4"/>
      <c r="J81" s="4">
        <v>10000</v>
      </c>
      <c r="K81" s="4"/>
      <c r="L81" s="4"/>
      <c r="M81" s="4"/>
      <c r="N81" s="4"/>
    </row>
    <row r="82" spans="1:14" x14ac:dyDescent="0.35">
      <c r="A82" s="445" t="s">
        <v>128</v>
      </c>
      <c r="B82" s="445">
        <v>9000</v>
      </c>
      <c r="C82" s="3"/>
      <c r="D82" s="3"/>
      <c r="E82" s="3"/>
      <c r="F82" s="3"/>
      <c r="G82" s="3"/>
      <c r="H82" s="3"/>
      <c r="I82" s="3"/>
      <c r="J82" s="3">
        <v>9000</v>
      </c>
      <c r="K82" s="3"/>
      <c r="L82" s="3"/>
      <c r="M82" s="3"/>
      <c r="N82" s="3"/>
    </row>
    <row r="83" spans="1:14" x14ac:dyDescent="0.35">
      <c r="A83" s="445"/>
      <c r="B83" s="445"/>
      <c r="C83" s="4"/>
      <c r="D83" s="4"/>
      <c r="E83" s="4"/>
      <c r="F83" s="4"/>
      <c r="G83" s="4"/>
      <c r="H83" s="4"/>
      <c r="I83" s="4"/>
      <c r="J83" s="4">
        <v>9000</v>
      </c>
      <c r="K83" s="4"/>
      <c r="L83" s="4"/>
      <c r="M83" s="4"/>
      <c r="N83" s="4"/>
    </row>
    <row r="84" spans="1:14" x14ac:dyDescent="0.35">
      <c r="A84" s="445" t="s">
        <v>129</v>
      </c>
      <c r="B84" s="445">
        <v>19150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>
        <v>6500</v>
      </c>
      <c r="N84" s="3">
        <v>12600</v>
      </c>
    </row>
    <row r="85" spans="1:14" x14ac:dyDescent="0.35">
      <c r="A85" s="445"/>
      <c r="B85" s="445"/>
      <c r="C85" s="4"/>
      <c r="D85" s="4"/>
      <c r="E85" s="4"/>
      <c r="F85" s="4"/>
      <c r="G85" s="4"/>
      <c r="H85" s="4"/>
      <c r="I85" s="4"/>
      <c r="J85" s="4"/>
      <c r="K85" s="4"/>
      <c r="L85" s="4"/>
      <c r="M85" s="4">
        <v>6366</v>
      </c>
      <c r="N85" s="4">
        <v>12784</v>
      </c>
    </row>
    <row r="86" spans="1:14" x14ac:dyDescent="0.35">
      <c r="A86" s="445" t="s">
        <v>130</v>
      </c>
      <c r="B86" s="445">
        <v>56000</v>
      </c>
      <c r="C86" s="3"/>
      <c r="D86" s="3"/>
      <c r="E86" s="3"/>
      <c r="F86" s="3"/>
      <c r="G86" s="3"/>
      <c r="H86" s="3"/>
      <c r="I86" s="3"/>
      <c r="J86" s="3"/>
      <c r="K86" s="3"/>
      <c r="L86" s="3">
        <v>15000</v>
      </c>
      <c r="M86" s="3"/>
      <c r="N86" s="3">
        <v>17500</v>
      </c>
    </row>
    <row r="87" spans="1:14" x14ac:dyDescent="0.35">
      <c r="A87" s="445"/>
      <c r="B87" s="445"/>
      <c r="C87" s="4"/>
      <c r="D87" s="4"/>
      <c r="E87" s="4"/>
      <c r="F87" s="4"/>
      <c r="G87" s="4"/>
      <c r="H87" s="4"/>
      <c r="I87" s="4"/>
      <c r="J87" s="4"/>
      <c r="K87" s="4"/>
      <c r="L87" s="4">
        <v>16078</v>
      </c>
      <c r="M87" s="4"/>
      <c r="N87" s="4">
        <v>18689</v>
      </c>
    </row>
    <row r="88" spans="1:14" x14ac:dyDescent="0.35">
      <c r="A88" s="445" t="s">
        <v>34</v>
      </c>
      <c r="B88" s="445">
        <v>14000</v>
      </c>
      <c r="C88" s="3"/>
      <c r="D88" s="3"/>
      <c r="E88" s="3"/>
      <c r="F88" s="3"/>
      <c r="G88" s="3"/>
      <c r="H88" s="3"/>
      <c r="I88" s="3"/>
      <c r="J88" s="3"/>
      <c r="K88" s="3">
        <v>5000</v>
      </c>
      <c r="L88" s="3">
        <v>5000</v>
      </c>
      <c r="M88" s="3"/>
      <c r="N88" s="3"/>
    </row>
    <row r="89" spans="1:14" x14ac:dyDescent="0.35">
      <c r="A89" s="445"/>
      <c r="B89" s="445"/>
      <c r="C89" s="4"/>
      <c r="D89" s="4"/>
      <c r="E89" s="4"/>
      <c r="F89" s="4"/>
      <c r="G89" s="4"/>
      <c r="H89" s="4"/>
      <c r="I89" s="4"/>
      <c r="J89" s="4"/>
      <c r="K89" s="4">
        <v>4163</v>
      </c>
      <c r="L89" s="4">
        <v>6956</v>
      </c>
      <c r="M89" s="4"/>
      <c r="N89" s="4"/>
    </row>
    <row r="90" spans="1:14" x14ac:dyDescent="0.35">
      <c r="A90" s="445" t="s">
        <v>131</v>
      </c>
      <c r="B90" s="445">
        <v>3281</v>
      </c>
      <c r="C90" s="3"/>
      <c r="D90" s="3"/>
      <c r="E90" s="3"/>
      <c r="F90" s="3"/>
      <c r="G90" s="3"/>
      <c r="H90" s="3"/>
      <c r="I90" s="3"/>
      <c r="J90" s="3"/>
      <c r="K90" s="3"/>
      <c r="L90" s="3">
        <v>3281</v>
      </c>
      <c r="M90" s="3"/>
      <c r="N90" s="3"/>
    </row>
    <row r="91" spans="1:14" x14ac:dyDescent="0.35">
      <c r="A91" s="445"/>
      <c r="B91" s="445"/>
      <c r="C91" s="4"/>
      <c r="D91" s="4"/>
      <c r="E91" s="4"/>
      <c r="F91" s="4"/>
      <c r="G91" s="4"/>
      <c r="H91" s="4"/>
      <c r="I91" s="4"/>
      <c r="J91" s="4"/>
      <c r="K91" s="4"/>
      <c r="L91" s="4">
        <v>3281</v>
      </c>
      <c r="M91" s="4"/>
      <c r="N91" s="4"/>
    </row>
    <row r="92" spans="1:14" x14ac:dyDescent="0.35">
      <c r="A92" s="445" t="s">
        <v>132</v>
      </c>
      <c r="B92" s="445">
        <v>5200</v>
      </c>
      <c r="C92" s="3"/>
      <c r="D92" s="3"/>
      <c r="E92" s="3"/>
      <c r="F92" s="3"/>
      <c r="G92" s="3"/>
      <c r="H92" s="3"/>
      <c r="I92" s="3"/>
      <c r="J92" s="3"/>
      <c r="K92" s="3">
        <v>5200</v>
      </c>
      <c r="L92" s="3"/>
      <c r="M92" s="3"/>
      <c r="N92" s="3"/>
    </row>
    <row r="93" spans="1:14" x14ac:dyDescent="0.35">
      <c r="A93" s="445"/>
      <c r="B93" s="445"/>
      <c r="C93" s="4"/>
      <c r="D93" s="4"/>
      <c r="E93" s="4"/>
      <c r="F93" s="4"/>
      <c r="G93" s="4"/>
      <c r="H93" s="4"/>
      <c r="I93" s="4"/>
      <c r="J93" s="4"/>
      <c r="K93" s="4">
        <v>5201</v>
      </c>
      <c r="L93" s="4"/>
      <c r="M93" s="4"/>
      <c r="N93" s="4"/>
    </row>
    <row r="94" spans="1:14" x14ac:dyDescent="0.35">
      <c r="A94" s="445" t="s">
        <v>133</v>
      </c>
      <c r="B94" s="44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35">
      <c r="A95" s="445"/>
      <c r="B95" s="44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35">
      <c r="A96" s="445" t="s">
        <v>134</v>
      </c>
      <c r="B96" s="445">
        <v>5980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3981</v>
      </c>
    </row>
    <row r="97" spans="1:14" x14ac:dyDescent="0.35">
      <c r="A97" s="445"/>
      <c r="B97" s="44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>
        <v>3981</v>
      </c>
    </row>
    <row r="98" spans="1:14" x14ac:dyDescent="0.35">
      <c r="A98" s="447" t="s">
        <v>135</v>
      </c>
      <c r="B98" s="448">
        <v>12100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12100</v>
      </c>
    </row>
    <row r="99" spans="1:14" x14ac:dyDescent="0.35">
      <c r="A99" s="447"/>
      <c r="B99" s="44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>
        <v>12100</v>
      </c>
    </row>
    <row r="100" spans="1:14" x14ac:dyDescent="0.35">
      <c r="A100" s="445" t="s">
        <v>32</v>
      </c>
      <c r="B100" s="445">
        <v>18450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6115</v>
      </c>
      <c r="N100" s="5">
        <v>6000</v>
      </c>
    </row>
    <row r="101" spans="1:14" x14ac:dyDescent="0.35">
      <c r="A101" s="445"/>
      <c r="B101" s="44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>
        <v>6115</v>
      </c>
      <c r="N101" s="4">
        <v>7125</v>
      </c>
    </row>
    <row r="102" spans="1:14" hidden="1" x14ac:dyDescent="0.35">
      <c r="A102" s="445"/>
      <c r="B102" s="44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idden="1" x14ac:dyDescent="0.35">
      <c r="A103" s="445"/>
      <c r="B103" s="44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idden="1" x14ac:dyDescent="0.35">
      <c r="A104" s="445"/>
      <c r="B104" s="44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idden="1" x14ac:dyDescent="0.35">
      <c r="A105" s="445"/>
      <c r="B105" s="44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idden="1" x14ac:dyDescent="0.35">
      <c r="A106" s="445"/>
      <c r="B106" s="44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idden="1" x14ac:dyDescent="0.35">
      <c r="A107" s="445"/>
      <c r="B107" s="44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idden="1" x14ac:dyDescent="0.35">
      <c r="A108" s="445"/>
      <c r="B108" s="44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idden="1" x14ac:dyDescent="0.35">
      <c r="A109" s="445"/>
      <c r="B109" s="44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idden="1" x14ac:dyDescent="0.35">
      <c r="A110" s="445"/>
      <c r="B110" s="44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idden="1" x14ac:dyDescent="0.35">
      <c r="A111" s="445"/>
      <c r="B111" s="44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idden="1" x14ac:dyDescent="0.35">
      <c r="A112" s="445"/>
      <c r="B112" s="44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idden="1" x14ac:dyDescent="0.35">
      <c r="A113" s="445"/>
      <c r="B113" s="44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3.9" x14ac:dyDescent="0.4">
      <c r="A114" s="450" t="s">
        <v>84</v>
      </c>
      <c r="B114" s="450"/>
      <c r="C114" s="8">
        <f t="shared" ref="C114:N114" si="0">C2+C4+C6+C8+C10+C12+C14+C16+C18+C20+C22+C24+C26+C28+C30+C32+C34+C36+C38+C40+C42+C44+C46+C48+C50+C52+C54+C56+C58+C60+C62+C64+C66+C68+C70+C72+C74+C76+C78+C80+C82+C84+C86+C88+C90+C92+C94+C96+C98+C100+C102+C104+C106+C108+C110+C112</f>
        <v>0</v>
      </c>
      <c r="D114" s="8">
        <f t="shared" si="0"/>
        <v>101840</v>
      </c>
      <c r="E114" s="8">
        <f t="shared" si="0"/>
        <v>107754</v>
      </c>
      <c r="F114" s="8">
        <f t="shared" si="0"/>
        <v>69355</v>
      </c>
      <c r="G114" s="8">
        <f t="shared" si="0"/>
        <v>52956</v>
      </c>
      <c r="H114" s="8">
        <f t="shared" si="0"/>
        <v>42304</v>
      </c>
      <c r="I114" s="8">
        <f t="shared" si="0"/>
        <v>74066</v>
      </c>
      <c r="J114" s="8">
        <f t="shared" si="0"/>
        <v>62576</v>
      </c>
      <c r="K114" s="8">
        <f t="shared" si="0"/>
        <v>86261</v>
      </c>
      <c r="L114" s="8">
        <f t="shared" si="0"/>
        <v>79281</v>
      </c>
      <c r="M114" s="8">
        <f t="shared" si="0"/>
        <v>41311</v>
      </c>
      <c r="N114" s="8">
        <f t="shared" si="0"/>
        <v>73421</v>
      </c>
    </row>
    <row r="115" spans="1:14" ht="13.9" x14ac:dyDescent="0.4">
      <c r="A115" s="450" t="s">
        <v>85</v>
      </c>
      <c r="B115" s="450"/>
      <c r="C115" s="8">
        <f t="shared" ref="C115:N115" si="1">C3+C5+C7+C9+C11+C13+C15+C17+C19+C21+C23+C25+C27+C29+C31+C33+C35+C37+C39+C41+C43+C45+C47+C49+C51+C53+C55+C57+C59+C61+C63+C65+C67+C69+C71+C73+C75+C77+C79+C81+C83+C85+C87+C89+C91+C93+C95+C97+C99+C101+C103+C105+C107+C109+C111+C113</f>
        <v>92000</v>
      </c>
      <c r="D115" s="8">
        <f t="shared" si="1"/>
        <v>92566</v>
      </c>
      <c r="E115" s="8">
        <f t="shared" si="1"/>
        <v>105182</v>
      </c>
      <c r="F115" s="8">
        <f t="shared" si="1"/>
        <v>66245</v>
      </c>
      <c r="G115" s="8">
        <f t="shared" si="1"/>
        <v>51793</v>
      </c>
      <c r="H115" s="8">
        <f t="shared" si="1"/>
        <v>42295</v>
      </c>
      <c r="I115" s="8">
        <f t="shared" si="1"/>
        <v>78783</v>
      </c>
      <c r="J115" s="8">
        <f t="shared" si="1"/>
        <v>68341</v>
      </c>
      <c r="K115" s="8">
        <f t="shared" si="1"/>
        <v>74957</v>
      </c>
      <c r="L115" s="8">
        <f t="shared" si="1"/>
        <v>75264</v>
      </c>
      <c r="M115" s="8">
        <f t="shared" si="1"/>
        <v>41177</v>
      </c>
      <c r="N115" s="8">
        <f t="shared" si="1"/>
        <v>70207</v>
      </c>
    </row>
    <row r="116" spans="1:14" ht="13.9" x14ac:dyDescent="0.4">
      <c r="A116" s="449" t="s">
        <v>86</v>
      </c>
      <c r="B116" s="449"/>
      <c r="C116" s="8">
        <f>C115</f>
        <v>92000</v>
      </c>
      <c r="D116" s="8">
        <f>C115+D115</f>
        <v>184566</v>
      </c>
      <c r="E116" s="10">
        <f>C115+D115+E115</f>
        <v>289748</v>
      </c>
      <c r="F116" s="10">
        <f>C115+D115+E115+F115</f>
        <v>355993</v>
      </c>
      <c r="G116" s="10">
        <f>C115+D115+E115+F115+G115</f>
        <v>407786</v>
      </c>
      <c r="H116" s="10">
        <f>C115+D115+E115+F115+G115+H115</f>
        <v>450081</v>
      </c>
      <c r="I116" s="10">
        <f>C115+D115+E115+F115+G115+H115+I115</f>
        <v>528864</v>
      </c>
      <c r="J116" s="10">
        <f>C115+D115+E115+F115+G115+H115+I115+J115</f>
        <v>597205</v>
      </c>
      <c r="K116" s="10">
        <f>C115+D115+E115+F115+G115+H115+I115+J115+K115</f>
        <v>672162</v>
      </c>
      <c r="L116" s="10">
        <f>C115+D115+E115+F115+G115+H115+I115+J115+K115+L115</f>
        <v>747426</v>
      </c>
      <c r="M116" s="10">
        <f>C115+D115+E115+F115+G115+H115+I115+J115+K115+L115+M115</f>
        <v>788603</v>
      </c>
      <c r="N116" s="10">
        <f>C115+D115+E115+F115+G115+H115+I115+J115+K115+L115+M115+N115</f>
        <v>858810</v>
      </c>
    </row>
    <row r="117" spans="1:14" ht="35.85" customHeight="1" x14ac:dyDescent="0.4">
      <c r="C117" s="11" t="s">
        <v>87</v>
      </c>
      <c r="D117" s="12">
        <f>C114+D114+E114+F114+G114+H114+I114+J114+K114+L114+M114+N114</f>
        <v>791125</v>
      </c>
    </row>
    <row r="118" spans="1:14" ht="35.85" customHeight="1" x14ac:dyDescent="0.4">
      <c r="C118" s="11" t="s">
        <v>88</v>
      </c>
      <c r="D118" s="12">
        <f>C115+D115+E115+F115+G115+H115+I115+J115+K115+L115+M115+N115</f>
        <v>858810</v>
      </c>
    </row>
  </sheetData>
  <mergeCells count="115">
    <mergeCell ref="A116:B116"/>
    <mergeCell ref="A110:A111"/>
    <mergeCell ref="B110:B111"/>
    <mergeCell ref="A112:A113"/>
    <mergeCell ref="B112:B113"/>
    <mergeCell ref="A114:B114"/>
    <mergeCell ref="A115:B115"/>
    <mergeCell ref="A104:A105"/>
    <mergeCell ref="B104:B105"/>
    <mergeCell ref="A106:A107"/>
    <mergeCell ref="B106:B107"/>
    <mergeCell ref="A108:A109"/>
    <mergeCell ref="B108:B109"/>
    <mergeCell ref="A98:A99"/>
    <mergeCell ref="B98:B99"/>
    <mergeCell ref="A100:A101"/>
    <mergeCell ref="B100:B101"/>
    <mergeCell ref="A102:A103"/>
    <mergeCell ref="B102:B103"/>
    <mergeCell ref="A92:A93"/>
    <mergeCell ref="B92:B93"/>
    <mergeCell ref="A94:A95"/>
    <mergeCell ref="B94:B95"/>
    <mergeCell ref="A96:A97"/>
    <mergeCell ref="B96:B97"/>
    <mergeCell ref="A86:A87"/>
    <mergeCell ref="B86:B87"/>
    <mergeCell ref="A88:A89"/>
    <mergeCell ref="B88:B89"/>
    <mergeCell ref="A90:A91"/>
    <mergeCell ref="B90:B91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8:A69"/>
    <mergeCell ref="B68:B69"/>
    <mergeCell ref="A70:A71"/>
    <mergeCell ref="B70:B71"/>
    <mergeCell ref="A72:A73"/>
    <mergeCell ref="B72:B73"/>
    <mergeCell ref="A62:A63"/>
    <mergeCell ref="B62:B63"/>
    <mergeCell ref="A64:A65"/>
    <mergeCell ref="B64:B65"/>
    <mergeCell ref="A66:A67"/>
    <mergeCell ref="B66:B67"/>
    <mergeCell ref="A56:A57"/>
    <mergeCell ref="B56:B57"/>
    <mergeCell ref="A58:A59"/>
    <mergeCell ref="B58:B59"/>
    <mergeCell ref="A60:A61"/>
    <mergeCell ref="B60:B6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8:A19"/>
    <mergeCell ref="B18:B19"/>
    <mergeCell ref="A8:A9"/>
    <mergeCell ref="B8:B9"/>
    <mergeCell ref="A10:A11"/>
    <mergeCell ref="B10:B11"/>
    <mergeCell ref="A12:A13"/>
    <mergeCell ref="B12:B13"/>
    <mergeCell ref="A26:A27"/>
    <mergeCell ref="B26:B27"/>
    <mergeCell ref="A2:A3"/>
    <mergeCell ref="B2:B3"/>
    <mergeCell ref="A4:A5"/>
    <mergeCell ref="B4:B5"/>
    <mergeCell ref="A6:A7"/>
    <mergeCell ref="B6:B7"/>
    <mergeCell ref="A14:A15"/>
    <mergeCell ref="B14:B15"/>
    <mergeCell ref="A16:A17"/>
    <mergeCell ref="B16:B17"/>
  </mergeCells>
  <pageMargins left="0.23622047244094502" right="0.23622047244094502" top="0.15748031496063003" bottom="0.19685039370078702" header="0.15748031496063003" footer="0.19685039370078702"/>
  <pageSetup paperSize="0" scale="50" fitToWidth="0" fitToHeight="0" orientation="portrait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7"/>
  <sheetViews>
    <sheetView workbookViewId="0">
      <pane ySplit="1" topLeftCell="A71" activePane="bottomLeft" state="frozen"/>
      <selection pane="bottomLeft" activeCell="C2" sqref="A2:XFD2"/>
    </sheetView>
  </sheetViews>
  <sheetFormatPr baseColWidth="10" defaultRowHeight="13.5" x14ac:dyDescent="0.35"/>
  <cols>
    <col min="1" max="1" width="19.125" customWidth="1"/>
    <col min="2" max="2" width="9.875" customWidth="1"/>
    <col min="3" max="3" width="11" customWidth="1"/>
  </cols>
  <sheetData>
    <row r="1" spans="1:14" ht="13.9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451" t="s">
        <v>14</v>
      </c>
      <c r="B2" s="452">
        <v>20031</v>
      </c>
      <c r="C2" s="3"/>
      <c r="D2" s="3">
        <v>17446</v>
      </c>
      <c r="E2" s="3">
        <v>2585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451"/>
      <c r="B3" s="452"/>
      <c r="C3" s="4"/>
      <c r="D3" s="4">
        <v>17446</v>
      </c>
      <c r="E3" s="4">
        <v>2776</v>
      </c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51" t="s">
        <v>15</v>
      </c>
      <c r="B4" s="452"/>
      <c r="C4" s="3"/>
      <c r="D4" s="3">
        <v>19000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451"/>
      <c r="B5" s="452"/>
      <c r="C5" s="4"/>
      <c r="D5" s="4">
        <v>25862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451" t="s">
        <v>16</v>
      </c>
      <c r="B6" s="452"/>
      <c r="C6" s="3"/>
      <c r="D6" s="3">
        <v>16000</v>
      </c>
      <c r="E6" s="3"/>
      <c r="F6" s="3"/>
      <c r="G6" s="3">
        <v>15000</v>
      </c>
      <c r="H6" s="3"/>
      <c r="I6" s="3"/>
      <c r="J6" s="3"/>
      <c r="K6" s="3"/>
      <c r="L6" s="3"/>
      <c r="M6" s="3"/>
      <c r="N6" s="3"/>
    </row>
    <row r="7" spans="1:14" x14ac:dyDescent="0.35">
      <c r="A7" s="451"/>
      <c r="B7" s="452"/>
      <c r="C7" s="4"/>
      <c r="D7" s="4">
        <v>13076</v>
      </c>
      <c r="E7" s="4"/>
      <c r="F7" s="4"/>
      <c r="G7" s="4">
        <v>14668</v>
      </c>
      <c r="H7" s="4"/>
      <c r="I7" s="4"/>
      <c r="J7" s="4"/>
      <c r="K7" s="4"/>
      <c r="L7" s="4"/>
      <c r="M7" s="4"/>
      <c r="N7" s="4"/>
    </row>
    <row r="8" spans="1:14" x14ac:dyDescent="0.35">
      <c r="A8" s="452" t="s">
        <v>17</v>
      </c>
      <c r="B8" s="452">
        <v>11095</v>
      </c>
      <c r="C8" s="3"/>
      <c r="D8" s="3">
        <v>3680</v>
      </c>
      <c r="E8" s="3"/>
      <c r="F8" s="3">
        <v>7415</v>
      </c>
      <c r="G8" s="3"/>
      <c r="H8" s="3">
        <v>2321</v>
      </c>
      <c r="I8" s="3"/>
      <c r="J8" s="3"/>
      <c r="K8" s="3"/>
      <c r="L8" s="3"/>
      <c r="M8" s="3"/>
      <c r="N8" s="3"/>
    </row>
    <row r="9" spans="1:14" x14ac:dyDescent="0.35">
      <c r="A9" s="452"/>
      <c r="B9" s="452"/>
      <c r="C9" s="4"/>
      <c r="D9" s="4">
        <v>3680</v>
      </c>
      <c r="E9" s="4"/>
      <c r="F9" s="4">
        <v>7415</v>
      </c>
      <c r="G9" s="4"/>
      <c r="H9" s="4">
        <v>2321</v>
      </c>
      <c r="I9" s="4"/>
      <c r="J9" s="4"/>
      <c r="K9" s="4"/>
      <c r="L9" s="4"/>
      <c r="M9" s="4"/>
      <c r="N9" s="4"/>
    </row>
    <row r="10" spans="1:14" x14ac:dyDescent="0.35">
      <c r="A10" s="451" t="s">
        <v>18</v>
      </c>
      <c r="B10" s="452">
        <v>65149</v>
      </c>
      <c r="C10" s="3">
        <v>11357</v>
      </c>
      <c r="D10" s="3">
        <v>11241</v>
      </c>
      <c r="E10" s="3">
        <v>21387</v>
      </c>
      <c r="F10" s="3">
        <v>5195</v>
      </c>
      <c r="G10" s="3">
        <v>10000</v>
      </c>
      <c r="H10" s="3">
        <v>5969</v>
      </c>
      <c r="I10" s="3"/>
      <c r="J10" s="3"/>
      <c r="K10" s="3"/>
      <c r="L10" s="3"/>
      <c r="M10" s="3"/>
      <c r="N10" s="3"/>
    </row>
    <row r="11" spans="1:14" x14ac:dyDescent="0.35">
      <c r="A11" s="451"/>
      <c r="B11" s="452"/>
      <c r="C11" s="4">
        <v>11357</v>
      </c>
      <c r="D11" s="4">
        <v>11241</v>
      </c>
      <c r="E11" s="4">
        <v>21387</v>
      </c>
      <c r="F11" s="4">
        <v>5195</v>
      </c>
      <c r="G11" s="4">
        <v>7088</v>
      </c>
      <c r="H11" s="4">
        <v>3880</v>
      </c>
      <c r="I11" s="4"/>
      <c r="J11" s="4"/>
      <c r="K11" s="4"/>
      <c r="L11" s="4"/>
      <c r="M11" s="4"/>
      <c r="N11" s="4"/>
    </row>
    <row r="12" spans="1:14" x14ac:dyDescent="0.35">
      <c r="A12" s="451" t="s">
        <v>19</v>
      </c>
      <c r="B12" s="452">
        <v>56109</v>
      </c>
      <c r="C12" s="3">
        <v>10476</v>
      </c>
      <c r="D12" s="3"/>
      <c r="E12" s="3"/>
      <c r="F12" s="3">
        <v>15428</v>
      </c>
      <c r="G12" s="3">
        <v>5312</v>
      </c>
      <c r="H12" s="3">
        <v>14720</v>
      </c>
      <c r="I12" s="3">
        <v>7230</v>
      </c>
      <c r="J12" s="3"/>
      <c r="K12" s="3">
        <v>1122</v>
      </c>
      <c r="L12" s="3"/>
      <c r="M12" s="3"/>
      <c r="N12" s="3"/>
    </row>
    <row r="13" spans="1:14" x14ac:dyDescent="0.35">
      <c r="A13" s="451"/>
      <c r="B13" s="452"/>
      <c r="C13" s="4">
        <v>10476</v>
      </c>
      <c r="D13" s="4"/>
      <c r="E13" s="4"/>
      <c r="F13" s="4">
        <v>15428</v>
      </c>
      <c r="G13" s="4">
        <v>5312</v>
      </c>
      <c r="H13" s="4">
        <v>14720</v>
      </c>
      <c r="I13" s="4">
        <v>7230</v>
      </c>
      <c r="J13" s="4"/>
      <c r="K13" s="4">
        <v>1122</v>
      </c>
      <c r="L13" s="4"/>
      <c r="M13" s="4"/>
      <c r="N13" s="4"/>
    </row>
    <row r="14" spans="1:14" x14ac:dyDescent="0.35">
      <c r="A14" s="452" t="s">
        <v>20</v>
      </c>
      <c r="B14" s="452">
        <v>3838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452"/>
      <c r="B15" s="45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52" t="s">
        <v>21</v>
      </c>
      <c r="B16" s="452">
        <v>11645</v>
      </c>
      <c r="C16" s="3"/>
      <c r="D16" s="3"/>
      <c r="E16" s="3">
        <v>5000</v>
      </c>
      <c r="F16" s="3">
        <v>6645</v>
      </c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452"/>
      <c r="B17" s="452"/>
      <c r="C17" s="4">
        <v>2387</v>
      </c>
      <c r="D17" s="4"/>
      <c r="E17" s="4">
        <v>3464</v>
      </c>
      <c r="F17" s="4">
        <v>5794</v>
      </c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51" t="s">
        <v>22</v>
      </c>
      <c r="B18" s="452">
        <v>36354</v>
      </c>
      <c r="C18" s="3"/>
      <c r="D18" s="3"/>
      <c r="E18" s="3">
        <v>8507</v>
      </c>
      <c r="F18" s="3">
        <v>9682</v>
      </c>
      <c r="G18" s="3"/>
      <c r="H18" s="3"/>
      <c r="I18" s="3">
        <v>18000</v>
      </c>
      <c r="J18" s="3"/>
      <c r="K18" s="3"/>
      <c r="L18" s="3"/>
      <c r="M18" s="3"/>
      <c r="N18" s="3">
        <v>285</v>
      </c>
    </row>
    <row r="19" spans="1:14" x14ac:dyDescent="0.35">
      <c r="A19" s="451"/>
      <c r="B19" s="452"/>
      <c r="C19" s="4"/>
      <c r="D19" s="4"/>
      <c r="E19" s="4">
        <v>8507</v>
      </c>
      <c r="F19" s="4">
        <v>9682</v>
      </c>
      <c r="G19" s="4"/>
      <c r="H19" s="4"/>
      <c r="I19" s="4">
        <v>17389</v>
      </c>
      <c r="J19" s="4">
        <v>2310</v>
      </c>
      <c r="K19" s="4"/>
      <c r="L19" s="4"/>
      <c r="M19" s="4"/>
      <c r="N19" s="4">
        <v>285</v>
      </c>
    </row>
    <row r="20" spans="1:14" x14ac:dyDescent="0.35">
      <c r="A20" s="451" t="s">
        <v>23</v>
      </c>
      <c r="B20" s="451">
        <v>27221</v>
      </c>
      <c r="C20" s="3">
        <v>6306</v>
      </c>
      <c r="D20" s="3">
        <v>2090</v>
      </c>
      <c r="E20" s="3"/>
      <c r="F20" s="3"/>
      <c r="G20" s="3">
        <v>9541</v>
      </c>
      <c r="H20" s="3">
        <v>9284</v>
      </c>
      <c r="I20" s="3"/>
      <c r="J20" s="3"/>
      <c r="K20" s="3"/>
      <c r="L20" s="3"/>
      <c r="M20" s="3"/>
      <c r="N20" s="3"/>
    </row>
    <row r="21" spans="1:14" x14ac:dyDescent="0.35">
      <c r="A21" s="451"/>
      <c r="B21" s="451"/>
      <c r="C21" s="4">
        <v>6306</v>
      </c>
      <c r="D21" s="4">
        <v>2090</v>
      </c>
      <c r="E21" s="4"/>
      <c r="F21" s="4"/>
      <c r="G21" s="4">
        <v>9541</v>
      </c>
      <c r="H21" s="4">
        <v>9284</v>
      </c>
      <c r="I21" s="4"/>
      <c r="J21" s="4"/>
      <c r="K21" s="4"/>
      <c r="L21" s="4"/>
      <c r="M21" s="4"/>
      <c r="N21" s="4"/>
    </row>
    <row r="22" spans="1:14" x14ac:dyDescent="0.35">
      <c r="A22" s="453" t="s">
        <v>24</v>
      </c>
      <c r="B22" s="452">
        <v>2674</v>
      </c>
      <c r="C22" s="3"/>
      <c r="D22" s="3">
        <v>2674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5">
      <c r="A23" s="453"/>
      <c r="B23" s="452"/>
      <c r="C23" s="4"/>
      <c r="D23" s="4">
        <v>2674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454" t="s">
        <v>25</v>
      </c>
      <c r="B24" s="452">
        <v>33800</v>
      </c>
      <c r="C24" s="3"/>
      <c r="D24" s="3">
        <v>10796</v>
      </c>
      <c r="E24" s="3"/>
      <c r="F24" s="3"/>
      <c r="G24" s="3">
        <v>21595</v>
      </c>
      <c r="H24" s="3"/>
      <c r="I24" s="3"/>
      <c r="J24" s="3"/>
      <c r="K24" s="3"/>
      <c r="L24" s="3"/>
      <c r="M24" s="3"/>
      <c r="N24" s="3"/>
    </row>
    <row r="25" spans="1:14" x14ac:dyDescent="0.35">
      <c r="A25" s="454"/>
      <c r="B25" s="452"/>
      <c r="C25" s="4"/>
      <c r="D25" s="4">
        <v>10796</v>
      </c>
      <c r="E25" s="4"/>
      <c r="F25" s="4"/>
      <c r="G25" s="4">
        <v>21595</v>
      </c>
      <c r="H25" s="4"/>
      <c r="I25" s="4"/>
      <c r="J25" s="4"/>
      <c r="K25" s="4"/>
      <c r="L25" s="4"/>
      <c r="M25" s="4"/>
      <c r="N25" s="4"/>
    </row>
    <row r="26" spans="1:14" x14ac:dyDescent="0.35">
      <c r="A26" s="452" t="s">
        <v>26</v>
      </c>
      <c r="B26" s="452">
        <v>2000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5">
      <c r="A27" s="452"/>
      <c r="B27" s="45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52" t="s">
        <v>27</v>
      </c>
      <c r="B28" s="452">
        <v>11186</v>
      </c>
      <c r="C28" s="3">
        <v>3806</v>
      </c>
      <c r="D28" s="3"/>
      <c r="E28" s="3">
        <v>7380</v>
      </c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452"/>
      <c r="B29" s="452"/>
      <c r="C29" s="4">
        <v>3806</v>
      </c>
      <c r="D29" s="4"/>
      <c r="E29" s="4">
        <v>7379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52" t="s">
        <v>28</v>
      </c>
      <c r="B30" s="452">
        <v>52000</v>
      </c>
      <c r="C30" s="3"/>
      <c r="D30" s="3"/>
      <c r="E30" s="3"/>
      <c r="F30" s="3"/>
      <c r="G30" s="3"/>
      <c r="H30" s="3"/>
      <c r="I30" s="3">
        <v>10750</v>
      </c>
      <c r="J30" s="3"/>
      <c r="K30" s="3">
        <v>22144</v>
      </c>
      <c r="L30" s="3">
        <v>6926</v>
      </c>
      <c r="M30" s="3"/>
      <c r="N30" s="3">
        <v>12180</v>
      </c>
    </row>
    <row r="31" spans="1:14" x14ac:dyDescent="0.35">
      <c r="A31" s="452"/>
      <c r="B31" s="452"/>
      <c r="C31" s="4"/>
      <c r="D31" s="4"/>
      <c r="E31" s="4"/>
      <c r="F31" s="4"/>
      <c r="G31" s="4"/>
      <c r="H31" s="4"/>
      <c r="I31" s="4">
        <v>10750</v>
      </c>
      <c r="J31" s="4"/>
      <c r="K31" s="4">
        <v>22144</v>
      </c>
      <c r="L31" s="4">
        <v>6926</v>
      </c>
      <c r="M31" s="4"/>
      <c r="N31" s="4">
        <v>13167</v>
      </c>
    </row>
    <row r="32" spans="1:14" x14ac:dyDescent="0.35">
      <c r="A32" s="452" t="s">
        <v>29</v>
      </c>
      <c r="B32" s="452">
        <v>4806</v>
      </c>
      <c r="C32" s="3"/>
      <c r="D32" s="3"/>
      <c r="E32" s="3"/>
      <c r="F32" s="3"/>
      <c r="G32" s="3"/>
      <c r="H32" s="3">
        <v>521</v>
      </c>
      <c r="I32" s="3"/>
      <c r="J32" s="3">
        <v>4285</v>
      </c>
      <c r="K32" s="3"/>
      <c r="L32" s="3"/>
      <c r="M32" s="3"/>
      <c r="N32" s="3"/>
    </row>
    <row r="33" spans="1:21" x14ac:dyDescent="0.35">
      <c r="A33" s="452"/>
      <c r="B33" s="452"/>
      <c r="C33" s="4"/>
      <c r="D33" s="4"/>
      <c r="E33" s="4"/>
      <c r="F33" s="4"/>
      <c r="G33" s="4"/>
      <c r="H33" s="4">
        <v>521</v>
      </c>
      <c r="I33" s="4"/>
      <c r="J33" s="4">
        <v>4400</v>
      </c>
      <c r="K33" s="4"/>
      <c r="L33" s="4"/>
      <c r="M33" s="4"/>
      <c r="N33" s="4"/>
    </row>
    <row r="34" spans="1:21" x14ac:dyDescent="0.35">
      <c r="A34" s="455" t="s">
        <v>30</v>
      </c>
      <c r="B34" s="452">
        <v>16335</v>
      </c>
      <c r="C34" s="3">
        <v>7130</v>
      </c>
      <c r="D34" s="3"/>
      <c r="E34" s="3">
        <v>4873</v>
      </c>
      <c r="F34" s="3"/>
      <c r="G34" s="3">
        <v>4332</v>
      </c>
      <c r="H34" s="3"/>
      <c r="I34" s="3"/>
      <c r="J34" s="3"/>
      <c r="K34" s="3"/>
      <c r="L34" s="3"/>
      <c r="M34" s="3"/>
      <c r="N34" s="3"/>
    </row>
    <row r="35" spans="1:21" x14ac:dyDescent="0.35">
      <c r="A35" s="455"/>
      <c r="B35" s="452"/>
      <c r="C35" s="4">
        <v>7130</v>
      </c>
      <c r="D35" s="4"/>
      <c r="E35" s="4">
        <v>4873</v>
      </c>
      <c r="F35" s="4"/>
      <c r="G35" s="4">
        <v>5071</v>
      </c>
      <c r="H35" s="4"/>
      <c r="I35" s="4"/>
      <c r="J35" s="4"/>
      <c r="K35" s="4"/>
      <c r="L35" s="4"/>
      <c r="M35" s="4"/>
      <c r="N35" s="4"/>
    </row>
    <row r="36" spans="1:21" x14ac:dyDescent="0.35">
      <c r="A36" s="455" t="s">
        <v>31</v>
      </c>
      <c r="B36" s="452">
        <v>17702</v>
      </c>
      <c r="C36" s="3">
        <v>5000</v>
      </c>
      <c r="D36" s="3">
        <v>5000</v>
      </c>
      <c r="E36" s="3"/>
      <c r="F36" s="3">
        <v>7702</v>
      </c>
      <c r="G36" s="3"/>
      <c r="H36" s="3"/>
      <c r="I36" s="3"/>
      <c r="J36" s="3"/>
      <c r="K36" s="3"/>
      <c r="L36" s="3"/>
      <c r="M36" s="3"/>
      <c r="N36" s="3"/>
    </row>
    <row r="37" spans="1:21" x14ac:dyDescent="0.35">
      <c r="A37" s="455"/>
      <c r="B37" s="452"/>
      <c r="C37" s="4">
        <v>4964</v>
      </c>
      <c r="D37" s="4">
        <v>4860</v>
      </c>
      <c r="E37" s="4"/>
      <c r="F37" s="4">
        <v>11703</v>
      </c>
      <c r="G37" s="4"/>
      <c r="H37" s="4"/>
      <c r="I37" s="4"/>
      <c r="J37" s="4"/>
      <c r="K37" s="4"/>
      <c r="L37" s="4"/>
      <c r="M37" s="4"/>
      <c r="N37" s="4"/>
    </row>
    <row r="38" spans="1:21" x14ac:dyDescent="0.35">
      <c r="A38" s="452" t="s">
        <v>32</v>
      </c>
      <c r="B38" s="452">
        <v>6800</v>
      </c>
      <c r="C38" s="3">
        <v>6800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21" x14ac:dyDescent="0.35">
      <c r="A39" s="452"/>
      <c r="B39" s="452"/>
      <c r="C39" s="4">
        <v>3206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21" x14ac:dyDescent="0.35">
      <c r="A40" s="455" t="s">
        <v>33</v>
      </c>
      <c r="B40" s="455">
        <v>23500</v>
      </c>
      <c r="C40" s="3">
        <v>23500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21" x14ac:dyDescent="0.35">
      <c r="A41" s="455"/>
      <c r="B41" s="455"/>
      <c r="C41" s="4">
        <v>16329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21" x14ac:dyDescent="0.35">
      <c r="A42" s="455" t="s">
        <v>34</v>
      </c>
      <c r="B42" s="455">
        <v>4000</v>
      </c>
      <c r="C42" s="3"/>
      <c r="D42" s="3">
        <v>4000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21" x14ac:dyDescent="0.35">
      <c r="A43" s="455"/>
      <c r="B43" s="455"/>
      <c r="C43" s="4"/>
      <c r="D43" s="4">
        <v>3037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21" x14ac:dyDescent="0.35">
      <c r="A44" s="452" t="s">
        <v>35</v>
      </c>
      <c r="B44" s="452">
        <v>1895</v>
      </c>
      <c r="C44" s="3"/>
      <c r="D44" s="3">
        <v>1895</v>
      </c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21" x14ac:dyDescent="0.35">
      <c r="A45" s="452"/>
      <c r="B45" s="452"/>
      <c r="C45" s="4"/>
      <c r="D45" s="4">
        <v>1895</v>
      </c>
      <c r="E45" s="4"/>
      <c r="F45" s="4"/>
      <c r="G45" s="4"/>
      <c r="H45" s="4"/>
      <c r="I45" s="4"/>
      <c r="J45" s="4"/>
      <c r="K45" s="4"/>
      <c r="L45" s="4"/>
      <c r="M45" s="4"/>
      <c r="N45" s="4"/>
      <c r="U45">
        <v>1</v>
      </c>
    </row>
    <row r="46" spans="1:21" x14ac:dyDescent="0.35">
      <c r="A46" s="452" t="s">
        <v>36</v>
      </c>
      <c r="B46" s="452">
        <v>2370</v>
      </c>
      <c r="C46" s="3"/>
      <c r="D46" s="3">
        <v>2370</v>
      </c>
      <c r="E46" s="3"/>
      <c r="F46" s="3"/>
      <c r="G46" s="3"/>
      <c r="H46" s="3"/>
      <c r="I46" s="3"/>
      <c r="J46" s="3"/>
      <c r="K46" s="3"/>
      <c r="L46" s="3"/>
      <c r="M46" s="3"/>
      <c r="N46" s="3"/>
      <c r="U46">
        <v>2</v>
      </c>
    </row>
    <row r="47" spans="1:21" x14ac:dyDescent="0.35">
      <c r="A47" s="452"/>
      <c r="B47" s="452"/>
      <c r="C47" s="4"/>
      <c r="D47" s="4">
        <v>2370</v>
      </c>
      <c r="E47" s="4"/>
      <c r="F47" s="4"/>
      <c r="G47" s="4"/>
      <c r="H47" s="4"/>
      <c r="I47" s="4"/>
      <c r="J47" s="4"/>
      <c r="K47" s="4"/>
      <c r="L47" s="4"/>
      <c r="M47" s="4"/>
      <c r="N47" s="4"/>
      <c r="U47">
        <v>2</v>
      </c>
    </row>
    <row r="48" spans="1:21" x14ac:dyDescent="0.35">
      <c r="A48" s="455" t="s">
        <v>37</v>
      </c>
      <c r="B48" s="452">
        <v>18288</v>
      </c>
      <c r="C48" s="3"/>
      <c r="D48" s="3"/>
      <c r="E48" s="3"/>
      <c r="F48" s="3"/>
      <c r="G48" s="3">
        <v>4194</v>
      </c>
      <c r="H48" s="3">
        <v>8094</v>
      </c>
      <c r="I48" s="3">
        <v>6000</v>
      </c>
      <c r="J48" s="3"/>
      <c r="K48" s="3"/>
      <c r="L48" s="3"/>
      <c r="M48" s="3"/>
      <c r="N48" s="3"/>
      <c r="U48">
        <v>2</v>
      </c>
    </row>
    <row r="49" spans="1:21" x14ac:dyDescent="0.35">
      <c r="A49" s="455"/>
      <c r="B49" s="452"/>
      <c r="C49" s="4"/>
      <c r="D49" s="4"/>
      <c r="E49" s="4"/>
      <c r="F49" s="4"/>
      <c r="G49" s="4">
        <v>4194</v>
      </c>
      <c r="H49" s="4">
        <v>6509</v>
      </c>
      <c r="I49" s="4">
        <v>7187</v>
      </c>
      <c r="J49" s="4"/>
      <c r="K49" s="4"/>
      <c r="L49" s="4"/>
      <c r="M49" s="4"/>
      <c r="N49" s="4"/>
      <c r="U49">
        <v>2</v>
      </c>
    </row>
    <row r="50" spans="1:21" x14ac:dyDescent="0.35">
      <c r="A50" s="452" t="s">
        <v>38</v>
      </c>
      <c r="B50" s="452"/>
      <c r="C50" s="3"/>
      <c r="D50" s="3">
        <v>1148</v>
      </c>
      <c r="E50" s="3">
        <v>1005</v>
      </c>
      <c r="F50" s="3"/>
      <c r="G50" s="3">
        <v>1590</v>
      </c>
      <c r="H50" s="3">
        <v>294</v>
      </c>
      <c r="I50" s="3"/>
      <c r="J50" s="3"/>
      <c r="K50" s="3">
        <v>256</v>
      </c>
      <c r="L50" s="3">
        <v>2387</v>
      </c>
      <c r="M50" s="3"/>
      <c r="N50" s="3">
        <v>449</v>
      </c>
      <c r="U50">
        <v>2</v>
      </c>
    </row>
    <row r="51" spans="1:21" x14ac:dyDescent="0.35">
      <c r="A51" s="452"/>
      <c r="B51" s="452"/>
      <c r="C51" s="4"/>
      <c r="D51" s="4">
        <v>1148</v>
      </c>
      <c r="E51" s="4">
        <v>1005</v>
      </c>
      <c r="F51" s="4"/>
      <c r="G51" s="4">
        <v>1590</v>
      </c>
      <c r="H51" s="4">
        <v>294</v>
      </c>
      <c r="I51" s="4"/>
      <c r="J51" s="4"/>
      <c r="K51" s="4">
        <v>256</v>
      </c>
      <c r="L51" s="4">
        <v>2387</v>
      </c>
      <c r="M51" s="4"/>
      <c r="N51" s="4">
        <v>449</v>
      </c>
    </row>
    <row r="52" spans="1:21" x14ac:dyDescent="0.35">
      <c r="A52" s="452" t="s">
        <v>39</v>
      </c>
      <c r="B52" s="452">
        <v>11254</v>
      </c>
      <c r="C52" s="3">
        <v>11254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21" x14ac:dyDescent="0.35">
      <c r="A53" s="452"/>
      <c r="B53" s="452"/>
      <c r="C53" s="4">
        <v>10067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U53">
        <f>SUM(U45:U52)</f>
        <v>11</v>
      </c>
    </row>
    <row r="54" spans="1:21" x14ac:dyDescent="0.35">
      <c r="A54" s="456" t="s">
        <v>40</v>
      </c>
      <c r="B54" s="452">
        <v>11475</v>
      </c>
      <c r="C54" s="3"/>
      <c r="D54" s="3"/>
      <c r="E54" s="3"/>
      <c r="F54" s="3"/>
      <c r="G54" s="3"/>
      <c r="H54" s="3"/>
      <c r="I54" s="3">
        <v>4300</v>
      </c>
      <c r="J54" s="3"/>
      <c r="K54" s="3"/>
      <c r="L54" s="3">
        <v>7175</v>
      </c>
      <c r="M54" s="3"/>
      <c r="N54" s="3"/>
    </row>
    <row r="55" spans="1:21" x14ac:dyDescent="0.35">
      <c r="A55" s="456"/>
      <c r="B55" s="452"/>
      <c r="C55" s="4"/>
      <c r="D55" s="4"/>
      <c r="E55" s="4"/>
      <c r="F55" s="4"/>
      <c r="G55" s="4"/>
      <c r="H55" s="4"/>
      <c r="I55" s="4">
        <v>4300</v>
      </c>
      <c r="J55" s="4"/>
      <c r="K55" s="4"/>
      <c r="L55" s="4">
        <v>7175</v>
      </c>
      <c r="M55" s="4"/>
      <c r="N55" s="4"/>
    </row>
    <row r="56" spans="1:21" x14ac:dyDescent="0.35">
      <c r="A56" s="452" t="s">
        <v>41</v>
      </c>
      <c r="B56" s="452">
        <v>6936</v>
      </c>
      <c r="C56" s="3">
        <v>4000</v>
      </c>
      <c r="D56" s="3">
        <v>2936</v>
      </c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21" x14ac:dyDescent="0.35">
      <c r="A57" s="452"/>
      <c r="B57" s="452"/>
      <c r="C57" s="4">
        <v>4720</v>
      </c>
      <c r="D57" s="4">
        <v>2936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21" x14ac:dyDescent="0.35">
      <c r="A58" s="454" t="s">
        <v>42</v>
      </c>
      <c r="B58" s="454">
        <v>14437</v>
      </c>
      <c r="C58" s="3"/>
      <c r="D58" s="3"/>
      <c r="E58" s="3"/>
      <c r="F58" s="3">
        <v>6485</v>
      </c>
      <c r="G58" s="3">
        <v>7952</v>
      </c>
      <c r="H58" s="3"/>
      <c r="I58" s="3"/>
      <c r="J58" s="3"/>
      <c r="K58" s="3"/>
      <c r="L58" s="3"/>
      <c r="M58" s="3"/>
      <c r="N58" s="3"/>
    </row>
    <row r="59" spans="1:21" x14ac:dyDescent="0.35">
      <c r="A59" s="454"/>
      <c r="B59" s="454"/>
      <c r="C59" s="4"/>
      <c r="D59" s="4"/>
      <c r="E59" s="4"/>
      <c r="F59" s="4">
        <v>6485</v>
      </c>
      <c r="G59" s="4">
        <v>7952</v>
      </c>
      <c r="H59" s="4"/>
      <c r="I59" s="4"/>
      <c r="J59" s="4"/>
      <c r="K59" s="4"/>
      <c r="L59" s="4"/>
      <c r="M59" s="4"/>
      <c r="N59" s="4"/>
    </row>
    <row r="60" spans="1:21" x14ac:dyDescent="0.35">
      <c r="A60" s="451" t="s">
        <v>43</v>
      </c>
      <c r="B60" s="452">
        <v>14690</v>
      </c>
      <c r="C60" s="3"/>
      <c r="D60" s="3">
        <v>2557</v>
      </c>
      <c r="E60" s="3">
        <v>4300</v>
      </c>
      <c r="F60" s="3">
        <v>7833</v>
      </c>
      <c r="G60" s="3"/>
      <c r="H60" s="3"/>
      <c r="I60" s="3"/>
      <c r="J60" s="3"/>
      <c r="K60" s="3"/>
      <c r="L60" s="3"/>
      <c r="M60" s="3"/>
      <c r="N60" s="3"/>
    </row>
    <row r="61" spans="1:21" x14ac:dyDescent="0.35">
      <c r="A61" s="451"/>
      <c r="B61" s="452"/>
      <c r="C61" s="4"/>
      <c r="D61" s="4">
        <v>2557</v>
      </c>
      <c r="E61" s="4">
        <v>3589</v>
      </c>
      <c r="F61" s="4">
        <v>4196</v>
      </c>
      <c r="G61" s="4"/>
      <c r="H61" s="4">
        <v>4348</v>
      </c>
      <c r="I61" s="4"/>
      <c r="J61" s="4"/>
      <c r="K61" s="4"/>
      <c r="L61" s="4"/>
      <c r="M61" s="4"/>
      <c r="N61" s="4"/>
    </row>
    <row r="62" spans="1:21" x14ac:dyDescent="0.35">
      <c r="A62" s="451" t="s">
        <v>44</v>
      </c>
      <c r="B62" s="452">
        <v>7000</v>
      </c>
      <c r="C62" s="3"/>
      <c r="D62" s="3"/>
      <c r="E62" s="3"/>
      <c r="F62" s="3"/>
      <c r="G62" s="3">
        <v>2333</v>
      </c>
      <c r="H62" s="3">
        <v>4667</v>
      </c>
      <c r="I62" s="3"/>
      <c r="J62" s="3"/>
      <c r="K62" s="3"/>
      <c r="L62" s="3"/>
      <c r="M62" s="3"/>
      <c r="N62" s="3"/>
    </row>
    <row r="63" spans="1:21" x14ac:dyDescent="0.35">
      <c r="A63" s="451"/>
      <c r="B63" s="452"/>
      <c r="C63" s="4"/>
      <c r="D63" s="4"/>
      <c r="E63" s="4"/>
      <c r="F63" s="4"/>
      <c r="G63" s="4">
        <v>2333</v>
      </c>
      <c r="H63" s="4">
        <v>4667</v>
      </c>
      <c r="I63" s="4"/>
      <c r="J63" s="4"/>
      <c r="K63" s="4"/>
      <c r="L63" s="4"/>
      <c r="M63" s="4"/>
      <c r="N63" s="4"/>
    </row>
    <row r="64" spans="1:21" x14ac:dyDescent="0.35">
      <c r="A64" s="454" t="s">
        <v>45</v>
      </c>
      <c r="B64" s="454">
        <v>49000</v>
      </c>
      <c r="C64" s="3"/>
      <c r="D64" s="3"/>
      <c r="E64" s="3"/>
      <c r="F64" s="3"/>
      <c r="G64" s="3"/>
      <c r="H64" s="3"/>
      <c r="I64" s="3"/>
      <c r="J64" s="3">
        <v>14696</v>
      </c>
      <c r="K64" s="3">
        <v>17676</v>
      </c>
      <c r="L64" s="3">
        <v>16628</v>
      </c>
      <c r="M64" s="3"/>
      <c r="N64" s="3"/>
    </row>
    <row r="65" spans="1:14" x14ac:dyDescent="0.35">
      <c r="A65" s="454"/>
      <c r="B65" s="454"/>
      <c r="C65" s="4"/>
      <c r="D65" s="4"/>
      <c r="E65" s="4"/>
      <c r="F65" s="4"/>
      <c r="G65" s="4"/>
      <c r="H65" s="4"/>
      <c r="I65" s="4"/>
      <c r="J65" s="4">
        <v>14696</v>
      </c>
      <c r="K65" s="4">
        <v>17676</v>
      </c>
      <c r="L65" s="4">
        <v>16631</v>
      </c>
      <c r="M65" s="4"/>
      <c r="N65" s="4"/>
    </row>
    <row r="66" spans="1:14" x14ac:dyDescent="0.35">
      <c r="A66" s="451" t="s">
        <v>46</v>
      </c>
      <c r="B66" s="451">
        <v>14380</v>
      </c>
      <c r="C66" s="3"/>
      <c r="D66" s="3"/>
      <c r="E66" s="3"/>
      <c r="F66" s="3"/>
      <c r="G66" s="3"/>
      <c r="H66" s="3"/>
      <c r="I66" s="3">
        <v>10000</v>
      </c>
      <c r="J66" s="3">
        <v>5255</v>
      </c>
      <c r="K66" s="3">
        <v>4380</v>
      </c>
      <c r="L66" s="3"/>
      <c r="M66" s="3"/>
      <c r="N66" s="3"/>
    </row>
    <row r="67" spans="1:14" x14ac:dyDescent="0.35">
      <c r="A67" s="451"/>
      <c r="B67" s="451"/>
      <c r="C67" s="4"/>
      <c r="D67" s="4"/>
      <c r="E67" s="4"/>
      <c r="F67" s="4"/>
      <c r="G67" s="4"/>
      <c r="H67" s="4"/>
      <c r="I67" s="4">
        <v>4745</v>
      </c>
      <c r="J67" s="4">
        <v>8203</v>
      </c>
      <c r="K67" s="4">
        <v>1586</v>
      </c>
      <c r="L67" s="4"/>
      <c r="M67" s="4"/>
      <c r="N67" s="4"/>
    </row>
    <row r="68" spans="1:14" x14ac:dyDescent="0.35">
      <c r="A68" s="451" t="s">
        <v>47</v>
      </c>
      <c r="B68" s="451">
        <v>11453</v>
      </c>
      <c r="C68" s="3"/>
      <c r="D68" s="3"/>
      <c r="E68" s="3"/>
      <c r="F68" s="3"/>
      <c r="G68" s="3"/>
      <c r="H68" s="3"/>
      <c r="I68" s="3"/>
      <c r="J68" s="3">
        <v>10000</v>
      </c>
      <c r="K68" s="3">
        <v>1453</v>
      </c>
      <c r="L68" s="3"/>
      <c r="M68" s="3"/>
      <c r="N68" s="3"/>
    </row>
    <row r="69" spans="1:14" x14ac:dyDescent="0.35">
      <c r="A69" s="451"/>
      <c r="B69" s="451"/>
      <c r="C69" s="4"/>
      <c r="D69" s="4"/>
      <c r="E69" s="4"/>
      <c r="F69" s="4"/>
      <c r="G69" s="4"/>
      <c r="H69" s="4"/>
      <c r="I69" s="4"/>
      <c r="J69" s="4">
        <v>3803</v>
      </c>
      <c r="K69" s="4">
        <v>8311</v>
      </c>
      <c r="L69" s="4"/>
      <c r="M69" s="4"/>
      <c r="N69" s="4"/>
    </row>
    <row r="70" spans="1:14" x14ac:dyDescent="0.35">
      <c r="A70" s="457" t="s">
        <v>48</v>
      </c>
      <c r="B70" s="457">
        <v>6507</v>
      </c>
      <c r="C70" s="3"/>
      <c r="D70" s="3"/>
      <c r="E70" s="3"/>
      <c r="F70" s="3"/>
      <c r="G70" s="3"/>
      <c r="H70" s="3">
        <v>6507</v>
      </c>
      <c r="I70" s="3"/>
      <c r="J70" s="3"/>
      <c r="K70" s="3"/>
      <c r="L70" s="3"/>
      <c r="M70" s="3"/>
      <c r="N70" s="3"/>
    </row>
    <row r="71" spans="1:14" x14ac:dyDescent="0.35">
      <c r="A71" s="457"/>
      <c r="B71" s="457"/>
      <c r="C71" s="4"/>
      <c r="D71" s="4"/>
      <c r="E71" s="4"/>
      <c r="F71" s="4"/>
      <c r="G71" s="4"/>
      <c r="H71" s="4">
        <v>6507</v>
      </c>
      <c r="I71" s="4"/>
      <c r="J71" s="4"/>
      <c r="K71" s="4"/>
      <c r="L71" s="4"/>
      <c r="M71" s="4"/>
      <c r="N71" s="4"/>
    </row>
    <row r="72" spans="1:14" x14ac:dyDescent="0.35">
      <c r="A72" s="457" t="s">
        <v>49</v>
      </c>
      <c r="B72" s="457">
        <v>14665</v>
      </c>
      <c r="C72" s="3"/>
      <c r="D72" s="3"/>
      <c r="E72" s="3"/>
      <c r="F72" s="3"/>
      <c r="G72" s="3"/>
      <c r="H72" s="3">
        <v>5123</v>
      </c>
      <c r="I72" s="3">
        <v>9542</v>
      </c>
      <c r="J72" s="3"/>
      <c r="K72" s="3"/>
      <c r="L72" s="3"/>
      <c r="M72" s="3"/>
      <c r="N72" s="3"/>
    </row>
    <row r="73" spans="1:14" x14ac:dyDescent="0.35">
      <c r="A73" s="457"/>
      <c r="B73" s="457"/>
      <c r="C73" s="4"/>
      <c r="D73" s="4"/>
      <c r="E73" s="4"/>
      <c r="F73" s="4"/>
      <c r="G73" s="4"/>
      <c r="H73" s="4">
        <v>5123</v>
      </c>
      <c r="I73" s="4">
        <v>9147</v>
      </c>
      <c r="J73" s="4"/>
      <c r="K73" s="4"/>
      <c r="L73" s="4"/>
      <c r="M73" s="4"/>
      <c r="N73" s="4"/>
    </row>
    <row r="74" spans="1:14" x14ac:dyDescent="0.35">
      <c r="A74" s="457" t="s">
        <v>50</v>
      </c>
      <c r="B74" s="457">
        <v>1221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35">
      <c r="A75" s="457"/>
      <c r="B75" s="45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35">
      <c r="A76" s="457" t="s">
        <v>51</v>
      </c>
      <c r="B76" s="457">
        <v>4008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v>2858</v>
      </c>
    </row>
    <row r="77" spans="1:14" x14ac:dyDescent="0.35">
      <c r="A77" s="457"/>
      <c r="B77" s="45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>
        <v>1805</v>
      </c>
    </row>
    <row r="78" spans="1:14" x14ac:dyDescent="0.35">
      <c r="A78" s="457" t="s">
        <v>52</v>
      </c>
      <c r="B78" s="457">
        <v>14194</v>
      </c>
      <c r="C78" s="3"/>
      <c r="D78" s="3"/>
      <c r="E78" s="3"/>
      <c r="F78" s="3"/>
      <c r="G78" s="3"/>
      <c r="H78" s="3"/>
      <c r="I78" s="3"/>
      <c r="J78" s="3"/>
      <c r="K78" s="3">
        <v>14194</v>
      </c>
      <c r="L78" s="3"/>
      <c r="M78" s="3"/>
      <c r="N78" s="3"/>
    </row>
    <row r="79" spans="1:14" x14ac:dyDescent="0.35">
      <c r="A79" s="457"/>
      <c r="B79" s="45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35">
      <c r="A80" s="457" t="s">
        <v>53</v>
      </c>
      <c r="B80" s="457">
        <v>5245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v>5245</v>
      </c>
    </row>
    <row r="81" spans="1:14" x14ac:dyDescent="0.35">
      <c r="A81" s="457"/>
      <c r="B81" s="45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>
        <v>5245</v>
      </c>
    </row>
    <row r="82" spans="1:14" x14ac:dyDescent="0.35">
      <c r="A82" s="457" t="s">
        <v>54</v>
      </c>
      <c r="B82" s="457">
        <v>2496</v>
      </c>
      <c r="C82" s="3"/>
      <c r="D82" s="3"/>
      <c r="E82" s="3"/>
      <c r="F82" s="3"/>
      <c r="G82" s="3"/>
      <c r="H82" s="3"/>
      <c r="I82" s="3">
        <v>2496</v>
      </c>
      <c r="J82" s="3"/>
      <c r="K82" s="3"/>
      <c r="L82" s="3"/>
      <c r="M82" s="3"/>
      <c r="N82" s="3"/>
    </row>
    <row r="83" spans="1:14" x14ac:dyDescent="0.35">
      <c r="A83" s="457"/>
      <c r="B83" s="457"/>
      <c r="C83" s="4"/>
      <c r="D83" s="4"/>
      <c r="E83" s="4"/>
      <c r="F83" s="4"/>
      <c r="G83" s="4"/>
      <c r="H83" s="4"/>
      <c r="I83" s="4">
        <v>2496</v>
      </c>
      <c r="J83" s="4"/>
      <c r="K83" s="4"/>
      <c r="L83" s="4"/>
      <c r="M83" s="4"/>
      <c r="N83" s="4"/>
    </row>
    <row r="84" spans="1:14" x14ac:dyDescent="0.35">
      <c r="A84" s="457" t="s">
        <v>55</v>
      </c>
      <c r="B84" s="457">
        <v>4707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>
        <v>4707</v>
      </c>
      <c r="N84" s="3"/>
    </row>
    <row r="85" spans="1:14" x14ac:dyDescent="0.35">
      <c r="A85" s="457"/>
      <c r="B85" s="457"/>
      <c r="C85" s="4"/>
      <c r="D85" s="4"/>
      <c r="E85" s="4"/>
      <c r="F85" s="4"/>
      <c r="G85" s="4"/>
      <c r="H85" s="4"/>
      <c r="I85" s="4"/>
      <c r="J85" s="4"/>
      <c r="K85" s="4"/>
      <c r="L85" s="4"/>
      <c r="M85" s="4">
        <v>4707</v>
      </c>
      <c r="N85" s="4"/>
    </row>
    <row r="86" spans="1:14" x14ac:dyDescent="0.35">
      <c r="A86" s="451" t="s">
        <v>56</v>
      </c>
      <c r="B86" s="451">
        <v>15000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>
        <v>6000</v>
      </c>
    </row>
    <row r="87" spans="1:14" x14ac:dyDescent="0.35">
      <c r="A87" s="451"/>
      <c r="B87" s="45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>
        <v>6563</v>
      </c>
    </row>
    <row r="88" spans="1:14" x14ac:dyDescent="0.35">
      <c r="A88" s="451" t="s">
        <v>57</v>
      </c>
      <c r="B88" s="451">
        <v>68041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35">
      <c r="A89" s="451"/>
      <c r="B89" s="45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35">
      <c r="A90" s="451" t="s">
        <v>58</v>
      </c>
      <c r="B90" s="451">
        <v>37806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v>10000</v>
      </c>
    </row>
    <row r="91" spans="1:14" x14ac:dyDescent="0.35">
      <c r="A91" s="451"/>
      <c r="B91" s="45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>
        <v>10800</v>
      </c>
    </row>
    <row r="92" spans="1:14" x14ac:dyDescent="0.35">
      <c r="A92" s="452" t="s">
        <v>59</v>
      </c>
      <c r="B92" s="452">
        <v>1163</v>
      </c>
      <c r="C92" s="3"/>
      <c r="D92" s="3"/>
      <c r="E92" s="3"/>
      <c r="F92" s="3"/>
      <c r="G92" s="3"/>
      <c r="H92" s="3"/>
      <c r="I92" s="3">
        <v>1163</v>
      </c>
      <c r="J92" s="3"/>
      <c r="K92" s="3"/>
      <c r="L92" s="3"/>
      <c r="M92" s="3"/>
      <c r="N92" s="3"/>
    </row>
    <row r="93" spans="1:14" x14ac:dyDescent="0.35">
      <c r="A93" s="452"/>
      <c r="B93" s="452"/>
      <c r="C93" s="4"/>
      <c r="D93" s="4"/>
      <c r="E93" s="4"/>
      <c r="F93" s="4"/>
      <c r="G93" s="4"/>
      <c r="H93" s="4"/>
      <c r="I93" s="4">
        <v>1163</v>
      </c>
      <c r="J93" s="4"/>
      <c r="K93" s="4"/>
      <c r="L93" s="4"/>
      <c r="M93" s="4"/>
      <c r="N93" s="4"/>
    </row>
    <row r="94" spans="1:14" x14ac:dyDescent="0.35">
      <c r="A94" s="452" t="s">
        <v>60</v>
      </c>
      <c r="B94" s="452">
        <v>3289</v>
      </c>
      <c r="C94" s="3"/>
      <c r="D94" s="3"/>
      <c r="E94" s="3"/>
      <c r="F94" s="3"/>
      <c r="G94" s="3"/>
      <c r="H94" s="3"/>
      <c r="I94" s="3">
        <v>3289</v>
      </c>
      <c r="J94" s="3"/>
      <c r="K94" s="3"/>
      <c r="L94" s="3"/>
      <c r="M94" s="3"/>
      <c r="N94" s="3"/>
    </row>
    <row r="95" spans="1:14" x14ac:dyDescent="0.35">
      <c r="A95" s="452"/>
      <c r="B95" s="452"/>
      <c r="C95" s="4"/>
      <c r="D95" s="4"/>
      <c r="E95" s="4"/>
      <c r="F95" s="4"/>
      <c r="G95" s="4"/>
      <c r="H95" s="4"/>
      <c r="I95" s="4">
        <v>3289</v>
      </c>
      <c r="J95" s="4"/>
      <c r="K95" s="4"/>
      <c r="L95" s="4"/>
      <c r="M95" s="4"/>
      <c r="N95" s="4"/>
    </row>
    <row r="96" spans="1:14" x14ac:dyDescent="0.35">
      <c r="A96" s="452" t="s">
        <v>61</v>
      </c>
      <c r="B96" s="452">
        <v>1700</v>
      </c>
      <c r="C96" s="3"/>
      <c r="D96" s="3"/>
      <c r="E96" s="3"/>
      <c r="F96" s="3"/>
      <c r="G96" s="3"/>
      <c r="H96" s="3"/>
      <c r="I96" s="3">
        <v>1700</v>
      </c>
      <c r="J96" s="3"/>
      <c r="K96" s="3"/>
      <c r="L96" s="3"/>
      <c r="M96" s="3"/>
      <c r="N96" s="3"/>
    </row>
    <row r="97" spans="1:14" x14ac:dyDescent="0.35">
      <c r="A97" s="452"/>
      <c r="B97" s="452"/>
      <c r="C97" s="4"/>
      <c r="D97" s="4"/>
      <c r="E97" s="4"/>
      <c r="F97" s="4"/>
      <c r="G97" s="4"/>
      <c r="H97" s="4"/>
      <c r="I97" s="4">
        <v>1700</v>
      </c>
      <c r="J97" s="4"/>
      <c r="K97" s="4"/>
      <c r="L97" s="4"/>
      <c r="M97" s="4"/>
      <c r="N97" s="4"/>
    </row>
    <row r="98" spans="1:14" x14ac:dyDescent="0.35">
      <c r="A98" s="451" t="s">
        <v>62</v>
      </c>
      <c r="B98" s="451">
        <v>30920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9154</v>
      </c>
      <c r="N98" s="5">
        <v>21000</v>
      </c>
    </row>
    <row r="99" spans="1:14" x14ac:dyDescent="0.35">
      <c r="A99" s="451"/>
      <c r="B99" s="451"/>
      <c r="C99" s="4"/>
      <c r="D99" s="4"/>
      <c r="E99" s="4"/>
      <c r="F99" s="4"/>
      <c r="G99" s="4"/>
      <c r="H99" s="4"/>
      <c r="I99" s="4"/>
      <c r="J99" s="4"/>
      <c r="K99" s="4"/>
      <c r="L99" s="4"/>
      <c r="M99" s="4">
        <v>9154</v>
      </c>
      <c r="N99" s="4">
        <v>21766</v>
      </c>
    </row>
    <row r="100" spans="1:14" x14ac:dyDescent="0.35">
      <c r="A100" s="451" t="s">
        <v>63</v>
      </c>
      <c r="B100" s="451">
        <v>10810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10810</v>
      </c>
      <c r="N100" s="5"/>
    </row>
    <row r="101" spans="1:14" x14ac:dyDescent="0.35">
      <c r="A101" s="451"/>
      <c r="B101" s="45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>
        <v>10810</v>
      </c>
      <c r="N101" s="4"/>
    </row>
    <row r="102" spans="1:14" x14ac:dyDescent="0.35">
      <c r="A102" s="451" t="s">
        <v>64</v>
      </c>
      <c r="B102" s="451">
        <v>9622</v>
      </c>
      <c r="C102" s="5"/>
      <c r="D102" s="5"/>
      <c r="E102" s="5"/>
      <c r="F102" s="5"/>
      <c r="G102" s="5"/>
      <c r="H102" s="5"/>
      <c r="I102" s="5"/>
      <c r="J102" s="5">
        <v>2860</v>
      </c>
      <c r="K102" s="5">
        <v>4872</v>
      </c>
      <c r="L102" s="5"/>
      <c r="M102" s="5"/>
      <c r="N102" s="5">
        <v>1890</v>
      </c>
    </row>
    <row r="103" spans="1:14" x14ac:dyDescent="0.35">
      <c r="A103" s="451"/>
      <c r="B103" s="451"/>
      <c r="C103" s="4"/>
      <c r="D103" s="4"/>
      <c r="E103" s="4"/>
      <c r="F103" s="4"/>
      <c r="G103" s="4"/>
      <c r="H103" s="4"/>
      <c r="I103" s="4"/>
      <c r="J103" s="4">
        <v>2860</v>
      </c>
      <c r="K103" s="4">
        <v>4872</v>
      </c>
      <c r="L103" s="4"/>
      <c r="M103" s="4"/>
      <c r="N103" s="4">
        <v>1890</v>
      </c>
    </row>
    <row r="104" spans="1:14" x14ac:dyDescent="0.35">
      <c r="A104" s="456" t="s">
        <v>65</v>
      </c>
      <c r="B104" s="456">
        <v>8044</v>
      </c>
      <c r="C104" s="5"/>
      <c r="D104" s="5"/>
      <c r="E104" s="5"/>
      <c r="F104" s="5"/>
      <c r="G104" s="5"/>
      <c r="H104" s="5"/>
      <c r="I104" s="5"/>
      <c r="J104" s="5">
        <v>3030</v>
      </c>
      <c r="K104" s="5">
        <v>5014</v>
      </c>
      <c r="L104" s="5"/>
      <c r="M104" s="5"/>
      <c r="N104" s="5"/>
    </row>
    <row r="105" spans="1:14" ht="14.25" x14ac:dyDescent="0.2">
      <c r="A105" s="456"/>
      <c r="B105" s="456"/>
      <c r="C105" s="4"/>
      <c r="D105" s="4"/>
      <c r="E105" s="4"/>
      <c r="F105" s="4"/>
      <c r="G105" s="4"/>
      <c r="H105" s="4"/>
      <c r="I105" s="4"/>
      <c r="J105" s="4">
        <v>3030</v>
      </c>
      <c r="K105" s="4">
        <v>5014</v>
      </c>
      <c r="L105" s="4"/>
      <c r="M105" s="4"/>
      <c r="N105" s="4"/>
    </row>
    <row r="106" spans="1:14" ht="14.25" x14ac:dyDescent="0.2">
      <c r="A106" s="456" t="s">
        <v>66</v>
      </c>
      <c r="B106" s="456">
        <v>9605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>
        <v>9605</v>
      </c>
    </row>
    <row r="107" spans="1:14" ht="14.25" x14ac:dyDescent="0.2">
      <c r="A107" s="456"/>
      <c r="B107" s="456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>
        <v>9605</v>
      </c>
    </row>
    <row r="108" spans="1:14" ht="14.25" x14ac:dyDescent="0.2">
      <c r="A108" s="456" t="s">
        <v>67</v>
      </c>
      <c r="B108" s="456">
        <v>21019</v>
      </c>
      <c r="C108" s="5"/>
      <c r="D108" s="5"/>
      <c r="E108" s="5"/>
      <c r="F108" s="5"/>
      <c r="G108" s="5"/>
      <c r="H108" s="5"/>
      <c r="I108" s="5"/>
      <c r="J108" s="5"/>
      <c r="K108" s="5"/>
      <c r="L108" s="5">
        <v>10000</v>
      </c>
      <c r="M108" s="5">
        <v>4837</v>
      </c>
      <c r="N108" s="5"/>
    </row>
    <row r="109" spans="1:14" ht="14.25" x14ac:dyDescent="0.2">
      <c r="A109" s="456"/>
      <c r="B109" s="456"/>
      <c r="C109" s="4"/>
      <c r="D109" s="4"/>
      <c r="E109" s="4"/>
      <c r="F109" s="4"/>
      <c r="G109" s="4"/>
      <c r="H109" s="4"/>
      <c r="I109" s="4"/>
      <c r="J109" s="4"/>
      <c r="K109" s="4"/>
      <c r="L109" s="4">
        <v>16168</v>
      </c>
      <c r="M109" s="4">
        <v>4837</v>
      </c>
      <c r="N109" s="4"/>
    </row>
    <row r="110" spans="1:14" ht="14.25" x14ac:dyDescent="0.2">
      <c r="A110" s="452" t="s">
        <v>68</v>
      </c>
      <c r="B110" s="452">
        <v>4161</v>
      </c>
      <c r="C110" s="5"/>
      <c r="D110" s="5"/>
      <c r="E110" s="5"/>
      <c r="F110" s="5"/>
      <c r="G110" s="5"/>
      <c r="H110" s="5"/>
      <c r="I110" s="5"/>
      <c r="J110" s="5"/>
      <c r="K110" s="5">
        <v>1675</v>
      </c>
      <c r="L110" s="5">
        <v>1336</v>
      </c>
      <c r="M110" s="5"/>
      <c r="N110" s="5">
        <v>1150</v>
      </c>
    </row>
    <row r="111" spans="1:14" ht="14.25" x14ac:dyDescent="0.2">
      <c r="A111" s="452"/>
      <c r="B111" s="452"/>
      <c r="C111" s="4"/>
      <c r="D111" s="4"/>
      <c r="E111" s="4"/>
      <c r="F111" s="4"/>
      <c r="G111" s="4"/>
      <c r="H111" s="4"/>
      <c r="I111" s="4"/>
      <c r="J111" s="4"/>
      <c r="K111" s="4">
        <v>1675</v>
      </c>
      <c r="L111" s="4">
        <v>1336</v>
      </c>
      <c r="M111" s="4"/>
      <c r="N111" s="4"/>
    </row>
    <row r="112" spans="1:14" ht="14.25" x14ac:dyDescent="0.2">
      <c r="A112" s="452" t="s">
        <v>69</v>
      </c>
      <c r="B112" s="452">
        <v>6170</v>
      </c>
      <c r="C112" s="5"/>
      <c r="D112" s="5"/>
      <c r="E112" s="5"/>
      <c r="F112" s="5"/>
      <c r="G112" s="5"/>
      <c r="H112" s="5"/>
      <c r="I112" s="5"/>
      <c r="J112" s="5">
        <v>2301</v>
      </c>
      <c r="K112" s="5">
        <v>3868</v>
      </c>
      <c r="L112" s="5"/>
      <c r="M112" s="5"/>
      <c r="N112" s="5"/>
    </row>
    <row r="113" spans="1:14" ht="14.25" x14ac:dyDescent="0.2">
      <c r="A113" s="452"/>
      <c r="B113" s="452"/>
      <c r="C113" s="4"/>
      <c r="D113" s="4"/>
      <c r="E113" s="4"/>
      <c r="F113" s="4"/>
      <c r="G113" s="4"/>
      <c r="H113" s="4"/>
      <c r="I113" s="4"/>
      <c r="J113" s="4">
        <v>2301</v>
      </c>
      <c r="K113" s="4">
        <v>3868</v>
      </c>
      <c r="L113" s="4"/>
      <c r="M113" s="4"/>
      <c r="N113" s="4"/>
    </row>
    <row r="114" spans="1:14" ht="14.25" x14ac:dyDescent="0.2">
      <c r="A114" s="454" t="s">
        <v>70</v>
      </c>
      <c r="B114" s="454">
        <v>18710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>
        <v>18710</v>
      </c>
    </row>
    <row r="115" spans="1:14" ht="14.25" x14ac:dyDescent="0.2">
      <c r="A115" s="454"/>
      <c r="B115" s="45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>
        <v>18710</v>
      </c>
    </row>
    <row r="116" spans="1:14" ht="14.25" x14ac:dyDescent="0.2">
      <c r="A116" s="457" t="s">
        <v>71</v>
      </c>
      <c r="B116" s="457">
        <v>30990</v>
      </c>
      <c r="C116" s="5"/>
      <c r="D116" s="5"/>
      <c r="E116" s="5"/>
      <c r="F116" s="5"/>
      <c r="G116" s="5"/>
      <c r="H116" s="5"/>
      <c r="I116" s="5"/>
      <c r="J116" s="5"/>
      <c r="K116" s="5">
        <v>8974</v>
      </c>
      <c r="L116" s="5">
        <v>22016</v>
      </c>
      <c r="M116" s="5"/>
      <c r="N116" s="5"/>
    </row>
    <row r="117" spans="1:14" ht="14.25" x14ac:dyDescent="0.2">
      <c r="A117" s="457"/>
      <c r="B117" s="457"/>
      <c r="C117" s="4"/>
      <c r="D117" s="4"/>
      <c r="E117" s="4"/>
      <c r="F117" s="4"/>
      <c r="G117" s="4"/>
      <c r="H117" s="4"/>
      <c r="I117" s="4"/>
      <c r="J117" s="4"/>
      <c r="K117" s="4">
        <v>8974</v>
      </c>
      <c r="L117" s="4">
        <v>22016</v>
      </c>
      <c r="M117" s="4"/>
      <c r="N117" s="4"/>
    </row>
    <row r="118" spans="1:14" ht="14.25" x14ac:dyDescent="0.2">
      <c r="A118" s="451" t="s">
        <v>72</v>
      </c>
      <c r="B118" s="451">
        <v>18826</v>
      </c>
      <c r="C118" s="5"/>
      <c r="D118" s="5"/>
      <c r="E118" s="5"/>
      <c r="F118" s="5"/>
      <c r="G118" s="5"/>
      <c r="H118" s="5"/>
      <c r="I118" s="5"/>
      <c r="J118" s="5"/>
      <c r="K118" s="5"/>
      <c r="L118" s="5">
        <v>18826</v>
      </c>
      <c r="M118" s="5"/>
      <c r="N118" s="5"/>
    </row>
    <row r="119" spans="1:14" ht="14.25" x14ac:dyDescent="0.2">
      <c r="A119" s="451"/>
      <c r="B119" s="451"/>
      <c r="C119" s="4"/>
      <c r="D119" s="4"/>
      <c r="E119" s="4"/>
      <c r="F119" s="4"/>
      <c r="G119" s="4"/>
      <c r="H119" s="4"/>
      <c r="I119" s="4"/>
      <c r="J119" s="4"/>
      <c r="K119" s="4"/>
      <c r="L119" s="4">
        <v>18826</v>
      </c>
      <c r="M119" s="4"/>
      <c r="N119" s="4"/>
    </row>
    <row r="120" spans="1:14" ht="14.25" x14ac:dyDescent="0.2">
      <c r="A120" s="458" t="s">
        <v>73</v>
      </c>
      <c r="B120" s="458">
        <v>3102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>
        <v>3102</v>
      </c>
      <c r="N120" s="5"/>
    </row>
    <row r="121" spans="1:14" ht="14.25" x14ac:dyDescent="0.2">
      <c r="A121" s="458"/>
      <c r="B121" s="45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>
        <v>3102</v>
      </c>
      <c r="N121" s="4"/>
    </row>
    <row r="122" spans="1:14" ht="14.25" x14ac:dyDescent="0.2">
      <c r="A122" s="455" t="s">
        <v>74</v>
      </c>
      <c r="B122" s="455">
        <v>1500</v>
      </c>
      <c r="C122" s="5"/>
      <c r="D122" s="5"/>
      <c r="E122" s="5"/>
      <c r="F122" s="5"/>
      <c r="G122" s="5"/>
      <c r="H122" s="5"/>
      <c r="I122" s="5"/>
      <c r="J122" s="5"/>
      <c r="K122" s="5"/>
      <c r="L122" s="5">
        <v>1500</v>
      </c>
      <c r="M122" s="5"/>
      <c r="N122" s="5"/>
    </row>
    <row r="123" spans="1:14" ht="14.25" x14ac:dyDescent="0.2">
      <c r="A123" s="455"/>
      <c r="B123" s="455"/>
      <c r="C123" s="4"/>
      <c r="D123" s="4"/>
      <c r="E123" s="4"/>
      <c r="F123" s="4"/>
      <c r="G123" s="4"/>
      <c r="H123" s="4"/>
      <c r="I123" s="4"/>
      <c r="J123" s="4"/>
      <c r="K123" s="4"/>
      <c r="L123" s="4">
        <v>1500</v>
      </c>
      <c r="M123" s="4"/>
      <c r="N123" s="4"/>
    </row>
    <row r="124" spans="1:14" ht="14.25" x14ac:dyDescent="0.2">
      <c r="A124" s="458" t="s">
        <v>75</v>
      </c>
      <c r="B124" s="458">
        <v>807</v>
      </c>
      <c r="C124" s="5"/>
      <c r="D124" s="5"/>
      <c r="E124" s="5"/>
      <c r="F124" s="5"/>
      <c r="G124" s="5"/>
      <c r="H124" s="5"/>
      <c r="I124" s="5"/>
      <c r="J124" s="5"/>
      <c r="K124" s="5">
        <v>807</v>
      </c>
      <c r="L124" s="5"/>
      <c r="M124" s="5"/>
      <c r="N124" s="5"/>
    </row>
    <row r="125" spans="1:14" ht="14.25" x14ac:dyDescent="0.2">
      <c r="A125" s="458"/>
      <c r="B125" s="458"/>
      <c r="C125" s="4"/>
      <c r="D125" s="4"/>
      <c r="E125" s="4"/>
      <c r="F125" s="4"/>
      <c r="G125" s="4"/>
      <c r="H125" s="4"/>
      <c r="I125" s="4"/>
      <c r="J125" s="4"/>
      <c r="K125" s="4">
        <v>807</v>
      </c>
      <c r="L125" s="4"/>
      <c r="M125" s="4"/>
      <c r="N125" s="4"/>
    </row>
    <row r="126" spans="1:14" ht="14.25" x14ac:dyDescent="0.2">
      <c r="A126" s="458" t="s">
        <v>76</v>
      </c>
      <c r="B126" s="458">
        <v>2399</v>
      </c>
      <c r="C126" s="5"/>
      <c r="D126" s="5"/>
      <c r="E126" s="5"/>
      <c r="F126" s="5"/>
      <c r="G126" s="5"/>
      <c r="H126" s="5"/>
      <c r="I126" s="5"/>
      <c r="J126" s="5"/>
      <c r="K126" s="5"/>
      <c r="L126" s="5">
        <v>2399</v>
      </c>
      <c r="M126" s="5"/>
      <c r="N126" s="5"/>
    </row>
    <row r="127" spans="1:14" ht="14.25" x14ac:dyDescent="0.2">
      <c r="A127" s="458"/>
      <c r="B127" s="458"/>
      <c r="C127" s="4"/>
      <c r="D127" s="4"/>
      <c r="E127" s="4"/>
      <c r="F127" s="4"/>
      <c r="G127" s="4"/>
      <c r="H127" s="4"/>
      <c r="I127" s="4"/>
      <c r="J127" s="4"/>
      <c r="K127" s="4"/>
      <c r="L127" s="4">
        <v>2399</v>
      </c>
      <c r="M127" s="4"/>
      <c r="N127" s="4"/>
    </row>
    <row r="128" spans="1:14" ht="14.25" x14ac:dyDescent="0.2">
      <c r="A128" s="455" t="s">
        <v>77</v>
      </c>
      <c r="B128" s="455">
        <v>12197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>
        <v>3942</v>
      </c>
      <c r="N128" s="5">
        <v>8255</v>
      </c>
    </row>
    <row r="129" spans="1:15" ht="14.25" x14ac:dyDescent="0.2">
      <c r="A129" s="455"/>
      <c r="B129" s="45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>
        <v>3942</v>
      </c>
      <c r="N129" s="4">
        <v>6773</v>
      </c>
    </row>
    <row r="130" spans="1:15" ht="14.25" x14ac:dyDescent="0.2">
      <c r="A130" s="456" t="s">
        <v>78</v>
      </c>
      <c r="B130" s="456">
        <v>3757</v>
      </c>
      <c r="C130" s="5"/>
      <c r="D130" s="5"/>
      <c r="E130" s="5"/>
      <c r="F130" s="5"/>
      <c r="G130" s="5"/>
      <c r="H130" s="5"/>
      <c r="I130" s="5"/>
      <c r="J130" s="5"/>
      <c r="K130" s="5">
        <v>1614</v>
      </c>
      <c r="L130" s="5"/>
      <c r="M130" s="5"/>
      <c r="N130" s="5">
        <v>2143</v>
      </c>
    </row>
    <row r="131" spans="1:15" ht="14.25" x14ac:dyDescent="0.2">
      <c r="A131" s="456"/>
      <c r="B131" s="456"/>
      <c r="C131" s="4"/>
      <c r="D131" s="4"/>
      <c r="E131" s="4"/>
      <c r="F131" s="4"/>
      <c r="G131" s="4"/>
      <c r="H131" s="4"/>
      <c r="I131" s="4"/>
      <c r="J131" s="4"/>
      <c r="K131" s="4">
        <v>1614</v>
      </c>
      <c r="L131" s="4"/>
      <c r="M131" s="4"/>
      <c r="N131" s="4">
        <v>2078</v>
      </c>
    </row>
    <row r="132" spans="1:15" ht="14.25" x14ac:dyDescent="0.2">
      <c r="A132" s="451" t="s">
        <v>79</v>
      </c>
      <c r="B132" s="451">
        <v>7757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>
        <v>7757</v>
      </c>
    </row>
    <row r="133" spans="1:15" ht="14.25" x14ac:dyDescent="0.2">
      <c r="A133" s="451"/>
      <c r="B133" s="45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>
        <v>7757</v>
      </c>
    </row>
    <row r="134" spans="1:15" ht="14.25" x14ac:dyDescent="0.2">
      <c r="A134" s="454" t="s">
        <v>80</v>
      </c>
      <c r="B134" s="454">
        <v>36550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>
        <v>12183</v>
      </c>
    </row>
    <row r="135" spans="1:15" ht="14.25" x14ac:dyDescent="0.2">
      <c r="A135" s="454"/>
      <c r="B135" s="45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>
        <v>11296</v>
      </c>
    </row>
    <row r="136" spans="1:15" ht="14.25" x14ac:dyDescent="0.2">
      <c r="A136" s="451" t="s">
        <v>81</v>
      </c>
      <c r="B136" s="451">
        <v>17434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>
        <v>6504</v>
      </c>
    </row>
    <row r="137" spans="1:15" ht="14.25" x14ac:dyDescent="0.2">
      <c r="A137" s="451"/>
      <c r="B137" s="45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>
        <v>6504</v>
      </c>
    </row>
    <row r="138" spans="1:15" ht="14.25" x14ac:dyDescent="0.2">
      <c r="A138" s="6" t="s">
        <v>82</v>
      </c>
      <c r="B138" s="7">
        <f>SUM(B2:B137)</f>
        <v>1003845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t="s">
        <v>83</v>
      </c>
    </row>
    <row r="139" spans="1:15" ht="15" x14ac:dyDescent="0.25">
      <c r="A139" s="459" t="s">
        <v>84</v>
      </c>
      <c r="B139" s="459"/>
      <c r="C139" s="8">
        <f t="shared" ref="C139:N139" si="0">C2+C4+C6+C8+C10+C12+C14+C16+C18+C20+C22+C24+C26+C28+C30+C32+C34+C36+C38+C40+C42+C44+C46+C48+C50+C52+C54+C56+C58+C60+C62+C64+C66+C68+C70+C72+C74+C76+C78+C80+C82+C84+C86+C88+C90+C92+C94+C96+C98+C100+C102+C104+C106+C108+C110+C112+C114+C116+C118+C120+C122+C124+C126+C128+C130+C132+C134+C136</f>
        <v>89629</v>
      </c>
      <c r="D139" s="8">
        <f t="shared" si="0"/>
        <v>102833</v>
      </c>
      <c r="E139" s="8">
        <f t="shared" si="0"/>
        <v>55037</v>
      </c>
      <c r="F139" s="8">
        <f t="shared" si="0"/>
        <v>66385</v>
      </c>
      <c r="G139" s="8">
        <f t="shared" si="0"/>
        <v>81849</v>
      </c>
      <c r="H139" s="8">
        <f t="shared" si="0"/>
        <v>57500</v>
      </c>
      <c r="I139" s="8">
        <f t="shared" si="0"/>
        <v>74470</v>
      </c>
      <c r="J139" s="8">
        <f t="shared" si="0"/>
        <v>42427</v>
      </c>
      <c r="K139" s="8">
        <f t="shared" si="0"/>
        <v>88049</v>
      </c>
      <c r="L139" s="8">
        <f t="shared" si="0"/>
        <v>89193</v>
      </c>
      <c r="M139" s="8">
        <f t="shared" si="0"/>
        <v>36552</v>
      </c>
      <c r="N139" s="8">
        <f t="shared" si="0"/>
        <v>126214</v>
      </c>
      <c r="O139" s="9">
        <f>SUM(C139:N139)</f>
        <v>910138</v>
      </c>
    </row>
    <row r="140" spans="1:15" ht="15" x14ac:dyDescent="0.25">
      <c r="A140" s="459" t="s">
        <v>85</v>
      </c>
      <c r="B140" s="459"/>
      <c r="C140" s="8">
        <f t="shared" ref="C140:N140" si="1">C3+C5+C7+C9+C11+C13+C15+C17+C19+C21+C23+C25+C27+C29+C31+C33+C35+C37+C39+C41+C43+C45+C47+C49+C51+C53+C55+C57+C59+C61+C63+C65+C67+C69+C71+C73+C75+C77+C79+C81+C83+C85+C87+C89+C91+C93+C95+C97+C99+C101+C103+C105+C107+C109+C111+C113+C115+C117+C119+C121+C123+C125+C127+C129+C131+C133+C135+C137</f>
        <v>80748</v>
      </c>
      <c r="D140" s="8">
        <f t="shared" si="1"/>
        <v>105668</v>
      </c>
      <c r="E140" s="8">
        <f t="shared" si="1"/>
        <v>52980</v>
      </c>
      <c r="F140" s="8">
        <f t="shared" si="1"/>
        <v>65898</v>
      </c>
      <c r="G140" s="8">
        <f t="shared" si="1"/>
        <v>79344</v>
      </c>
      <c r="H140" s="8">
        <f t="shared" si="1"/>
        <v>58174</v>
      </c>
      <c r="I140" s="8">
        <f t="shared" si="1"/>
        <v>69396</v>
      </c>
      <c r="J140" s="8">
        <f t="shared" si="1"/>
        <v>41603</v>
      </c>
      <c r="K140" s="8">
        <f t="shared" si="1"/>
        <v>77919</v>
      </c>
      <c r="L140" s="8">
        <f t="shared" si="1"/>
        <v>95364</v>
      </c>
      <c r="M140" s="8">
        <f t="shared" si="1"/>
        <v>36552</v>
      </c>
      <c r="N140" s="8">
        <f t="shared" si="1"/>
        <v>124693</v>
      </c>
      <c r="O140" s="9">
        <f>SUM(C140:N140)</f>
        <v>888339</v>
      </c>
    </row>
    <row r="141" spans="1:15" ht="15" x14ac:dyDescent="0.25">
      <c r="A141" s="449" t="s">
        <v>86</v>
      </c>
      <c r="B141" s="449"/>
      <c r="C141" s="8">
        <f>C140</f>
        <v>80748</v>
      </c>
      <c r="D141" s="8">
        <f>C140+D140</f>
        <v>186416</v>
      </c>
      <c r="E141" s="10">
        <f>C140+D140+E140</f>
        <v>239396</v>
      </c>
      <c r="F141" s="10">
        <f>C140+D140+E140+F140</f>
        <v>305294</v>
      </c>
      <c r="G141" s="10">
        <f>C140+D140+E140+F140+G140</f>
        <v>384638</v>
      </c>
      <c r="H141" s="10">
        <f>C140+D140+E140+F140+G140+H140</f>
        <v>442812</v>
      </c>
      <c r="I141" s="10">
        <f>C140+D140+E140+F140+G140+H140+I140</f>
        <v>512208</v>
      </c>
      <c r="J141" s="10">
        <f>C140+D140+E140+F140+G140+H140+I140+J140</f>
        <v>553811</v>
      </c>
      <c r="K141" s="10">
        <f>C140+D140+E140+F140+G140+H140+I140+J140+K140</f>
        <v>631730</v>
      </c>
      <c r="L141" s="10">
        <f>C140+D140+E140+F140+G140+H140+I140+J140+K140+L140</f>
        <v>727094</v>
      </c>
      <c r="M141" s="10">
        <f>C140+D140+E140+F140+G140+H140+I140+J140+K140+L140+M140</f>
        <v>763646</v>
      </c>
      <c r="N141" s="10">
        <f>C140+D140+E140+F140+G140+H140+I140+J140+K140+L140+M140+N140</f>
        <v>888339</v>
      </c>
    </row>
    <row r="142" spans="1:15" ht="15" x14ac:dyDescent="0.25">
      <c r="B142" s="1"/>
      <c r="C142" s="11" t="s">
        <v>87</v>
      </c>
      <c r="D142" s="12">
        <f>O139</f>
        <v>910138</v>
      </c>
    </row>
    <row r="143" spans="1:15" ht="15" x14ac:dyDescent="0.25">
      <c r="B143" s="1"/>
      <c r="C143" s="11" t="s">
        <v>88</v>
      </c>
      <c r="D143" s="12">
        <f>O140</f>
        <v>888339</v>
      </c>
    </row>
    <row r="155" spans="1:14" ht="15" x14ac:dyDescent="0.25">
      <c r="A155" t="s">
        <v>86</v>
      </c>
      <c r="B155" t="s">
        <v>89</v>
      </c>
      <c r="C155" s="10">
        <f>'2013-14'!C116</f>
        <v>92000</v>
      </c>
      <c r="D155" s="10">
        <f>'2013-14'!D116</f>
        <v>184566</v>
      </c>
      <c r="E155" s="10">
        <f>'2013-14'!E116</f>
        <v>289748</v>
      </c>
      <c r="F155" s="10">
        <f>'2013-14'!F116</f>
        <v>355993</v>
      </c>
      <c r="G155" s="10">
        <f>'2013-14'!G116</f>
        <v>407786</v>
      </c>
      <c r="H155" s="10">
        <f>'2013-14'!H116</f>
        <v>450081</v>
      </c>
      <c r="I155" s="10">
        <f>'2013-14'!I116</f>
        <v>528864</v>
      </c>
      <c r="J155" s="10">
        <f>'2013-14'!J116</f>
        <v>597205</v>
      </c>
      <c r="K155" s="10">
        <f>'2013-14'!K116</f>
        <v>672162</v>
      </c>
      <c r="L155" s="10">
        <f>'2013-14'!L116</f>
        <v>747426</v>
      </c>
      <c r="M155" s="10">
        <f>'2013-14'!M116</f>
        <v>788603</v>
      </c>
      <c r="N155" s="10">
        <f>'2013-14'!N116</f>
        <v>858810</v>
      </c>
    </row>
    <row r="156" spans="1:14" ht="14.25" x14ac:dyDescent="0.2">
      <c r="A156" t="s">
        <v>86</v>
      </c>
      <c r="B156" t="s">
        <v>90</v>
      </c>
      <c r="C156">
        <f t="shared" ref="C156:N156" si="2">C141</f>
        <v>80748</v>
      </c>
      <c r="D156">
        <f t="shared" si="2"/>
        <v>186416</v>
      </c>
      <c r="E156">
        <f t="shared" si="2"/>
        <v>239396</v>
      </c>
      <c r="F156">
        <f t="shared" si="2"/>
        <v>305294</v>
      </c>
      <c r="G156">
        <f t="shared" si="2"/>
        <v>384638</v>
      </c>
      <c r="H156">
        <f t="shared" si="2"/>
        <v>442812</v>
      </c>
      <c r="I156">
        <f t="shared" si="2"/>
        <v>512208</v>
      </c>
      <c r="J156">
        <f t="shared" si="2"/>
        <v>553811</v>
      </c>
      <c r="K156">
        <f t="shared" si="2"/>
        <v>631730</v>
      </c>
      <c r="L156">
        <f t="shared" si="2"/>
        <v>727094</v>
      </c>
      <c r="M156">
        <f t="shared" si="2"/>
        <v>763646</v>
      </c>
      <c r="N156">
        <f t="shared" si="2"/>
        <v>888339</v>
      </c>
    </row>
    <row r="157" spans="1:14" ht="14.25" x14ac:dyDescent="0.2">
      <c r="C157" s="13">
        <f t="shared" ref="C157:N157" si="3">(C156-C155)/C155</f>
        <v>-0.12230434782608696</v>
      </c>
      <c r="D157" s="13">
        <f t="shared" si="3"/>
        <v>1.0023514623495119E-2</v>
      </c>
      <c r="E157" s="13">
        <f t="shared" si="3"/>
        <v>-0.17377859381255437</v>
      </c>
      <c r="F157" s="13">
        <f t="shared" si="3"/>
        <v>-0.14241572165744831</v>
      </c>
      <c r="G157" s="13">
        <f t="shared" si="3"/>
        <v>-5.6765067952308318E-2</v>
      </c>
      <c r="H157" s="13">
        <f t="shared" si="3"/>
        <v>-1.6150426256607144E-2</v>
      </c>
      <c r="I157" s="13">
        <f t="shared" si="3"/>
        <v>-3.1493919041568341E-2</v>
      </c>
      <c r="J157" s="13">
        <f t="shared" si="3"/>
        <v>-7.2661816294237319E-2</v>
      </c>
      <c r="K157" s="13">
        <f t="shared" si="3"/>
        <v>-6.0152165698150149E-2</v>
      </c>
      <c r="L157" s="13">
        <f t="shared" si="3"/>
        <v>-2.7202692975625681E-2</v>
      </c>
      <c r="M157" s="13">
        <f t="shared" si="3"/>
        <v>-3.1647102534481865E-2</v>
      </c>
      <c r="N157" s="13">
        <f t="shared" si="3"/>
        <v>3.4383623851608619E-2</v>
      </c>
    </row>
  </sheetData>
  <mergeCells count="139">
    <mergeCell ref="A141:B141"/>
    <mergeCell ref="A134:A135"/>
    <mergeCell ref="B134:B135"/>
    <mergeCell ref="A136:A137"/>
    <mergeCell ref="B136:B137"/>
    <mergeCell ref="A139:B139"/>
    <mergeCell ref="A140:B140"/>
    <mergeCell ref="A128:A129"/>
    <mergeCell ref="B128:B129"/>
    <mergeCell ref="A130:A131"/>
    <mergeCell ref="B130:B131"/>
    <mergeCell ref="A132:A133"/>
    <mergeCell ref="B132:B133"/>
    <mergeCell ref="A122:A123"/>
    <mergeCell ref="B122:B123"/>
    <mergeCell ref="A124:A125"/>
    <mergeCell ref="B124:B125"/>
    <mergeCell ref="A126:A127"/>
    <mergeCell ref="B126:B127"/>
    <mergeCell ref="A116:A117"/>
    <mergeCell ref="B116:B117"/>
    <mergeCell ref="A118:A119"/>
    <mergeCell ref="B118:B119"/>
    <mergeCell ref="A120:A121"/>
    <mergeCell ref="B120:B121"/>
    <mergeCell ref="A110:A111"/>
    <mergeCell ref="B110:B111"/>
    <mergeCell ref="A112:A113"/>
    <mergeCell ref="B112:B113"/>
    <mergeCell ref="A114:A115"/>
    <mergeCell ref="B114:B115"/>
    <mergeCell ref="A104:A105"/>
    <mergeCell ref="B104:B105"/>
    <mergeCell ref="A106:A107"/>
    <mergeCell ref="B106:B107"/>
    <mergeCell ref="A108:A109"/>
    <mergeCell ref="B108:B109"/>
    <mergeCell ref="A98:A99"/>
    <mergeCell ref="B98:B99"/>
    <mergeCell ref="A100:A101"/>
    <mergeCell ref="B100:B101"/>
    <mergeCell ref="A102:A103"/>
    <mergeCell ref="B102:B103"/>
    <mergeCell ref="A92:A93"/>
    <mergeCell ref="B92:B93"/>
    <mergeCell ref="A94:A95"/>
    <mergeCell ref="B94:B95"/>
    <mergeCell ref="A96:A97"/>
    <mergeCell ref="B96:B97"/>
    <mergeCell ref="A86:A87"/>
    <mergeCell ref="B86:B87"/>
    <mergeCell ref="A88:A89"/>
    <mergeCell ref="B88:B89"/>
    <mergeCell ref="A90:A91"/>
    <mergeCell ref="B90:B91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8:A69"/>
    <mergeCell ref="B68:B69"/>
    <mergeCell ref="A70:A71"/>
    <mergeCell ref="B70:B71"/>
    <mergeCell ref="A72:A73"/>
    <mergeCell ref="B72:B73"/>
    <mergeCell ref="A62:A63"/>
    <mergeCell ref="B62:B63"/>
    <mergeCell ref="A64:A65"/>
    <mergeCell ref="B64:B65"/>
    <mergeCell ref="A66:A67"/>
    <mergeCell ref="B66:B67"/>
    <mergeCell ref="A56:A57"/>
    <mergeCell ref="B56:B57"/>
    <mergeCell ref="A58:A59"/>
    <mergeCell ref="B58:B59"/>
    <mergeCell ref="A60:A61"/>
    <mergeCell ref="B60:B6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8:A19"/>
    <mergeCell ref="B18:B19"/>
    <mergeCell ref="A8:A9"/>
    <mergeCell ref="B8:B9"/>
    <mergeCell ref="A10:A11"/>
    <mergeCell ref="B10:B11"/>
    <mergeCell ref="A12:A13"/>
    <mergeCell ref="B12:B13"/>
    <mergeCell ref="A26:A27"/>
    <mergeCell ref="B26:B27"/>
    <mergeCell ref="A2:A3"/>
    <mergeCell ref="B2:B3"/>
    <mergeCell ref="A4:A5"/>
    <mergeCell ref="B4:B5"/>
    <mergeCell ref="A6:A7"/>
    <mergeCell ref="B6:B7"/>
    <mergeCell ref="A14:A15"/>
    <mergeCell ref="B14:B15"/>
    <mergeCell ref="A16:A17"/>
    <mergeCell ref="B16:B17"/>
  </mergeCells>
  <pageMargins left="0" right="0" top="0.39370078740157505" bottom="0.39370078740157505" header="0" footer="0"/>
  <pageSetup paperSize="0" scale="65" fitToWidth="0" fitToHeight="0" orientation="portrait" horizontalDpi="0" verticalDpi="0" copies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0"/>
  <sheetViews>
    <sheetView zoomScaleNormal="100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B81" sqref="B81"/>
    </sheetView>
  </sheetViews>
  <sheetFormatPr baseColWidth="10" defaultRowHeight="13.5" x14ac:dyDescent="0.35"/>
  <cols>
    <col min="1" max="1" width="23.125" customWidth="1"/>
    <col min="2" max="2" width="10.625" customWidth="1"/>
    <col min="3" max="26" width="9.625" customWidth="1"/>
  </cols>
  <sheetData>
    <row r="1" spans="1:27" x14ac:dyDescent="0.35">
      <c r="A1" s="36"/>
      <c r="B1" s="37"/>
      <c r="C1" s="440" t="s">
        <v>142</v>
      </c>
      <c r="D1" s="460"/>
      <c r="E1" s="440" t="s">
        <v>143</v>
      </c>
      <c r="F1" s="460"/>
      <c r="G1" s="461" t="s">
        <v>144</v>
      </c>
      <c r="H1" s="461"/>
      <c r="I1" s="440" t="s">
        <v>138</v>
      </c>
      <c r="J1" s="460"/>
      <c r="K1" s="461" t="s">
        <v>139</v>
      </c>
      <c r="L1" s="461"/>
      <c r="M1" s="440" t="s">
        <v>140</v>
      </c>
      <c r="N1" s="460"/>
      <c r="O1" s="461" t="s">
        <v>141</v>
      </c>
      <c r="P1" s="461"/>
      <c r="Q1" s="440" t="s">
        <v>145</v>
      </c>
      <c r="R1" s="460"/>
      <c r="S1" s="461" t="s">
        <v>146</v>
      </c>
      <c r="T1" s="461"/>
      <c r="U1" s="440" t="s">
        <v>147</v>
      </c>
      <c r="V1" s="460"/>
      <c r="W1" s="461" t="s">
        <v>148</v>
      </c>
      <c r="X1" s="461"/>
      <c r="Y1" s="440" t="s">
        <v>149</v>
      </c>
      <c r="Z1" s="460"/>
    </row>
    <row r="2" spans="1:27" ht="15" x14ac:dyDescent="0.4">
      <c r="A2" s="38" t="s">
        <v>137</v>
      </c>
      <c r="B2" s="35" t="s">
        <v>152</v>
      </c>
      <c r="C2" s="33" t="s">
        <v>150</v>
      </c>
      <c r="D2" s="31" t="s">
        <v>151</v>
      </c>
      <c r="E2" s="33" t="s">
        <v>150</v>
      </c>
      <c r="F2" s="16" t="s">
        <v>151</v>
      </c>
      <c r="G2" s="34" t="s">
        <v>150</v>
      </c>
      <c r="H2" s="14" t="s">
        <v>151</v>
      </c>
      <c r="I2" s="33" t="s">
        <v>150</v>
      </c>
      <c r="J2" s="16" t="s">
        <v>151</v>
      </c>
      <c r="K2" s="34" t="s">
        <v>150</v>
      </c>
      <c r="L2" s="14" t="s">
        <v>151</v>
      </c>
      <c r="M2" s="33" t="s">
        <v>150</v>
      </c>
      <c r="N2" s="16" t="s">
        <v>151</v>
      </c>
      <c r="O2" s="34" t="s">
        <v>150</v>
      </c>
      <c r="P2" s="14" t="s">
        <v>151</v>
      </c>
      <c r="Q2" s="33" t="s">
        <v>150</v>
      </c>
      <c r="R2" s="16" t="s">
        <v>151</v>
      </c>
      <c r="S2" s="34" t="s">
        <v>150</v>
      </c>
      <c r="T2" s="14" t="s">
        <v>151</v>
      </c>
      <c r="U2" s="33" t="s">
        <v>150</v>
      </c>
      <c r="V2" s="16" t="s">
        <v>151</v>
      </c>
      <c r="W2" s="34" t="s">
        <v>150</v>
      </c>
      <c r="X2" s="14" t="s">
        <v>151</v>
      </c>
      <c r="Y2" s="33" t="s">
        <v>150</v>
      </c>
      <c r="Z2" s="16" t="s">
        <v>151</v>
      </c>
    </row>
    <row r="3" spans="1:27" x14ac:dyDescent="0.35">
      <c r="A3" s="36" t="s">
        <v>161</v>
      </c>
      <c r="B3" s="44">
        <v>5199</v>
      </c>
      <c r="C3" s="45">
        <v>1848</v>
      </c>
      <c r="D3" s="46">
        <v>1848</v>
      </c>
      <c r="E3" s="45">
        <v>148</v>
      </c>
      <c r="F3" s="46">
        <v>148</v>
      </c>
      <c r="G3" s="47">
        <v>1642</v>
      </c>
      <c r="H3" s="47">
        <v>1287</v>
      </c>
      <c r="I3" s="45">
        <v>619</v>
      </c>
      <c r="J3" s="46">
        <v>1297</v>
      </c>
      <c r="K3" s="47">
        <v>619</v>
      </c>
      <c r="L3" s="47">
        <v>619</v>
      </c>
      <c r="M3" s="45">
        <v>1329</v>
      </c>
      <c r="N3" s="46">
        <v>1329</v>
      </c>
      <c r="O3" s="47"/>
      <c r="P3" s="47"/>
      <c r="Q3" s="45"/>
      <c r="R3" s="46"/>
      <c r="S3" s="47">
        <v>378</v>
      </c>
      <c r="T3" s="47">
        <v>378</v>
      </c>
      <c r="U3" s="45"/>
      <c r="V3" s="46"/>
      <c r="W3" s="47"/>
      <c r="X3" s="47"/>
      <c r="Y3" s="45">
        <v>1218</v>
      </c>
      <c r="Z3" s="46">
        <v>1218</v>
      </c>
      <c r="AA3" s="48"/>
    </row>
    <row r="4" spans="1:27" x14ac:dyDescent="0.35">
      <c r="A4" s="40" t="s">
        <v>162</v>
      </c>
      <c r="B4" s="49">
        <v>1150</v>
      </c>
      <c r="C4" s="50"/>
      <c r="D4" s="51"/>
      <c r="E4" s="50"/>
      <c r="F4" s="51"/>
      <c r="G4" s="48"/>
      <c r="H4" s="48"/>
      <c r="I4" s="50"/>
      <c r="J4" s="51"/>
      <c r="K4" s="48"/>
      <c r="L4" s="48"/>
      <c r="M4" s="50"/>
      <c r="N4" s="51"/>
      <c r="O4" s="48"/>
      <c r="P4" s="48"/>
      <c r="Q4" s="50"/>
      <c r="R4" s="51"/>
      <c r="S4" s="48"/>
      <c r="T4" s="48"/>
      <c r="U4" s="50"/>
      <c r="V4" s="51"/>
      <c r="W4" s="48"/>
      <c r="X4" s="48"/>
      <c r="Y4" s="50"/>
      <c r="Z4" s="51"/>
      <c r="AA4" s="48"/>
    </row>
    <row r="5" spans="1:27" x14ac:dyDescent="0.35">
      <c r="A5" s="41" t="s">
        <v>163</v>
      </c>
      <c r="B5" s="49">
        <v>8434</v>
      </c>
      <c r="C5" s="50"/>
      <c r="D5" s="51"/>
      <c r="E5" s="50"/>
      <c r="F5" s="51"/>
      <c r="G5" s="48">
        <v>5980</v>
      </c>
      <c r="H5" s="48">
        <v>5980</v>
      </c>
      <c r="I5" s="50"/>
      <c r="J5" s="51"/>
      <c r="K5" s="48">
        <v>4780</v>
      </c>
      <c r="L5" s="48">
        <v>4780</v>
      </c>
      <c r="M5" s="50"/>
      <c r="N5" s="51"/>
      <c r="O5" s="48"/>
      <c r="P5" s="48"/>
      <c r="Q5" s="50"/>
      <c r="R5" s="51"/>
      <c r="S5" s="48"/>
      <c r="T5" s="48"/>
      <c r="U5" s="50"/>
      <c r="V5" s="51"/>
      <c r="W5" s="48"/>
      <c r="X5" s="48"/>
      <c r="Y5" s="50"/>
      <c r="Z5" s="51"/>
      <c r="AA5" s="48"/>
    </row>
    <row r="6" spans="1:27" x14ac:dyDescent="0.35">
      <c r="A6" s="41" t="s">
        <v>164</v>
      </c>
      <c r="B6" s="49">
        <v>56714</v>
      </c>
      <c r="C6" s="50">
        <v>20000</v>
      </c>
      <c r="D6" s="51">
        <v>19302</v>
      </c>
      <c r="E6" s="50">
        <v>15000</v>
      </c>
      <c r="F6" s="51">
        <v>30798</v>
      </c>
      <c r="G6" s="48">
        <v>3643</v>
      </c>
      <c r="H6" s="48">
        <v>2080</v>
      </c>
      <c r="I6" s="50"/>
      <c r="J6" s="51"/>
      <c r="K6" s="48">
        <v>2608</v>
      </c>
      <c r="L6" s="48">
        <v>2608</v>
      </c>
      <c r="M6" s="50"/>
      <c r="N6" s="51"/>
      <c r="O6" s="48"/>
      <c r="P6" s="48"/>
      <c r="Q6" s="50"/>
      <c r="R6" s="51"/>
      <c r="S6" s="48"/>
      <c r="T6" s="48"/>
      <c r="U6" s="50"/>
      <c r="V6" s="51"/>
      <c r="W6" s="48"/>
      <c r="X6" s="48"/>
      <c r="Y6" s="50"/>
      <c r="Z6" s="51"/>
      <c r="AA6" s="48"/>
    </row>
    <row r="7" spans="1:27" x14ac:dyDescent="0.35">
      <c r="A7" s="41" t="s">
        <v>165</v>
      </c>
      <c r="B7" s="49">
        <v>39190</v>
      </c>
      <c r="C7" s="50"/>
      <c r="D7" s="51"/>
      <c r="E7" s="50"/>
      <c r="F7" s="51"/>
      <c r="G7" s="48">
        <v>14257</v>
      </c>
      <c r="H7" s="48">
        <v>14257</v>
      </c>
      <c r="I7" s="50">
        <v>15661</v>
      </c>
      <c r="J7" s="51">
        <v>15661</v>
      </c>
      <c r="K7" s="48">
        <v>1920</v>
      </c>
      <c r="L7" s="48">
        <v>1920</v>
      </c>
      <c r="M7" s="50"/>
      <c r="N7" s="51"/>
      <c r="O7" s="48"/>
      <c r="P7" s="48"/>
      <c r="Q7" s="50">
        <v>9272</v>
      </c>
      <c r="R7" s="51">
        <v>8693</v>
      </c>
      <c r="S7" s="48"/>
      <c r="T7" s="48"/>
      <c r="U7" s="50"/>
      <c r="V7" s="51"/>
      <c r="W7" s="48"/>
      <c r="X7" s="48"/>
      <c r="Y7" s="50"/>
      <c r="Z7" s="51"/>
      <c r="AA7" s="48"/>
    </row>
    <row r="8" spans="1:27" x14ac:dyDescent="0.35">
      <c r="A8" s="41" t="s">
        <v>166</v>
      </c>
      <c r="B8" s="49">
        <v>1400</v>
      </c>
      <c r="C8" s="50">
        <v>1400</v>
      </c>
      <c r="D8" s="51">
        <v>1481</v>
      </c>
      <c r="E8" s="50"/>
      <c r="F8" s="51"/>
      <c r="G8" s="48"/>
      <c r="H8" s="48"/>
      <c r="I8" s="50"/>
      <c r="J8" s="51"/>
      <c r="K8" s="48"/>
      <c r="L8" s="48"/>
      <c r="M8" s="50"/>
      <c r="N8" s="51"/>
      <c r="O8" s="48"/>
      <c r="P8" s="48"/>
      <c r="Q8" s="50"/>
      <c r="R8" s="51"/>
      <c r="S8" s="48"/>
      <c r="T8" s="48"/>
      <c r="U8" s="50"/>
      <c r="V8" s="51"/>
      <c r="W8" s="48"/>
      <c r="X8" s="48"/>
      <c r="Y8" s="50"/>
      <c r="Z8" s="51"/>
      <c r="AA8" s="48"/>
    </row>
    <row r="9" spans="1:27" x14ac:dyDescent="0.35">
      <c r="A9" s="42" t="s">
        <v>167</v>
      </c>
      <c r="B9" s="49">
        <v>25254</v>
      </c>
      <c r="C9" s="50"/>
      <c r="D9" s="51"/>
      <c r="E9" s="50">
        <v>25254</v>
      </c>
      <c r="F9" s="51">
        <v>25254</v>
      </c>
      <c r="G9" s="48"/>
      <c r="H9" s="48"/>
      <c r="I9" s="50"/>
      <c r="J9" s="51"/>
      <c r="K9" s="48"/>
      <c r="L9" s="48"/>
      <c r="M9" s="50"/>
      <c r="N9" s="51"/>
      <c r="O9" s="48"/>
      <c r="P9" s="48"/>
      <c r="Q9" s="50"/>
      <c r="R9" s="51"/>
      <c r="S9" s="48"/>
      <c r="T9" s="48"/>
      <c r="U9" s="50"/>
      <c r="V9" s="51"/>
      <c r="W9" s="48"/>
      <c r="X9" s="48"/>
      <c r="Y9" s="50"/>
      <c r="Z9" s="51"/>
      <c r="AA9" s="48"/>
    </row>
    <row r="10" spans="1:27" x14ac:dyDescent="0.35">
      <c r="A10" s="41" t="s">
        <v>168</v>
      </c>
      <c r="B10" s="49">
        <v>20556</v>
      </c>
      <c r="C10" s="50"/>
      <c r="D10" s="51"/>
      <c r="E10" s="50"/>
      <c r="F10" s="51"/>
      <c r="G10" s="48">
        <v>7488</v>
      </c>
      <c r="H10" s="48">
        <v>7488</v>
      </c>
      <c r="I10" s="50"/>
      <c r="J10" s="51"/>
      <c r="K10" s="48">
        <v>6050</v>
      </c>
      <c r="L10" s="48">
        <v>6050</v>
      </c>
      <c r="M10" s="50">
        <v>7018</v>
      </c>
      <c r="N10" s="51">
        <v>6062</v>
      </c>
      <c r="O10" s="48"/>
      <c r="P10" s="48"/>
      <c r="Q10" s="50"/>
      <c r="R10" s="51"/>
      <c r="S10" s="48"/>
      <c r="T10" s="48"/>
      <c r="U10" s="50"/>
      <c r="V10" s="51"/>
      <c r="W10" s="48"/>
      <c r="X10" s="48"/>
      <c r="Y10" s="50"/>
      <c r="Z10" s="51"/>
      <c r="AA10" s="48"/>
    </row>
    <row r="11" spans="1:27" x14ac:dyDescent="0.35">
      <c r="A11" s="41" t="s">
        <v>169</v>
      </c>
      <c r="B11" s="49">
        <v>15550</v>
      </c>
      <c r="C11" s="50">
        <v>5000</v>
      </c>
      <c r="D11" s="51">
        <v>5296</v>
      </c>
      <c r="E11" s="50"/>
      <c r="F11" s="51"/>
      <c r="G11" s="48">
        <v>5000</v>
      </c>
      <c r="H11" s="48">
        <v>9024</v>
      </c>
      <c r="I11" s="50">
        <v>5550</v>
      </c>
      <c r="J11" s="51">
        <v>1178</v>
      </c>
      <c r="K11" s="48"/>
      <c r="L11" s="48"/>
      <c r="M11" s="50"/>
      <c r="N11" s="51"/>
      <c r="O11" s="48"/>
      <c r="P11" s="48"/>
      <c r="Q11" s="50"/>
      <c r="R11" s="51"/>
      <c r="S11" s="48"/>
      <c r="T11" s="48"/>
      <c r="U11" s="50"/>
      <c r="V11" s="51"/>
      <c r="W11" s="48"/>
      <c r="X11" s="48"/>
      <c r="Y11" s="50"/>
      <c r="Z11" s="51"/>
      <c r="AA11" s="48"/>
    </row>
    <row r="12" spans="1:27" x14ac:dyDescent="0.35">
      <c r="A12" s="41" t="s">
        <v>170</v>
      </c>
      <c r="B12" s="49">
        <v>27006</v>
      </c>
      <c r="C12" s="64"/>
      <c r="D12" s="65"/>
      <c r="E12" s="50"/>
      <c r="F12" s="51"/>
      <c r="G12" s="50">
        <v>8246</v>
      </c>
      <c r="H12" s="51">
        <v>8246</v>
      </c>
      <c r="I12" s="50">
        <v>6693</v>
      </c>
      <c r="J12" s="51">
        <v>6693</v>
      </c>
      <c r="K12" s="50">
        <v>9566</v>
      </c>
      <c r="L12" s="51">
        <v>9566</v>
      </c>
      <c r="M12" s="50"/>
      <c r="N12" s="51"/>
      <c r="O12" s="50"/>
      <c r="P12" s="51"/>
      <c r="Q12" s="50"/>
      <c r="R12" s="51"/>
      <c r="S12" s="50"/>
      <c r="T12" s="51"/>
      <c r="U12" s="50"/>
      <c r="V12" s="51"/>
      <c r="W12" s="50"/>
      <c r="X12" s="51"/>
      <c r="Y12" s="50"/>
      <c r="Z12" s="51"/>
      <c r="AA12" s="48"/>
    </row>
    <row r="13" spans="1:27" x14ac:dyDescent="0.35">
      <c r="A13" s="41" t="s">
        <v>171</v>
      </c>
      <c r="B13" s="49">
        <v>68041</v>
      </c>
      <c r="C13" s="50"/>
      <c r="D13" s="51"/>
      <c r="E13" s="50">
        <v>9261</v>
      </c>
      <c r="F13" s="51">
        <v>9261</v>
      </c>
      <c r="G13" s="48"/>
      <c r="H13" s="48"/>
      <c r="I13" s="50"/>
      <c r="J13" s="51"/>
      <c r="K13" s="48">
        <v>22548</v>
      </c>
      <c r="L13" s="48">
        <v>22548</v>
      </c>
      <c r="M13" s="50">
        <v>20466</v>
      </c>
      <c r="N13" s="51">
        <v>20466</v>
      </c>
      <c r="O13" s="48">
        <v>15766</v>
      </c>
      <c r="P13" s="48">
        <v>15766</v>
      </c>
      <c r="Q13" s="50"/>
      <c r="R13" s="51"/>
      <c r="S13" s="48"/>
      <c r="T13" s="48"/>
      <c r="U13" s="50"/>
      <c r="V13" s="51"/>
      <c r="W13" s="48"/>
      <c r="X13" s="48"/>
      <c r="Y13" s="50"/>
      <c r="Z13" s="51"/>
      <c r="AA13" s="48"/>
    </row>
    <row r="14" spans="1:27" x14ac:dyDescent="0.35">
      <c r="A14" s="41" t="s">
        <v>172</v>
      </c>
      <c r="B14" s="49">
        <v>21439</v>
      </c>
      <c r="C14" s="50"/>
      <c r="D14" s="51"/>
      <c r="E14" s="50">
        <v>5221</v>
      </c>
      <c r="F14" s="51">
        <v>5221</v>
      </c>
      <c r="G14" s="48"/>
      <c r="H14" s="48"/>
      <c r="I14" s="50">
        <v>1755</v>
      </c>
      <c r="J14" s="51">
        <v>1755</v>
      </c>
      <c r="K14" s="48">
        <v>11478</v>
      </c>
      <c r="L14" s="48">
        <v>11478</v>
      </c>
      <c r="M14" s="50">
        <v>2985</v>
      </c>
      <c r="N14" s="51">
        <v>3120</v>
      </c>
      <c r="O14" s="48"/>
      <c r="P14" s="48"/>
      <c r="Q14" s="50"/>
      <c r="R14" s="51"/>
      <c r="S14" s="48"/>
      <c r="T14" s="48"/>
      <c r="U14" s="50"/>
      <c r="V14" s="51"/>
      <c r="W14" s="48"/>
      <c r="X14" s="48"/>
      <c r="Y14" s="50"/>
      <c r="Z14" s="51"/>
      <c r="AA14" s="48"/>
    </row>
    <row r="15" spans="1:27" x14ac:dyDescent="0.35">
      <c r="A15" s="42" t="s">
        <v>173</v>
      </c>
      <c r="B15" s="49">
        <v>12722</v>
      </c>
      <c r="C15" s="50"/>
      <c r="D15" s="51"/>
      <c r="E15" s="50">
        <v>3885</v>
      </c>
      <c r="F15" s="51">
        <v>3885</v>
      </c>
      <c r="G15" s="48">
        <v>8837</v>
      </c>
      <c r="H15" s="48">
        <v>8837</v>
      </c>
      <c r="I15" s="50"/>
      <c r="J15" s="51"/>
      <c r="K15" s="48"/>
      <c r="L15" s="48"/>
      <c r="M15" s="50"/>
      <c r="N15" s="51"/>
      <c r="O15" s="48"/>
      <c r="P15" s="48"/>
      <c r="Q15" s="50"/>
      <c r="R15" s="51"/>
      <c r="S15" s="48"/>
      <c r="T15" s="48"/>
      <c r="U15" s="50"/>
      <c r="V15" s="51"/>
      <c r="W15" s="48"/>
      <c r="X15" s="48"/>
      <c r="Y15" s="50"/>
      <c r="Z15" s="51"/>
      <c r="AA15" s="48"/>
    </row>
    <row r="16" spans="1:27" x14ac:dyDescent="0.35">
      <c r="A16" s="41" t="s">
        <v>174</v>
      </c>
      <c r="B16" s="49">
        <v>11800</v>
      </c>
      <c r="C16" s="50">
        <v>5000</v>
      </c>
      <c r="D16" s="51">
        <v>3540</v>
      </c>
      <c r="E16" s="50"/>
      <c r="F16" s="51"/>
      <c r="G16" s="48">
        <v>6800</v>
      </c>
      <c r="H16" s="48">
        <v>6800</v>
      </c>
      <c r="I16" s="50"/>
      <c r="J16" s="51"/>
      <c r="K16" s="48"/>
      <c r="L16" s="48"/>
      <c r="M16" s="50"/>
      <c r="N16" s="51"/>
      <c r="O16" s="48"/>
      <c r="P16" s="48"/>
      <c r="Q16" s="50"/>
      <c r="R16" s="51"/>
      <c r="S16" s="48"/>
      <c r="T16" s="48"/>
      <c r="U16" s="50"/>
      <c r="V16" s="51"/>
      <c r="W16" s="48"/>
      <c r="X16" s="48"/>
      <c r="Y16" s="50"/>
      <c r="Z16" s="51"/>
      <c r="AA16" s="48"/>
    </row>
    <row r="17" spans="1:27" x14ac:dyDescent="0.35">
      <c r="A17" s="43" t="s">
        <v>175</v>
      </c>
      <c r="B17" s="49">
        <v>14194</v>
      </c>
      <c r="C17" s="50"/>
      <c r="D17" s="51"/>
      <c r="E17" s="50"/>
      <c r="F17" s="51"/>
      <c r="G17" s="48"/>
      <c r="H17" s="48"/>
      <c r="I17" s="50"/>
      <c r="J17" s="51"/>
      <c r="K17" s="48"/>
      <c r="L17" s="48"/>
      <c r="M17" s="50"/>
      <c r="N17" s="51"/>
      <c r="O17" s="48"/>
      <c r="P17" s="48"/>
      <c r="Q17" s="50"/>
      <c r="R17" s="51"/>
      <c r="S17" s="48">
        <v>4864</v>
      </c>
      <c r="T17" s="48">
        <v>4864</v>
      </c>
      <c r="U17" s="50"/>
      <c r="V17" s="51"/>
      <c r="W17" s="48"/>
      <c r="X17" s="48"/>
      <c r="Y17" s="50">
        <v>9330</v>
      </c>
      <c r="Z17" s="51">
        <v>9330</v>
      </c>
      <c r="AA17" s="48"/>
    </row>
    <row r="18" spans="1:27" x14ac:dyDescent="0.35">
      <c r="A18" s="43" t="s">
        <v>176</v>
      </c>
      <c r="B18" s="49">
        <v>1050</v>
      </c>
      <c r="C18" s="50">
        <v>1050</v>
      </c>
      <c r="D18" s="51">
        <v>1053</v>
      </c>
      <c r="E18" s="50"/>
      <c r="F18" s="51"/>
      <c r="G18" s="48"/>
      <c r="H18" s="48"/>
      <c r="I18" s="50"/>
      <c r="J18" s="51"/>
      <c r="K18" s="48"/>
      <c r="L18" s="48"/>
      <c r="M18" s="50"/>
      <c r="N18" s="51"/>
      <c r="O18" s="48"/>
      <c r="P18" s="48"/>
      <c r="Q18" s="50"/>
      <c r="R18" s="51"/>
      <c r="S18" s="48"/>
      <c r="T18" s="48"/>
      <c r="U18" s="50"/>
      <c r="V18" s="51"/>
      <c r="W18" s="48"/>
      <c r="X18" s="48"/>
      <c r="Y18" s="50"/>
      <c r="Z18" s="51"/>
      <c r="AA18" s="48"/>
    </row>
    <row r="19" spans="1:27" x14ac:dyDescent="0.35">
      <c r="A19" s="41" t="s">
        <v>177</v>
      </c>
      <c r="B19" s="49">
        <v>31153</v>
      </c>
      <c r="C19" s="50"/>
      <c r="D19" s="51"/>
      <c r="E19" s="50"/>
      <c r="F19" s="51"/>
      <c r="G19" s="48"/>
      <c r="H19" s="48"/>
      <c r="I19" s="50"/>
      <c r="J19" s="51"/>
      <c r="K19" s="48"/>
      <c r="L19" s="48"/>
      <c r="M19" s="50"/>
      <c r="N19" s="51"/>
      <c r="O19" s="48"/>
      <c r="P19" s="48"/>
      <c r="Q19" s="50"/>
      <c r="R19" s="51"/>
      <c r="S19" s="48">
        <v>10000</v>
      </c>
      <c r="T19" s="48">
        <v>10012</v>
      </c>
      <c r="U19" s="50">
        <v>15949</v>
      </c>
      <c r="V19" s="51">
        <v>15949</v>
      </c>
      <c r="W19" s="48"/>
      <c r="X19" s="48"/>
      <c r="Y19" s="50">
        <v>11533</v>
      </c>
      <c r="Z19" s="51">
        <v>11728</v>
      </c>
      <c r="AA19" s="48"/>
    </row>
    <row r="20" spans="1:27" x14ac:dyDescent="0.35">
      <c r="A20" s="39" t="s">
        <v>178</v>
      </c>
      <c r="B20" s="49">
        <v>1550</v>
      </c>
      <c r="C20" s="50">
        <v>1550</v>
      </c>
      <c r="D20" s="51">
        <v>1550</v>
      </c>
      <c r="E20" s="50"/>
      <c r="F20" s="51"/>
      <c r="G20" s="48"/>
      <c r="H20" s="48"/>
      <c r="I20" s="50"/>
      <c r="J20" s="51"/>
      <c r="K20" s="48"/>
      <c r="L20" s="48"/>
      <c r="M20" s="50"/>
      <c r="N20" s="51"/>
      <c r="O20" s="48"/>
      <c r="P20" s="48"/>
      <c r="Q20" s="50"/>
      <c r="R20" s="51"/>
      <c r="S20" s="48"/>
      <c r="T20" s="48"/>
      <c r="U20" s="50"/>
      <c r="V20" s="51"/>
      <c r="W20" s="48"/>
      <c r="X20" s="48"/>
      <c r="Y20" s="50"/>
      <c r="Z20" s="51"/>
      <c r="AA20" s="48"/>
    </row>
    <row r="21" spans="1:27" x14ac:dyDescent="0.35">
      <c r="A21" s="43" t="s">
        <v>179</v>
      </c>
      <c r="B21" s="49"/>
      <c r="C21" s="50"/>
      <c r="D21" s="51"/>
      <c r="E21" s="50"/>
      <c r="F21" s="51"/>
      <c r="G21" s="48"/>
      <c r="H21" s="48"/>
      <c r="I21" s="50"/>
      <c r="J21" s="51"/>
      <c r="K21" s="48"/>
      <c r="L21" s="48"/>
      <c r="M21" s="50"/>
      <c r="N21" s="51"/>
      <c r="O21" s="48"/>
      <c r="P21" s="48"/>
      <c r="Q21" s="50"/>
      <c r="R21" s="51"/>
      <c r="S21" s="48"/>
      <c r="T21" s="48"/>
      <c r="U21" s="50"/>
      <c r="V21" s="51"/>
      <c r="W21" s="48"/>
      <c r="X21" s="48"/>
      <c r="Y21" s="50"/>
      <c r="Z21" s="51"/>
      <c r="AA21" s="48"/>
    </row>
    <row r="22" spans="1:27" x14ac:dyDescent="0.35">
      <c r="A22" s="43" t="s">
        <v>180</v>
      </c>
      <c r="B22" s="49">
        <v>7038</v>
      </c>
      <c r="C22" s="50">
        <v>7038</v>
      </c>
      <c r="D22" s="51">
        <v>7038</v>
      </c>
      <c r="E22" s="50"/>
      <c r="F22" s="51"/>
      <c r="G22" s="48"/>
      <c r="H22" s="48"/>
      <c r="I22" s="50"/>
      <c r="J22" s="51"/>
      <c r="K22" s="48"/>
      <c r="L22" s="48"/>
      <c r="M22" s="50"/>
      <c r="N22" s="51"/>
      <c r="O22" s="48"/>
      <c r="P22" s="48"/>
      <c r="Q22" s="50"/>
      <c r="R22" s="51"/>
      <c r="S22" s="48"/>
      <c r="T22" s="48"/>
      <c r="U22" s="50"/>
      <c r="V22" s="51"/>
      <c r="W22" s="48"/>
      <c r="X22" s="48"/>
      <c r="Y22" s="50"/>
      <c r="Z22" s="51"/>
      <c r="AA22" s="48"/>
    </row>
    <row r="23" spans="1:27" x14ac:dyDescent="0.35">
      <c r="A23" s="43" t="s">
        <v>181</v>
      </c>
      <c r="B23" s="49">
        <v>20133</v>
      </c>
      <c r="C23" s="50"/>
      <c r="D23" s="51"/>
      <c r="E23" s="50"/>
      <c r="F23" s="51"/>
      <c r="G23" s="48"/>
      <c r="H23" s="48"/>
      <c r="I23" s="50"/>
      <c r="J23" s="51"/>
      <c r="K23" s="48">
        <v>2440</v>
      </c>
      <c r="L23" s="48">
        <v>2440</v>
      </c>
      <c r="M23" s="50"/>
      <c r="N23" s="51"/>
      <c r="O23" s="48">
        <v>17693</v>
      </c>
      <c r="P23" s="48">
        <v>17693</v>
      </c>
      <c r="Q23" s="50"/>
      <c r="R23" s="51"/>
      <c r="S23" s="48"/>
      <c r="T23" s="48"/>
      <c r="U23" s="50"/>
      <c r="V23" s="51"/>
      <c r="W23" s="48"/>
      <c r="X23" s="48"/>
      <c r="Y23" s="50"/>
      <c r="Z23" s="51"/>
      <c r="AA23" s="48"/>
    </row>
    <row r="24" spans="1:27" x14ac:dyDescent="0.35">
      <c r="A24" s="41" t="s">
        <v>182</v>
      </c>
      <c r="B24" s="49">
        <v>65528</v>
      </c>
      <c r="C24" s="50"/>
      <c r="D24" s="51"/>
      <c r="E24" s="50"/>
      <c r="F24" s="51"/>
      <c r="G24" s="48"/>
      <c r="H24" s="48"/>
      <c r="I24" s="50"/>
      <c r="J24" s="51"/>
      <c r="K24" s="48">
        <v>17967</v>
      </c>
      <c r="L24" s="48">
        <v>17967</v>
      </c>
      <c r="M24" s="50">
        <v>27033</v>
      </c>
      <c r="N24" s="51">
        <v>21802</v>
      </c>
      <c r="O24" s="48"/>
      <c r="P24" s="48"/>
      <c r="Q24" s="50">
        <v>20528</v>
      </c>
      <c r="R24" s="51">
        <v>22487</v>
      </c>
      <c r="S24" s="48"/>
      <c r="T24" s="48"/>
      <c r="U24" s="50"/>
      <c r="V24" s="51"/>
      <c r="W24" s="48"/>
      <c r="X24" s="48"/>
      <c r="Y24" s="50"/>
      <c r="Z24" s="51"/>
      <c r="AA24" s="48"/>
    </row>
    <row r="25" spans="1:27" x14ac:dyDescent="0.35">
      <c r="A25" s="41" t="s">
        <v>183</v>
      </c>
      <c r="B25" s="49">
        <v>44827</v>
      </c>
      <c r="C25" s="50"/>
      <c r="D25" s="51"/>
      <c r="E25" s="50"/>
      <c r="F25" s="51"/>
      <c r="G25" s="48"/>
      <c r="H25" s="48"/>
      <c r="I25" s="50"/>
      <c r="J25" s="51"/>
      <c r="K25" s="48"/>
      <c r="L25" s="48"/>
      <c r="M25" s="50"/>
      <c r="N25" s="51"/>
      <c r="O25" s="48"/>
      <c r="P25" s="48"/>
      <c r="Q25" s="50">
        <v>8097</v>
      </c>
      <c r="R25" s="51">
        <v>8097</v>
      </c>
      <c r="S25" s="48"/>
      <c r="T25" s="48"/>
      <c r="U25" s="50">
        <v>23395</v>
      </c>
      <c r="V25" s="51">
        <v>23395</v>
      </c>
      <c r="W25" s="48"/>
      <c r="X25" s="48"/>
      <c r="Y25" s="50">
        <v>13335</v>
      </c>
      <c r="Z25" s="51"/>
      <c r="AA25" s="48"/>
    </row>
    <row r="26" spans="1:27" x14ac:dyDescent="0.35">
      <c r="A26" s="43" t="s">
        <v>184</v>
      </c>
      <c r="B26" s="49">
        <v>5170</v>
      </c>
      <c r="C26" s="50"/>
      <c r="D26" s="51"/>
      <c r="E26" s="50">
        <v>5170</v>
      </c>
      <c r="F26" s="51">
        <v>5170</v>
      </c>
      <c r="G26" s="48"/>
      <c r="H26" s="48"/>
      <c r="I26" s="50"/>
      <c r="J26" s="51"/>
      <c r="K26" s="48"/>
      <c r="L26" s="48"/>
      <c r="M26" s="50"/>
      <c r="N26" s="51"/>
      <c r="O26" s="48"/>
      <c r="P26" s="48"/>
      <c r="Q26" s="50"/>
      <c r="R26" s="51"/>
      <c r="S26" s="48"/>
      <c r="T26" s="48"/>
      <c r="U26" s="50"/>
      <c r="V26" s="51"/>
      <c r="W26" s="48"/>
      <c r="X26" s="48"/>
      <c r="Y26" s="50"/>
      <c r="Z26" s="51"/>
      <c r="AA26" s="48"/>
    </row>
    <row r="27" spans="1:27" x14ac:dyDescent="0.35">
      <c r="A27" s="39" t="s">
        <v>185</v>
      </c>
      <c r="B27" s="49">
        <v>400</v>
      </c>
      <c r="C27" s="50">
        <v>400</v>
      </c>
      <c r="D27" s="51">
        <v>400</v>
      </c>
      <c r="E27" s="50"/>
      <c r="F27" s="51"/>
      <c r="G27" s="48"/>
      <c r="H27" s="48"/>
      <c r="I27" s="50"/>
      <c r="J27" s="51"/>
      <c r="K27" s="48"/>
      <c r="L27" s="48"/>
      <c r="M27" s="50"/>
      <c r="N27" s="51"/>
      <c r="O27" s="48"/>
      <c r="P27" s="48"/>
      <c r="Q27" s="50"/>
      <c r="R27" s="51"/>
      <c r="S27" s="48"/>
      <c r="T27" s="48"/>
      <c r="U27" s="50"/>
      <c r="V27" s="51"/>
      <c r="W27" s="48"/>
      <c r="X27" s="48"/>
      <c r="Y27" s="50"/>
      <c r="Z27" s="51"/>
      <c r="AA27" s="48"/>
    </row>
    <row r="28" spans="1:27" x14ac:dyDescent="0.35">
      <c r="A28" s="43" t="s">
        <v>186</v>
      </c>
      <c r="B28" s="49">
        <v>6445</v>
      </c>
      <c r="C28" s="50">
        <v>2600</v>
      </c>
      <c r="D28" s="51">
        <v>2600</v>
      </c>
      <c r="E28" s="50"/>
      <c r="F28" s="51"/>
      <c r="G28" s="48"/>
      <c r="H28" s="48"/>
      <c r="I28" s="50"/>
      <c r="J28" s="51"/>
      <c r="K28" s="48">
        <v>3495</v>
      </c>
      <c r="L28" s="48">
        <v>3495</v>
      </c>
      <c r="M28" s="50"/>
      <c r="N28" s="51"/>
      <c r="O28" s="48"/>
      <c r="P28" s="48"/>
      <c r="Q28" s="50"/>
      <c r="R28" s="51"/>
      <c r="S28" s="48"/>
      <c r="T28" s="48"/>
      <c r="U28" s="50"/>
      <c r="V28" s="51"/>
      <c r="W28" s="48"/>
      <c r="X28" s="48"/>
      <c r="Y28" s="50"/>
      <c r="Z28" s="51"/>
      <c r="AA28" s="48"/>
    </row>
    <row r="29" spans="1:27" x14ac:dyDescent="0.35">
      <c r="A29" s="43" t="s">
        <v>187</v>
      </c>
      <c r="B29" s="49">
        <v>7503</v>
      </c>
      <c r="C29" s="50"/>
      <c r="D29" s="51"/>
      <c r="E29" s="50"/>
      <c r="F29" s="51"/>
      <c r="G29" s="48"/>
      <c r="H29" s="48"/>
      <c r="I29" s="50"/>
      <c r="J29" s="51"/>
      <c r="K29" s="48"/>
      <c r="L29" s="48"/>
      <c r="M29" s="50"/>
      <c r="N29" s="51"/>
      <c r="O29" s="48"/>
      <c r="P29" s="48"/>
      <c r="Q29" s="50"/>
      <c r="R29" s="51"/>
      <c r="S29" s="48">
        <v>7503</v>
      </c>
      <c r="T29" s="48">
        <v>7503</v>
      </c>
      <c r="U29" s="50"/>
      <c r="V29" s="51"/>
      <c r="W29" s="48"/>
      <c r="X29" s="48"/>
      <c r="Y29" s="50"/>
      <c r="Z29" s="51"/>
      <c r="AA29" s="48"/>
    </row>
    <row r="30" spans="1:27" x14ac:dyDescent="0.35">
      <c r="A30" s="39" t="s">
        <v>188</v>
      </c>
      <c r="B30" s="49">
        <v>10588</v>
      </c>
      <c r="C30" s="50"/>
      <c r="D30" s="51"/>
      <c r="E30" s="50">
        <v>3940</v>
      </c>
      <c r="F30" s="51">
        <v>3940</v>
      </c>
      <c r="G30" s="48">
        <v>6648</v>
      </c>
      <c r="H30" s="48">
        <v>6648</v>
      </c>
      <c r="I30" s="50"/>
      <c r="J30" s="51"/>
      <c r="K30" s="48"/>
      <c r="L30" s="48"/>
      <c r="M30" s="50"/>
      <c r="N30" s="51"/>
      <c r="O30" s="48"/>
      <c r="P30" s="48"/>
      <c r="Q30" s="50"/>
      <c r="R30" s="51"/>
      <c r="S30" s="48"/>
      <c r="T30" s="48"/>
      <c r="U30" s="50"/>
      <c r="V30" s="51"/>
      <c r="W30" s="48"/>
      <c r="X30" s="48"/>
      <c r="Y30" s="50"/>
      <c r="Z30" s="51"/>
      <c r="AA30" s="48"/>
    </row>
    <row r="31" spans="1:27" x14ac:dyDescent="0.35">
      <c r="A31" s="43" t="s">
        <v>189</v>
      </c>
      <c r="B31" s="49">
        <v>950</v>
      </c>
      <c r="C31" s="50"/>
      <c r="D31" s="51"/>
      <c r="E31" s="50"/>
      <c r="F31" s="51"/>
      <c r="G31" s="48">
        <v>950</v>
      </c>
      <c r="H31" s="48">
        <v>950</v>
      </c>
      <c r="I31" s="50"/>
      <c r="J31" s="51"/>
      <c r="K31" s="48"/>
      <c r="L31" s="48"/>
      <c r="M31" s="50"/>
      <c r="N31" s="51"/>
      <c r="O31" s="48"/>
      <c r="P31" s="48"/>
      <c r="Q31" s="50"/>
      <c r="R31" s="51"/>
      <c r="S31" s="48"/>
      <c r="T31" s="48"/>
      <c r="U31" s="50"/>
      <c r="V31" s="51"/>
      <c r="W31" s="48"/>
      <c r="X31" s="48"/>
      <c r="Y31" s="50"/>
      <c r="Z31" s="51"/>
      <c r="AA31" s="48"/>
    </row>
    <row r="32" spans="1:27" x14ac:dyDescent="0.35">
      <c r="A32" s="43" t="s">
        <v>190</v>
      </c>
      <c r="B32" s="49">
        <v>6400</v>
      </c>
      <c r="C32" s="50"/>
      <c r="D32" s="51"/>
      <c r="E32" s="50"/>
      <c r="F32" s="51"/>
      <c r="G32" s="48">
        <v>6400</v>
      </c>
      <c r="H32" s="48">
        <v>6400</v>
      </c>
      <c r="I32" s="50"/>
      <c r="J32" s="51"/>
      <c r="K32" s="48"/>
      <c r="L32" s="48"/>
      <c r="M32" s="50"/>
      <c r="N32" s="51"/>
      <c r="O32" s="48"/>
      <c r="P32" s="48"/>
      <c r="Q32" s="50"/>
      <c r="R32" s="51"/>
      <c r="S32" s="48"/>
      <c r="T32" s="48"/>
      <c r="U32" s="50"/>
      <c r="V32" s="51"/>
      <c r="W32" s="48"/>
      <c r="X32" s="48"/>
      <c r="Y32" s="50"/>
      <c r="Z32" s="51"/>
      <c r="AA32" s="48"/>
    </row>
    <row r="33" spans="1:27" x14ac:dyDescent="0.35">
      <c r="A33" s="43" t="s">
        <v>191</v>
      </c>
      <c r="B33" s="49">
        <v>5523</v>
      </c>
      <c r="C33" s="50"/>
      <c r="D33" s="51"/>
      <c r="E33" s="50"/>
      <c r="F33" s="51"/>
      <c r="G33" s="48"/>
      <c r="H33" s="48"/>
      <c r="I33" s="50">
        <v>5523</v>
      </c>
      <c r="J33" s="51">
        <v>5523</v>
      </c>
      <c r="K33" s="48"/>
      <c r="L33" s="48"/>
      <c r="M33" s="50"/>
      <c r="N33" s="51"/>
      <c r="O33" s="48"/>
      <c r="P33" s="48"/>
      <c r="Q33" s="50"/>
      <c r="R33" s="51"/>
      <c r="S33" s="48"/>
      <c r="T33" s="48"/>
      <c r="U33" s="50"/>
      <c r="V33" s="51"/>
      <c r="W33" s="48"/>
      <c r="X33" s="48"/>
      <c r="Y33" s="50"/>
      <c r="Z33" s="51"/>
      <c r="AA33" s="48"/>
    </row>
    <row r="34" spans="1:27" x14ac:dyDescent="0.35">
      <c r="A34" s="39" t="s">
        <v>192</v>
      </c>
      <c r="B34" s="49">
        <v>2177</v>
      </c>
      <c r="C34" s="50"/>
      <c r="D34" s="51"/>
      <c r="E34" s="50">
        <v>2177</v>
      </c>
      <c r="F34" s="51">
        <v>2177</v>
      </c>
      <c r="G34" s="48"/>
      <c r="H34" s="48"/>
      <c r="I34" s="50"/>
      <c r="J34" s="51"/>
      <c r="K34" s="48"/>
      <c r="L34" s="48"/>
      <c r="M34" s="50"/>
      <c r="N34" s="51"/>
      <c r="O34" s="48"/>
      <c r="P34" s="48"/>
      <c r="Q34" s="50"/>
      <c r="R34" s="51"/>
      <c r="S34" s="48"/>
      <c r="T34" s="48"/>
      <c r="U34" s="50"/>
      <c r="V34" s="51"/>
      <c r="W34" s="48"/>
      <c r="X34" s="48"/>
      <c r="Y34" s="50"/>
      <c r="Z34" s="51"/>
      <c r="AA34" s="48"/>
    </row>
    <row r="35" spans="1:27" x14ac:dyDescent="0.35">
      <c r="A35" s="39" t="s">
        <v>193</v>
      </c>
      <c r="B35" s="49">
        <v>275</v>
      </c>
      <c r="C35" s="50"/>
      <c r="D35" s="51"/>
      <c r="E35" s="50">
        <v>275</v>
      </c>
      <c r="F35" s="51">
        <v>275</v>
      </c>
      <c r="G35" s="48"/>
      <c r="H35" s="48"/>
      <c r="I35" s="50"/>
      <c r="J35" s="51"/>
      <c r="K35" s="48"/>
      <c r="L35" s="48"/>
      <c r="M35" s="50"/>
      <c r="N35" s="51"/>
      <c r="O35" s="48"/>
      <c r="P35" s="48"/>
      <c r="Q35" s="50"/>
      <c r="R35" s="51"/>
      <c r="S35" s="48"/>
      <c r="T35" s="48"/>
      <c r="U35" s="50"/>
      <c r="V35" s="51"/>
      <c r="W35" s="48"/>
      <c r="X35" s="48"/>
      <c r="Y35" s="50"/>
      <c r="Z35" s="51"/>
      <c r="AA35" s="48"/>
    </row>
    <row r="36" spans="1:27" x14ac:dyDescent="0.35">
      <c r="A36" s="43" t="s">
        <v>136</v>
      </c>
      <c r="B36" s="49">
        <v>12000</v>
      </c>
      <c r="C36" s="50"/>
      <c r="D36" s="51"/>
      <c r="E36" s="50"/>
      <c r="F36" s="51"/>
      <c r="G36" s="48"/>
      <c r="H36" s="48"/>
      <c r="I36" s="50">
        <v>12000</v>
      </c>
      <c r="J36" s="51">
        <v>12293</v>
      </c>
      <c r="K36" s="48"/>
      <c r="L36" s="48"/>
      <c r="M36" s="50"/>
      <c r="N36" s="51"/>
      <c r="O36" s="48"/>
      <c r="P36" s="48"/>
      <c r="Q36" s="50"/>
      <c r="R36" s="51"/>
      <c r="S36" s="48"/>
      <c r="T36" s="48"/>
      <c r="U36" s="50"/>
      <c r="V36" s="51"/>
      <c r="W36" s="48"/>
      <c r="X36" s="48"/>
      <c r="Y36" s="50"/>
      <c r="Z36" s="51"/>
      <c r="AA36" s="48"/>
    </row>
    <row r="37" spans="1:27" x14ac:dyDescent="0.35">
      <c r="A37" s="43" t="s">
        <v>194</v>
      </c>
      <c r="B37" s="49">
        <v>11798</v>
      </c>
      <c r="C37" s="50"/>
      <c r="D37" s="51"/>
      <c r="E37" s="50"/>
      <c r="F37" s="51"/>
      <c r="G37" s="48"/>
      <c r="H37" s="48"/>
      <c r="I37" s="50"/>
      <c r="J37" s="51"/>
      <c r="K37" s="48">
        <v>4379</v>
      </c>
      <c r="L37" s="48">
        <v>4379</v>
      </c>
      <c r="M37" s="50">
        <v>7419</v>
      </c>
      <c r="N37" s="51">
        <v>7419</v>
      </c>
      <c r="O37" s="48"/>
      <c r="P37" s="48"/>
      <c r="Q37" s="50"/>
      <c r="R37" s="51"/>
      <c r="S37" s="48"/>
      <c r="T37" s="48"/>
      <c r="U37" s="50"/>
      <c r="V37" s="51"/>
      <c r="W37" s="48"/>
      <c r="X37" s="48"/>
      <c r="Y37" s="50"/>
      <c r="Z37" s="51"/>
      <c r="AA37" s="48"/>
    </row>
    <row r="38" spans="1:27" x14ac:dyDescent="0.35">
      <c r="A38" s="43" t="s">
        <v>195</v>
      </c>
      <c r="B38" s="49">
        <v>6835</v>
      </c>
      <c r="C38" s="50"/>
      <c r="D38" s="51"/>
      <c r="E38" s="50"/>
      <c r="F38" s="51"/>
      <c r="G38" s="48"/>
      <c r="H38" s="48"/>
      <c r="I38" s="50">
        <v>6835</v>
      </c>
      <c r="J38" s="51">
        <v>6835</v>
      </c>
      <c r="K38" s="48"/>
      <c r="L38" s="48"/>
      <c r="M38" s="50"/>
      <c r="N38" s="51"/>
      <c r="O38" s="48"/>
      <c r="P38" s="48"/>
      <c r="Q38" s="50"/>
      <c r="R38" s="51"/>
      <c r="S38" s="48"/>
      <c r="T38" s="48"/>
      <c r="U38" s="50"/>
      <c r="V38" s="51"/>
      <c r="W38" s="48"/>
      <c r="X38" s="48"/>
      <c r="Y38" s="50"/>
      <c r="Z38" s="51"/>
      <c r="AA38" s="48"/>
    </row>
    <row r="39" spans="1:27" x14ac:dyDescent="0.35">
      <c r="A39" s="43" t="s">
        <v>196</v>
      </c>
      <c r="B39" s="49">
        <v>4375</v>
      </c>
      <c r="C39" s="50"/>
      <c r="D39" s="51"/>
      <c r="E39" s="50"/>
      <c r="F39" s="51"/>
      <c r="G39" s="48"/>
      <c r="H39" s="48"/>
      <c r="I39" s="50"/>
      <c r="J39" s="51"/>
      <c r="K39" s="48"/>
      <c r="L39" s="48"/>
      <c r="M39" s="50">
        <v>4375</v>
      </c>
      <c r="N39" s="51">
        <v>4375</v>
      </c>
      <c r="O39" s="48"/>
      <c r="P39" s="48"/>
      <c r="Q39" s="50"/>
      <c r="R39" s="51"/>
      <c r="S39" s="48"/>
      <c r="T39" s="48"/>
      <c r="U39" s="50"/>
      <c r="V39" s="51"/>
      <c r="W39" s="48"/>
      <c r="X39" s="48"/>
      <c r="Y39" s="50"/>
      <c r="Z39" s="51"/>
      <c r="AA39" s="48"/>
    </row>
    <row r="40" spans="1:27" x14ac:dyDescent="0.35">
      <c r="A40" s="39" t="s">
        <v>197</v>
      </c>
      <c r="B40" s="49">
        <v>47975</v>
      </c>
      <c r="C40" s="50"/>
      <c r="D40" s="51"/>
      <c r="E40" s="50"/>
      <c r="F40" s="51"/>
      <c r="G40" s="48"/>
      <c r="H40" s="48"/>
      <c r="I40" s="50"/>
      <c r="J40" s="51"/>
      <c r="K40" s="48"/>
      <c r="L40" s="48"/>
      <c r="M40" s="50"/>
      <c r="N40" s="51"/>
      <c r="O40" s="48">
        <v>16312</v>
      </c>
      <c r="P40" s="48">
        <v>16312</v>
      </c>
      <c r="Q40" s="50">
        <v>22782</v>
      </c>
      <c r="R40" s="51">
        <v>22782</v>
      </c>
      <c r="S40" s="48">
        <v>8880</v>
      </c>
      <c r="T40" s="48">
        <v>8880</v>
      </c>
      <c r="U40" s="50"/>
      <c r="V40" s="51"/>
      <c r="W40" s="48"/>
      <c r="X40" s="48"/>
      <c r="Y40" s="50"/>
      <c r="Z40" s="51"/>
      <c r="AA40" s="48"/>
    </row>
    <row r="41" spans="1:27" x14ac:dyDescent="0.35">
      <c r="A41" s="41" t="s">
        <v>198</v>
      </c>
      <c r="B41" s="49">
        <v>23622</v>
      </c>
      <c r="C41" s="50"/>
      <c r="D41" s="51"/>
      <c r="E41" s="50"/>
      <c r="F41" s="51"/>
      <c r="G41" s="48"/>
      <c r="H41" s="48"/>
      <c r="I41" s="50"/>
      <c r="J41" s="51"/>
      <c r="K41" s="48"/>
      <c r="L41" s="48"/>
      <c r="M41" s="50"/>
      <c r="N41" s="51"/>
      <c r="O41" s="48">
        <v>5122</v>
      </c>
      <c r="P41" s="48">
        <v>5122</v>
      </c>
      <c r="Q41" s="50"/>
      <c r="R41" s="51"/>
      <c r="S41" s="48">
        <v>18500</v>
      </c>
      <c r="T41" s="48">
        <v>18500</v>
      </c>
      <c r="U41" s="50"/>
      <c r="V41" s="51"/>
      <c r="W41" s="48"/>
      <c r="X41" s="48"/>
      <c r="Y41" s="50"/>
      <c r="Z41" s="51"/>
      <c r="AA41" s="48"/>
    </row>
    <row r="42" spans="1:27" x14ac:dyDescent="0.35">
      <c r="A42" s="41" t="s">
        <v>199</v>
      </c>
      <c r="B42" s="49">
        <v>25230</v>
      </c>
      <c r="C42" s="50"/>
      <c r="D42" s="51"/>
      <c r="E42" s="50"/>
      <c r="F42" s="51"/>
      <c r="G42" s="48"/>
      <c r="H42" s="48"/>
      <c r="I42" s="50"/>
      <c r="J42" s="51"/>
      <c r="K42" s="48"/>
      <c r="L42" s="48"/>
      <c r="M42" s="50"/>
      <c r="N42" s="51"/>
      <c r="O42" s="48"/>
      <c r="P42" s="48"/>
      <c r="Q42" s="50"/>
      <c r="R42" s="51"/>
      <c r="S42" s="48"/>
      <c r="T42" s="48"/>
      <c r="U42" s="50"/>
      <c r="V42" s="51"/>
      <c r="W42" s="48"/>
      <c r="X42" s="48"/>
      <c r="Y42" s="50">
        <v>25230</v>
      </c>
      <c r="Z42" s="51">
        <v>5664</v>
      </c>
      <c r="AA42" s="48"/>
    </row>
    <row r="43" spans="1:27" x14ac:dyDescent="0.35">
      <c r="A43" s="39" t="s">
        <v>200</v>
      </c>
      <c r="B43" s="49">
        <v>5360</v>
      </c>
      <c r="C43" s="50"/>
      <c r="D43" s="51"/>
      <c r="E43" s="50"/>
      <c r="F43" s="51"/>
      <c r="G43" s="48"/>
      <c r="H43" s="48"/>
      <c r="I43" s="50"/>
      <c r="J43" s="51"/>
      <c r="K43" s="48"/>
      <c r="L43" s="48"/>
      <c r="M43" s="50">
        <v>5360</v>
      </c>
      <c r="N43" s="51">
        <v>5360</v>
      </c>
      <c r="O43" s="48"/>
      <c r="P43" s="48"/>
      <c r="Q43" s="50"/>
      <c r="R43" s="51"/>
      <c r="S43" s="48"/>
      <c r="T43" s="48"/>
      <c r="U43" s="50"/>
      <c r="V43" s="51"/>
      <c r="W43" s="48"/>
      <c r="X43" s="48"/>
      <c r="Y43" s="50"/>
      <c r="Z43" s="51"/>
      <c r="AA43" s="48"/>
    </row>
    <row r="44" spans="1:27" x14ac:dyDescent="0.35">
      <c r="A44" s="42" t="s">
        <v>201</v>
      </c>
      <c r="B44" s="49">
        <v>4524</v>
      </c>
      <c r="C44" s="50"/>
      <c r="D44" s="51"/>
      <c r="E44" s="50"/>
      <c r="F44" s="51"/>
      <c r="G44" s="48"/>
      <c r="H44" s="48"/>
      <c r="I44" s="50"/>
      <c r="J44" s="51"/>
      <c r="K44" s="48"/>
      <c r="L44" s="48"/>
      <c r="M44" s="50">
        <v>4524</v>
      </c>
      <c r="N44" s="51">
        <v>4524</v>
      </c>
      <c r="O44" s="48"/>
      <c r="P44" s="48"/>
      <c r="Q44" s="50"/>
      <c r="R44" s="51"/>
      <c r="S44" s="48"/>
      <c r="T44" s="48"/>
      <c r="U44" s="50"/>
      <c r="V44" s="51"/>
      <c r="W44" s="48"/>
      <c r="X44" s="48"/>
      <c r="Y44" s="50"/>
      <c r="Z44" s="51"/>
      <c r="AA44" s="48"/>
    </row>
    <row r="45" spans="1:27" x14ac:dyDescent="0.35">
      <c r="A45" s="39" t="s">
        <v>202</v>
      </c>
      <c r="B45" s="49">
        <v>2570</v>
      </c>
      <c r="C45" s="50"/>
      <c r="D45" s="51"/>
      <c r="E45" s="50"/>
      <c r="F45" s="51"/>
      <c r="G45" s="48"/>
      <c r="H45" s="48"/>
      <c r="I45" s="50"/>
      <c r="J45" s="51"/>
      <c r="K45" s="48"/>
      <c r="L45" s="48"/>
      <c r="M45" s="50"/>
      <c r="N45" s="51"/>
      <c r="O45" s="48"/>
      <c r="P45" s="48"/>
      <c r="Q45" s="50">
        <v>2570</v>
      </c>
      <c r="R45" s="51">
        <v>2570</v>
      </c>
      <c r="S45" s="48"/>
      <c r="T45" s="48"/>
      <c r="U45" s="50"/>
      <c r="V45" s="51"/>
      <c r="W45" s="48"/>
      <c r="X45" s="48"/>
      <c r="Y45" s="50"/>
      <c r="Z45" s="51"/>
      <c r="AA45" s="48"/>
    </row>
    <row r="46" spans="1:27" x14ac:dyDescent="0.35">
      <c r="A46" s="39" t="s">
        <v>203</v>
      </c>
      <c r="B46" s="49">
        <v>2900</v>
      </c>
      <c r="C46" s="50"/>
      <c r="D46" s="51"/>
      <c r="E46" s="50"/>
      <c r="F46" s="51"/>
      <c r="G46" s="48"/>
      <c r="H46" s="48"/>
      <c r="I46" s="50"/>
      <c r="J46" s="51"/>
      <c r="K46" s="48"/>
      <c r="L46" s="48"/>
      <c r="M46" s="50"/>
      <c r="N46" s="51"/>
      <c r="O46" s="48">
        <v>1300</v>
      </c>
      <c r="P46" s="48">
        <v>1300</v>
      </c>
      <c r="Q46" s="50"/>
      <c r="R46" s="51"/>
      <c r="S46" s="48">
        <v>1600</v>
      </c>
      <c r="T46" s="48">
        <v>1600</v>
      </c>
      <c r="U46" s="50"/>
      <c r="V46" s="51"/>
      <c r="W46" s="48"/>
      <c r="X46" s="48"/>
      <c r="Y46" s="50"/>
      <c r="Z46" s="51"/>
      <c r="AA46" s="48"/>
    </row>
    <row r="47" spans="1:27" x14ac:dyDescent="0.35">
      <c r="A47" s="43" t="s">
        <v>204</v>
      </c>
      <c r="B47" s="49">
        <v>25000</v>
      </c>
      <c r="C47" s="50"/>
      <c r="D47" s="51"/>
      <c r="E47" s="50"/>
      <c r="F47" s="51"/>
      <c r="G47" s="48"/>
      <c r="H47" s="48"/>
      <c r="I47" s="50"/>
      <c r="J47" s="51"/>
      <c r="K47" s="48"/>
      <c r="L47" s="48"/>
      <c r="M47" s="50"/>
      <c r="N47" s="51"/>
      <c r="O47" s="48"/>
      <c r="P47" s="48"/>
      <c r="Q47" s="50"/>
      <c r="R47" s="51"/>
      <c r="S47" s="48"/>
      <c r="T47" s="48"/>
      <c r="U47" s="50"/>
      <c r="V47" s="51"/>
      <c r="W47" s="48"/>
      <c r="X47" s="48"/>
      <c r="Y47" s="50">
        <v>25000</v>
      </c>
      <c r="Z47" s="51"/>
      <c r="AA47" s="48"/>
    </row>
    <row r="48" spans="1:27" x14ac:dyDescent="0.35">
      <c r="A48" s="43" t="s">
        <v>205</v>
      </c>
      <c r="B48" s="49">
        <v>8871</v>
      </c>
      <c r="C48" s="50"/>
      <c r="D48" s="51"/>
      <c r="E48" s="50"/>
      <c r="F48" s="51"/>
      <c r="G48" s="48"/>
      <c r="H48" s="48"/>
      <c r="I48" s="50"/>
      <c r="J48" s="51"/>
      <c r="K48" s="48"/>
      <c r="L48" s="48"/>
      <c r="M48" s="50"/>
      <c r="N48" s="51"/>
      <c r="O48" s="48">
        <v>8246</v>
      </c>
      <c r="P48" s="48">
        <v>8246</v>
      </c>
      <c r="Q48" s="50">
        <v>625</v>
      </c>
      <c r="R48" s="51">
        <v>625</v>
      </c>
      <c r="S48" s="48"/>
      <c r="T48" s="48"/>
      <c r="U48" s="50"/>
      <c r="V48" s="51"/>
      <c r="W48" s="48"/>
      <c r="X48" s="48"/>
      <c r="Y48" s="50"/>
      <c r="Z48" s="51"/>
      <c r="AA48" s="48"/>
    </row>
    <row r="49" spans="1:27" x14ac:dyDescent="0.35">
      <c r="A49" s="43" t="s">
        <v>206</v>
      </c>
      <c r="B49" s="49">
        <v>2625</v>
      </c>
      <c r="C49" s="50"/>
      <c r="D49" s="51"/>
      <c r="E49" s="50"/>
      <c r="F49" s="51"/>
      <c r="G49" s="48"/>
      <c r="H49" s="48"/>
      <c r="I49" s="50"/>
      <c r="J49" s="51"/>
      <c r="K49" s="48"/>
      <c r="L49" s="48"/>
      <c r="M49" s="50"/>
      <c r="N49" s="51"/>
      <c r="O49" s="48"/>
      <c r="P49" s="48"/>
      <c r="Q49" s="50"/>
      <c r="R49" s="51"/>
      <c r="S49" s="48">
        <v>2625</v>
      </c>
      <c r="T49" s="48">
        <v>2625</v>
      </c>
      <c r="U49" s="50"/>
      <c r="V49" s="51"/>
      <c r="W49" s="48"/>
      <c r="X49" s="48"/>
      <c r="Y49" s="50"/>
      <c r="Z49" s="51"/>
      <c r="AA49" s="48"/>
    </row>
    <row r="50" spans="1:27" x14ac:dyDescent="0.35">
      <c r="A50" s="43" t="s">
        <v>207</v>
      </c>
      <c r="B50" s="49">
        <v>6717</v>
      </c>
      <c r="C50" s="50"/>
      <c r="D50" s="51"/>
      <c r="E50" s="50"/>
      <c r="F50" s="51"/>
      <c r="G50" s="48"/>
      <c r="H50" s="48"/>
      <c r="I50" s="50"/>
      <c r="J50" s="51"/>
      <c r="K50" s="48"/>
      <c r="L50" s="48"/>
      <c r="M50" s="50"/>
      <c r="N50" s="51"/>
      <c r="O50" s="48"/>
      <c r="P50" s="48"/>
      <c r="Q50" s="50">
        <v>6717</v>
      </c>
      <c r="R50" s="51">
        <v>6717</v>
      </c>
      <c r="S50" s="48"/>
      <c r="T50" s="48"/>
      <c r="U50" s="50"/>
      <c r="V50" s="51"/>
      <c r="W50" s="48"/>
      <c r="X50" s="48"/>
      <c r="Y50" s="50"/>
      <c r="Z50" s="51"/>
      <c r="AA50" s="48"/>
    </row>
    <row r="51" spans="1:27" x14ac:dyDescent="0.35">
      <c r="A51" s="43" t="s">
        <v>208</v>
      </c>
      <c r="B51" s="49">
        <v>6830</v>
      </c>
      <c r="C51" s="50"/>
      <c r="D51" s="51"/>
      <c r="E51" s="50"/>
      <c r="F51" s="51"/>
      <c r="G51" s="48"/>
      <c r="H51" s="48"/>
      <c r="I51" s="50"/>
      <c r="J51" s="51"/>
      <c r="K51" s="48"/>
      <c r="L51" s="48"/>
      <c r="M51" s="50"/>
      <c r="N51" s="51"/>
      <c r="O51" s="48"/>
      <c r="P51" s="48"/>
      <c r="Q51" s="50">
        <v>6830</v>
      </c>
      <c r="R51" s="51">
        <v>6830</v>
      </c>
      <c r="S51" s="48"/>
      <c r="T51" s="48"/>
      <c r="U51" s="50"/>
      <c r="V51" s="51"/>
      <c r="W51" s="48"/>
      <c r="X51" s="48"/>
      <c r="Y51" s="50"/>
      <c r="Z51" s="51"/>
      <c r="AA51" s="48"/>
    </row>
    <row r="52" spans="1:27" x14ac:dyDescent="0.35">
      <c r="A52" s="43" t="s">
        <v>209</v>
      </c>
      <c r="B52" s="49">
        <v>5146</v>
      </c>
      <c r="C52" s="50"/>
      <c r="D52" s="51"/>
      <c r="E52" s="50"/>
      <c r="F52" s="51"/>
      <c r="G52" s="48"/>
      <c r="H52" s="48"/>
      <c r="I52" s="50"/>
      <c r="J52" s="51"/>
      <c r="K52" s="48"/>
      <c r="L52" s="48"/>
      <c r="M52" s="50"/>
      <c r="N52" s="51"/>
      <c r="O52" s="48"/>
      <c r="P52" s="48"/>
      <c r="Q52" s="50">
        <v>5146</v>
      </c>
      <c r="R52" s="51">
        <v>5146</v>
      </c>
      <c r="S52" s="48"/>
      <c r="T52" s="48"/>
      <c r="U52" s="50"/>
      <c r="V52" s="51"/>
      <c r="W52" s="48"/>
      <c r="X52" s="48"/>
      <c r="Y52" s="50"/>
      <c r="Z52" s="51"/>
      <c r="AA52" s="48"/>
    </row>
    <row r="53" spans="1:27" x14ac:dyDescent="0.35">
      <c r="A53" s="41" t="s">
        <v>210</v>
      </c>
      <c r="B53" s="49">
        <v>10976</v>
      </c>
      <c r="C53" s="50"/>
      <c r="D53" s="51"/>
      <c r="E53" s="50"/>
      <c r="F53" s="51"/>
      <c r="G53" s="48"/>
      <c r="H53" s="48"/>
      <c r="I53" s="50"/>
      <c r="J53" s="51"/>
      <c r="K53" s="48"/>
      <c r="L53" s="48"/>
      <c r="M53" s="50"/>
      <c r="N53" s="51"/>
      <c r="O53" s="48"/>
      <c r="P53" s="48"/>
      <c r="Q53" s="50">
        <v>3246</v>
      </c>
      <c r="R53" s="51">
        <v>3243</v>
      </c>
      <c r="S53" s="48"/>
      <c r="T53" s="48"/>
      <c r="U53" s="50">
        <v>7733</v>
      </c>
      <c r="V53" s="51">
        <v>7733</v>
      </c>
      <c r="W53" s="48"/>
      <c r="X53" s="48"/>
      <c r="Y53" s="50"/>
      <c r="Z53" s="51"/>
      <c r="AA53" s="48"/>
    </row>
    <row r="54" spans="1:27" x14ac:dyDescent="0.35">
      <c r="A54" s="43" t="s">
        <v>211</v>
      </c>
      <c r="B54" s="49">
        <v>14259</v>
      </c>
      <c r="C54" s="50"/>
      <c r="D54" s="51"/>
      <c r="E54" s="50"/>
      <c r="F54" s="51"/>
      <c r="G54" s="48"/>
      <c r="H54" s="48"/>
      <c r="I54" s="50"/>
      <c r="J54" s="51"/>
      <c r="K54" s="48"/>
      <c r="L54" s="48"/>
      <c r="M54" s="50"/>
      <c r="N54" s="51"/>
      <c r="O54" s="48"/>
      <c r="P54" s="48"/>
      <c r="Q54" s="50">
        <v>2567</v>
      </c>
      <c r="R54" s="51">
        <v>2567</v>
      </c>
      <c r="S54" s="48">
        <v>5112</v>
      </c>
      <c r="T54" s="48">
        <v>5112</v>
      </c>
      <c r="U54" s="50"/>
      <c r="V54" s="51"/>
      <c r="W54" s="48"/>
      <c r="X54" s="48"/>
      <c r="Y54" s="50">
        <v>6600</v>
      </c>
      <c r="Z54" s="51">
        <v>2231</v>
      </c>
      <c r="AA54" s="48"/>
    </row>
    <row r="55" spans="1:27" x14ac:dyDescent="0.35">
      <c r="A55" s="43" t="s">
        <v>212</v>
      </c>
      <c r="B55" s="49">
        <v>5756</v>
      </c>
      <c r="C55" s="50"/>
      <c r="D55" s="51"/>
      <c r="E55" s="50"/>
      <c r="F55" s="51"/>
      <c r="G55" s="48"/>
      <c r="H55" s="48"/>
      <c r="I55" s="50"/>
      <c r="J55" s="51"/>
      <c r="K55" s="48"/>
      <c r="L55" s="48"/>
      <c r="M55" s="50"/>
      <c r="N55" s="51"/>
      <c r="O55" s="48">
        <v>2700</v>
      </c>
      <c r="P55" s="48">
        <v>2700</v>
      </c>
      <c r="Q55" s="50"/>
      <c r="R55" s="51"/>
      <c r="S55" s="48">
        <v>3056</v>
      </c>
      <c r="T55" s="48">
        <v>3056</v>
      </c>
      <c r="U55" s="50"/>
      <c r="V55" s="51"/>
      <c r="W55" s="48"/>
      <c r="X55" s="48"/>
      <c r="Y55" s="50"/>
      <c r="Z55" s="51"/>
      <c r="AA55" s="48"/>
    </row>
    <row r="56" spans="1:27" x14ac:dyDescent="0.35">
      <c r="A56" s="43" t="s">
        <v>213</v>
      </c>
      <c r="B56" s="49">
        <v>13155</v>
      </c>
      <c r="C56" s="50"/>
      <c r="D56" s="51"/>
      <c r="E56" s="50"/>
      <c r="F56" s="51"/>
      <c r="G56" s="48"/>
      <c r="H56" s="48"/>
      <c r="I56" s="50"/>
      <c r="J56" s="51"/>
      <c r="K56" s="48"/>
      <c r="L56" s="48"/>
      <c r="M56" s="50"/>
      <c r="N56" s="51"/>
      <c r="O56" s="48"/>
      <c r="P56" s="48"/>
      <c r="Q56" s="50"/>
      <c r="R56" s="51"/>
      <c r="S56" s="48">
        <v>4249</v>
      </c>
      <c r="T56" s="48">
        <v>4249</v>
      </c>
      <c r="U56" s="50"/>
      <c r="V56" s="51"/>
      <c r="W56" s="48">
        <v>6809</v>
      </c>
      <c r="X56" s="48">
        <v>6809</v>
      </c>
      <c r="Y56" s="50"/>
      <c r="Z56" s="51"/>
      <c r="AA56" s="48"/>
    </row>
    <row r="57" spans="1:27" x14ac:dyDescent="0.35">
      <c r="A57" s="43" t="s">
        <v>214</v>
      </c>
      <c r="B57" s="49">
        <v>9005</v>
      </c>
      <c r="C57" s="50"/>
      <c r="D57" s="51"/>
      <c r="E57" s="50"/>
      <c r="F57" s="51"/>
      <c r="G57" s="48"/>
      <c r="H57" s="48"/>
      <c r="I57" s="50"/>
      <c r="J57" s="51"/>
      <c r="K57" s="48"/>
      <c r="L57" s="48"/>
      <c r="M57" s="50"/>
      <c r="N57" s="51"/>
      <c r="O57" s="48"/>
      <c r="P57" s="48"/>
      <c r="Q57" s="50"/>
      <c r="R57" s="51"/>
      <c r="S57" s="48"/>
      <c r="T57" s="48"/>
      <c r="U57" s="50"/>
      <c r="V57" s="51"/>
      <c r="W57" s="48">
        <v>2253</v>
      </c>
      <c r="X57" s="48">
        <v>2253</v>
      </c>
      <c r="Y57" s="50"/>
      <c r="Z57" s="51"/>
      <c r="AA57" s="48"/>
    </row>
    <row r="58" spans="1:27" x14ac:dyDescent="0.35">
      <c r="A58" s="43" t="s">
        <v>215</v>
      </c>
      <c r="B58" s="49">
        <v>3015</v>
      </c>
      <c r="C58" s="50"/>
      <c r="D58" s="51"/>
      <c r="E58" s="50"/>
      <c r="F58" s="51"/>
      <c r="G58" s="48"/>
      <c r="H58" s="48"/>
      <c r="I58" s="50"/>
      <c r="J58" s="51"/>
      <c r="K58" s="48"/>
      <c r="L58" s="48"/>
      <c r="M58" s="50"/>
      <c r="N58" s="51"/>
      <c r="O58" s="48">
        <v>1050</v>
      </c>
      <c r="P58" s="48">
        <v>1050</v>
      </c>
      <c r="Q58" s="50"/>
      <c r="R58" s="51"/>
      <c r="S58" s="48">
        <v>1965</v>
      </c>
      <c r="T58" s="48">
        <v>1965</v>
      </c>
      <c r="U58" s="50"/>
      <c r="V58" s="51"/>
      <c r="W58" s="48"/>
      <c r="X58" s="48"/>
      <c r="Y58" s="50"/>
      <c r="Z58" s="51"/>
      <c r="AA58" s="48"/>
    </row>
    <row r="59" spans="1:27" x14ac:dyDescent="0.35">
      <c r="A59" s="39" t="s">
        <v>216</v>
      </c>
      <c r="B59" s="49">
        <v>2467</v>
      </c>
      <c r="C59" s="50"/>
      <c r="D59" s="51"/>
      <c r="E59" s="50"/>
      <c r="F59" s="51"/>
      <c r="G59" s="48"/>
      <c r="H59" s="48"/>
      <c r="I59" s="50"/>
      <c r="J59" s="51"/>
      <c r="K59" s="48"/>
      <c r="L59" s="48"/>
      <c r="M59" s="50"/>
      <c r="N59" s="51"/>
      <c r="O59" s="48"/>
      <c r="P59" s="48"/>
      <c r="Q59" s="50">
        <v>2467</v>
      </c>
      <c r="R59" s="51">
        <v>2467</v>
      </c>
      <c r="S59" s="48"/>
      <c r="T59" s="48"/>
      <c r="U59" s="50"/>
      <c r="V59" s="51"/>
      <c r="W59" s="48"/>
      <c r="X59" s="48"/>
      <c r="Y59" s="50"/>
      <c r="Z59" s="51"/>
      <c r="AA59" s="48"/>
    </row>
    <row r="60" spans="1:27" x14ac:dyDescent="0.35">
      <c r="A60" s="41" t="s">
        <v>238</v>
      </c>
      <c r="B60" s="49">
        <v>4518</v>
      </c>
      <c r="C60" s="50"/>
      <c r="D60" s="51"/>
      <c r="E60" s="50"/>
      <c r="F60" s="51"/>
      <c r="G60" s="48"/>
      <c r="H60" s="48"/>
      <c r="I60" s="50"/>
      <c r="J60" s="51"/>
      <c r="K60" s="48"/>
      <c r="L60" s="48"/>
      <c r="M60" s="50"/>
      <c r="N60" s="51"/>
      <c r="O60" s="48"/>
      <c r="P60" s="48"/>
      <c r="Q60" s="50"/>
      <c r="R60" s="51"/>
      <c r="S60" s="48"/>
      <c r="T60" s="48"/>
      <c r="U60" s="50"/>
      <c r="V60" s="51"/>
      <c r="W60" s="48"/>
      <c r="X60" s="48"/>
      <c r="Y60" s="50">
        <v>4518</v>
      </c>
      <c r="Z60" s="51">
        <v>4518</v>
      </c>
      <c r="AA60" s="48"/>
    </row>
    <row r="61" spans="1:27" x14ac:dyDescent="0.35">
      <c r="A61" s="41" t="s">
        <v>217</v>
      </c>
      <c r="B61" s="49">
        <v>19636</v>
      </c>
      <c r="C61" s="50"/>
      <c r="D61" s="51"/>
      <c r="E61" s="50"/>
      <c r="F61" s="51"/>
      <c r="G61" s="48"/>
      <c r="H61" s="48"/>
      <c r="I61" s="50"/>
      <c r="J61" s="51"/>
      <c r="K61" s="48"/>
      <c r="L61" s="48"/>
      <c r="M61" s="50"/>
      <c r="N61" s="51"/>
      <c r="O61" s="48"/>
      <c r="P61" s="48"/>
      <c r="Q61" s="50"/>
      <c r="R61" s="51"/>
      <c r="S61" s="48"/>
      <c r="T61" s="48"/>
      <c r="U61" s="50"/>
      <c r="V61" s="51"/>
      <c r="W61" s="48">
        <v>5000</v>
      </c>
      <c r="X61" s="48">
        <v>5000</v>
      </c>
      <c r="Y61" s="50"/>
      <c r="Z61" s="51"/>
      <c r="AA61" s="48"/>
    </row>
    <row r="62" spans="1:27" x14ac:dyDescent="0.35">
      <c r="A62" s="41" t="s">
        <v>239</v>
      </c>
      <c r="B62" s="49">
        <v>4509</v>
      </c>
      <c r="C62" s="50"/>
      <c r="D62" s="51"/>
      <c r="E62" s="50"/>
      <c r="F62" s="51"/>
      <c r="G62" s="48"/>
      <c r="H62" s="48"/>
      <c r="I62" s="50"/>
      <c r="J62" s="51"/>
      <c r="K62" s="48"/>
      <c r="L62" s="48"/>
      <c r="M62" s="50"/>
      <c r="N62" s="51"/>
      <c r="O62" s="48"/>
      <c r="P62" s="48"/>
      <c r="Q62" s="50"/>
      <c r="R62" s="51"/>
      <c r="S62" s="48"/>
      <c r="T62" s="48"/>
      <c r="U62" s="50"/>
      <c r="V62" s="51"/>
      <c r="W62" s="48"/>
      <c r="X62" s="48"/>
      <c r="Y62" s="50">
        <v>4509</v>
      </c>
      <c r="Z62" s="51">
        <v>4509</v>
      </c>
      <c r="AA62" s="48"/>
    </row>
    <row r="63" spans="1:27" x14ac:dyDescent="0.35">
      <c r="A63" s="43" t="s">
        <v>218</v>
      </c>
      <c r="B63" s="49">
        <v>9596</v>
      </c>
      <c r="C63" s="50"/>
      <c r="D63" s="51"/>
      <c r="E63" s="50"/>
      <c r="F63" s="51"/>
      <c r="G63" s="48"/>
      <c r="H63" s="48"/>
      <c r="I63" s="50"/>
      <c r="J63" s="51"/>
      <c r="K63" s="48"/>
      <c r="L63" s="48"/>
      <c r="M63" s="50"/>
      <c r="N63" s="51"/>
      <c r="O63" s="48"/>
      <c r="P63" s="48"/>
      <c r="Q63" s="50"/>
      <c r="R63" s="51"/>
      <c r="S63" s="48"/>
      <c r="T63" s="48"/>
      <c r="U63" s="50"/>
      <c r="V63" s="51"/>
      <c r="W63" s="48"/>
      <c r="X63" s="48"/>
      <c r="Y63" s="50"/>
      <c r="Z63" s="51"/>
      <c r="AA63" s="48"/>
    </row>
    <row r="64" spans="1:27" x14ac:dyDescent="0.35">
      <c r="A64" s="41" t="s">
        <v>219</v>
      </c>
      <c r="B64" s="49">
        <v>7288</v>
      </c>
      <c r="C64" s="50"/>
      <c r="D64" s="51"/>
      <c r="E64" s="50"/>
      <c r="F64" s="51"/>
      <c r="G64" s="48"/>
      <c r="H64" s="48"/>
      <c r="I64" s="50"/>
      <c r="J64" s="51"/>
      <c r="K64" s="48"/>
      <c r="L64" s="48"/>
      <c r="M64" s="50"/>
      <c r="N64" s="51"/>
      <c r="O64" s="48"/>
      <c r="P64" s="48"/>
      <c r="Q64" s="50"/>
      <c r="R64" s="51"/>
      <c r="S64" s="48">
        <v>1394</v>
      </c>
      <c r="T64" s="48">
        <v>1394</v>
      </c>
      <c r="U64" s="50">
        <v>3069</v>
      </c>
      <c r="V64" s="51">
        <v>3069</v>
      </c>
      <c r="W64" s="48"/>
      <c r="X64" s="48"/>
      <c r="Y64" s="50">
        <v>2824</v>
      </c>
      <c r="Z64" s="51">
        <v>2824</v>
      </c>
      <c r="AA64" s="48"/>
    </row>
    <row r="65" spans="1:27" x14ac:dyDescent="0.35">
      <c r="A65" s="41" t="s">
        <v>220</v>
      </c>
      <c r="B65" s="49">
        <v>12340</v>
      </c>
      <c r="C65" s="50"/>
      <c r="D65" s="51"/>
      <c r="E65" s="50"/>
      <c r="F65" s="51"/>
      <c r="G65" s="48"/>
      <c r="H65" s="48"/>
      <c r="I65" s="50"/>
      <c r="J65" s="51"/>
      <c r="K65" s="48"/>
      <c r="L65" s="48"/>
      <c r="M65" s="50"/>
      <c r="N65" s="51"/>
      <c r="O65" s="48"/>
      <c r="P65" s="48"/>
      <c r="Q65" s="50"/>
      <c r="R65" s="51"/>
      <c r="S65" s="48"/>
      <c r="T65" s="48"/>
      <c r="U65" s="50">
        <v>3409</v>
      </c>
      <c r="V65" s="51">
        <v>3409</v>
      </c>
      <c r="W65" s="48">
        <v>3581</v>
      </c>
      <c r="X65" s="48">
        <v>3581</v>
      </c>
      <c r="Y65" s="50">
        <v>5349</v>
      </c>
      <c r="Z65" s="51">
        <v>5349</v>
      </c>
      <c r="AA65" s="48"/>
    </row>
    <row r="66" spans="1:27" x14ac:dyDescent="0.35">
      <c r="A66" s="42" t="s">
        <v>221</v>
      </c>
      <c r="B66" s="49">
        <v>28500</v>
      </c>
      <c r="C66" s="50"/>
      <c r="D66" s="51"/>
      <c r="E66" s="50"/>
      <c r="F66" s="51"/>
      <c r="G66" s="48"/>
      <c r="H66" s="48"/>
      <c r="I66" s="50"/>
      <c r="J66" s="51"/>
      <c r="K66" s="48"/>
      <c r="L66" s="48"/>
      <c r="M66" s="50"/>
      <c r="N66" s="51"/>
      <c r="O66" s="48"/>
      <c r="P66" s="48"/>
      <c r="Q66" s="50"/>
      <c r="R66" s="51"/>
      <c r="S66" s="48"/>
      <c r="T66" s="48"/>
      <c r="U66" s="50">
        <v>16786</v>
      </c>
      <c r="V66" s="51">
        <v>16786</v>
      </c>
      <c r="W66" s="48">
        <v>5000</v>
      </c>
      <c r="X66" s="48">
        <v>4250</v>
      </c>
      <c r="Y66" s="50">
        <v>6712</v>
      </c>
      <c r="Z66" s="51">
        <v>7406</v>
      </c>
      <c r="AA66" s="48"/>
    </row>
    <row r="67" spans="1:27" x14ac:dyDescent="0.35">
      <c r="A67" s="43" t="s">
        <v>222</v>
      </c>
      <c r="B67" s="49">
        <v>10874</v>
      </c>
      <c r="C67" s="50"/>
      <c r="D67" s="51"/>
      <c r="E67" s="50"/>
      <c r="F67" s="51"/>
      <c r="G67" s="48"/>
      <c r="H67" s="48"/>
      <c r="I67" s="50"/>
      <c r="J67" s="51"/>
      <c r="K67" s="48"/>
      <c r="L67" s="48"/>
      <c r="M67" s="50"/>
      <c r="N67" s="51"/>
      <c r="O67" s="48"/>
      <c r="P67" s="48"/>
      <c r="Q67" s="50"/>
      <c r="R67" s="51"/>
      <c r="S67" s="48"/>
      <c r="T67" s="48"/>
      <c r="U67" s="50"/>
      <c r="V67" s="51"/>
      <c r="W67" s="48"/>
      <c r="X67" s="48"/>
      <c r="Y67" s="50">
        <v>2278</v>
      </c>
      <c r="Z67" s="51">
        <v>2278</v>
      </c>
      <c r="AA67" s="48"/>
    </row>
    <row r="68" spans="1:27" x14ac:dyDescent="0.35">
      <c r="A68" s="43" t="s">
        <v>223</v>
      </c>
      <c r="B68" s="49">
        <v>2878</v>
      </c>
      <c r="C68" s="50"/>
      <c r="D68" s="51"/>
      <c r="E68" s="50"/>
      <c r="F68" s="51"/>
      <c r="G68" s="48"/>
      <c r="H68" s="48"/>
      <c r="I68" s="50"/>
      <c r="J68" s="51"/>
      <c r="K68" s="48"/>
      <c r="L68" s="48"/>
      <c r="M68" s="50"/>
      <c r="N68" s="51"/>
      <c r="O68" s="48"/>
      <c r="P68" s="48"/>
      <c r="Q68" s="50"/>
      <c r="R68" s="51"/>
      <c r="S68" s="48"/>
      <c r="T68" s="48"/>
      <c r="U68" s="50">
        <v>2878</v>
      </c>
      <c r="V68" s="51">
        <v>2878</v>
      </c>
      <c r="W68" s="48"/>
      <c r="X68" s="48"/>
      <c r="Y68" s="50"/>
      <c r="Z68" s="51"/>
      <c r="AA68" s="48"/>
    </row>
    <row r="69" spans="1:27" x14ac:dyDescent="0.35">
      <c r="A69" s="41" t="s">
        <v>224</v>
      </c>
      <c r="B69" s="49">
        <v>7492</v>
      </c>
      <c r="C69" s="50"/>
      <c r="D69" s="51"/>
      <c r="E69" s="50"/>
      <c r="F69" s="51"/>
      <c r="G69" s="48"/>
      <c r="H69" s="48"/>
      <c r="I69" s="50"/>
      <c r="J69" s="51"/>
      <c r="K69" s="48"/>
      <c r="L69" s="48"/>
      <c r="M69" s="50"/>
      <c r="N69" s="51"/>
      <c r="O69" s="48"/>
      <c r="P69" s="48"/>
      <c r="Q69" s="50"/>
      <c r="R69" s="51"/>
      <c r="S69" s="48"/>
      <c r="T69" s="48"/>
      <c r="U69" s="50"/>
      <c r="V69" s="51"/>
      <c r="W69" s="48"/>
      <c r="X69" s="48"/>
      <c r="Y69" s="50"/>
      <c r="Z69" s="51"/>
      <c r="AA69" s="48"/>
    </row>
    <row r="70" spans="1:27" x14ac:dyDescent="0.35">
      <c r="A70" s="43" t="s">
        <v>227</v>
      </c>
      <c r="B70" s="49">
        <v>8334</v>
      </c>
      <c r="C70" s="50"/>
      <c r="D70" s="51"/>
      <c r="E70" s="50"/>
      <c r="F70" s="51"/>
      <c r="G70" s="48"/>
      <c r="H70" s="48"/>
      <c r="I70" s="50"/>
      <c r="J70" s="51"/>
      <c r="K70" s="48"/>
      <c r="L70" s="48"/>
      <c r="M70" s="50"/>
      <c r="N70" s="51"/>
      <c r="O70" s="48"/>
      <c r="P70" s="48"/>
      <c r="Q70" s="50"/>
      <c r="R70" s="51"/>
      <c r="S70" s="48"/>
      <c r="T70" s="48"/>
      <c r="U70" s="50">
        <v>8000</v>
      </c>
      <c r="V70" s="51">
        <v>8000</v>
      </c>
      <c r="W70" s="48"/>
      <c r="X70" s="48"/>
      <c r="Y70" s="50"/>
      <c r="Z70" s="51"/>
      <c r="AA70" s="48"/>
    </row>
    <row r="71" spans="1:27" x14ac:dyDescent="0.35">
      <c r="A71" s="43" t="s">
        <v>228</v>
      </c>
      <c r="B71" s="63">
        <v>7347</v>
      </c>
      <c r="C71" s="50"/>
      <c r="D71" s="51"/>
      <c r="E71" s="50"/>
      <c r="F71" s="51"/>
      <c r="G71" s="48"/>
      <c r="H71" s="48"/>
      <c r="I71" s="50"/>
      <c r="J71" s="51"/>
      <c r="K71" s="48"/>
      <c r="L71" s="48"/>
      <c r="M71" s="50"/>
      <c r="N71" s="51"/>
      <c r="O71" s="48"/>
      <c r="P71" s="48"/>
      <c r="Q71" s="50"/>
      <c r="R71" s="51"/>
      <c r="S71" s="48"/>
      <c r="T71" s="48"/>
      <c r="U71" s="50"/>
      <c r="V71" s="51"/>
      <c r="W71" s="48"/>
      <c r="X71" s="48"/>
      <c r="Y71" s="50"/>
      <c r="Z71" s="51"/>
      <c r="AA71" s="48"/>
    </row>
    <row r="72" spans="1:27" x14ac:dyDescent="0.35">
      <c r="A72" s="43" t="s">
        <v>229</v>
      </c>
      <c r="B72" s="63">
        <v>7331</v>
      </c>
      <c r="C72" s="50"/>
      <c r="D72" s="51"/>
      <c r="E72" s="50"/>
      <c r="F72" s="51"/>
      <c r="G72" s="48"/>
      <c r="H72" s="48"/>
      <c r="I72" s="50"/>
      <c r="J72" s="51"/>
      <c r="K72" s="48"/>
      <c r="L72" s="48"/>
      <c r="M72" s="50"/>
      <c r="N72" s="51"/>
      <c r="O72" s="48"/>
      <c r="P72" s="48"/>
      <c r="Q72" s="50"/>
      <c r="R72" s="51"/>
      <c r="S72" s="48"/>
      <c r="T72" s="48"/>
      <c r="U72" s="50">
        <v>1126.8</v>
      </c>
      <c r="V72" s="51">
        <v>1127</v>
      </c>
      <c r="W72" s="48"/>
      <c r="X72" s="48"/>
      <c r="Y72" s="50">
        <v>2676</v>
      </c>
      <c r="Z72" s="51">
        <v>2676</v>
      </c>
      <c r="AA72" s="48"/>
    </row>
    <row r="73" spans="1:27" x14ac:dyDescent="0.35">
      <c r="A73" s="39" t="s">
        <v>230</v>
      </c>
      <c r="B73" s="49">
        <v>2950</v>
      </c>
      <c r="C73" s="50"/>
      <c r="D73" s="51"/>
      <c r="E73" s="50"/>
      <c r="F73" s="51"/>
      <c r="G73" s="48"/>
      <c r="H73" s="48"/>
      <c r="I73" s="50"/>
      <c r="J73" s="51"/>
      <c r="K73" s="48"/>
      <c r="L73" s="48"/>
      <c r="M73" s="50"/>
      <c r="N73" s="51"/>
      <c r="O73" s="48"/>
      <c r="P73" s="48"/>
      <c r="Q73" s="50"/>
      <c r="R73" s="51"/>
      <c r="S73" s="48"/>
      <c r="T73" s="48"/>
      <c r="U73" s="50"/>
      <c r="V73" s="51"/>
      <c r="W73" s="48"/>
      <c r="X73" s="48"/>
      <c r="Y73" s="50">
        <v>2950</v>
      </c>
      <c r="Z73" s="51">
        <v>2250</v>
      </c>
      <c r="AA73" s="48"/>
    </row>
    <row r="74" spans="1:27" x14ac:dyDescent="0.35">
      <c r="A74" s="39" t="s">
        <v>231</v>
      </c>
      <c r="B74" s="49">
        <v>2980</v>
      </c>
      <c r="C74" s="50"/>
      <c r="D74" s="51"/>
      <c r="E74" s="50"/>
      <c r="F74" s="51"/>
      <c r="G74" s="48"/>
      <c r="H74" s="48"/>
      <c r="I74" s="50"/>
      <c r="J74" s="51"/>
      <c r="K74" s="48"/>
      <c r="L74" s="48"/>
      <c r="M74" s="50"/>
      <c r="N74" s="51"/>
      <c r="O74" s="48"/>
      <c r="P74" s="48"/>
      <c r="Q74" s="50"/>
      <c r="R74" s="51"/>
      <c r="S74" s="48"/>
      <c r="T74" s="48"/>
      <c r="U74" s="50">
        <v>2980</v>
      </c>
      <c r="V74" s="51">
        <v>2980</v>
      </c>
      <c r="W74" s="48"/>
      <c r="X74" s="48"/>
      <c r="Y74" s="50">
        <v>850</v>
      </c>
      <c r="Z74" s="51">
        <v>850</v>
      </c>
      <c r="AA74" s="48"/>
    </row>
    <row r="75" spans="1:27" x14ac:dyDescent="0.35">
      <c r="A75" s="43" t="s">
        <v>232</v>
      </c>
      <c r="B75" s="63">
        <v>9882</v>
      </c>
      <c r="C75" s="50"/>
      <c r="D75" s="51"/>
      <c r="E75" s="50"/>
      <c r="F75" s="51"/>
      <c r="G75" s="48"/>
      <c r="H75" s="48"/>
      <c r="I75" s="50"/>
      <c r="J75" s="51"/>
      <c r="K75" s="48"/>
      <c r="L75" s="48"/>
      <c r="M75" s="50"/>
      <c r="N75" s="51"/>
      <c r="O75" s="48"/>
      <c r="P75" s="48"/>
      <c r="Q75" s="50"/>
      <c r="R75" s="51"/>
      <c r="S75" s="48"/>
      <c r="T75" s="48"/>
      <c r="U75" s="50"/>
      <c r="V75" s="51"/>
      <c r="W75" s="48"/>
      <c r="X75" s="48"/>
      <c r="Y75" s="50">
        <v>9882</v>
      </c>
      <c r="Z75" s="51">
        <v>9967</v>
      </c>
      <c r="AA75" s="48"/>
    </row>
    <row r="76" spans="1:27" x14ac:dyDescent="0.35">
      <c r="A76" s="43" t="s">
        <v>233</v>
      </c>
      <c r="B76" s="63">
        <v>7987</v>
      </c>
      <c r="C76" s="50"/>
      <c r="D76" s="51"/>
      <c r="E76" s="50"/>
      <c r="F76" s="51"/>
      <c r="G76" s="48"/>
      <c r="H76" s="48"/>
      <c r="I76" s="50"/>
      <c r="J76" s="51"/>
      <c r="K76" s="48"/>
      <c r="L76" s="48"/>
      <c r="M76" s="50"/>
      <c r="N76" s="51"/>
      <c r="O76" s="48"/>
      <c r="P76" s="48"/>
      <c r="Q76" s="50"/>
      <c r="R76" s="51"/>
      <c r="S76" s="48"/>
      <c r="T76" s="48"/>
      <c r="U76" s="50"/>
      <c r="V76" s="51"/>
      <c r="W76" s="48"/>
      <c r="X76" s="48"/>
      <c r="Y76" s="50">
        <v>7987</v>
      </c>
      <c r="Z76" s="51">
        <v>7987</v>
      </c>
      <c r="AA76" s="52" t="s">
        <v>153</v>
      </c>
    </row>
    <row r="77" spans="1:27" x14ac:dyDescent="0.35">
      <c r="A77" s="43" t="s">
        <v>234</v>
      </c>
      <c r="B77" s="63">
        <v>15500</v>
      </c>
      <c r="C77" s="50"/>
      <c r="D77" s="51"/>
      <c r="E77" s="50"/>
      <c r="F77" s="51"/>
      <c r="G77" s="48"/>
      <c r="H77" s="48"/>
      <c r="I77" s="50"/>
      <c r="J77" s="51"/>
      <c r="K77" s="48"/>
      <c r="L77" s="48"/>
      <c r="M77" s="50"/>
      <c r="N77" s="51"/>
      <c r="O77" s="48"/>
      <c r="P77" s="48"/>
      <c r="Q77" s="50"/>
      <c r="R77" s="51"/>
      <c r="S77" s="48"/>
      <c r="T77" s="48"/>
      <c r="U77" s="50"/>
      <c r="V77" s="51"/>
      <c r="W77" s="48">
        <v>7540</v>
      </c>
      <c r="X77" s="48">
        <v>7540</v>
      </c>
      <c r="Y77" s="50">
        <v>7960</v>
      </c>
      <c r="Z77" s="51"/>
      <c r="AA77" s="48"/>
    </row>
    <row r="78" spans="1:27" x14ac:dyDescent="0.35">
      <c r="A78" s="39" t="s">
        <v>235</v>
      </c>
      <c r="B78" s="49">
        <v>1521</v>
      </c>
      <c r="C78" s="50"/>
      <c r="D78" s="51"/>
      <c r="E78" s="50"/>
      <c r="F78" s="51"/>
      <c r="G78" s="48"/>
      <c r="H78" s="48"/>
      <c r="I78" s="50"/>
      <c r="J78" s="51"/>
      <c r="K78" s="48"/>
      <c r="L78" s="48"/>
      <c r="M78" s="50"/>
      <c r="N78" s="51"/>
      <c r="O78" s="48"/>
      <c r="P78" s="48"/>
      <c r="Q78" s="50"/>
      <c r="R78" s="51"/>
      <c r="S78" s="48"/>
      <c r="T78" s="48"/>
      <c r="U78" s="50">
        <v>1521</v>
      </c>
      <c r="V78" s="51">
        <v>1521</v>
      </c>
      <c r="W78" s="48"/>
      <c r="X78" s="48"/>
      <c r="Y78" s="50"/>
      <c r="Z78" s="51"/>
      <c r="AA78" s="48"/>
    </row>
    <row r="79" spans="1:27" x14ac:dyDescent="0.35">
      <c r="A79" s="39" t="s">
        <v>236</v>
      </c>
      <c r="B79" s="49">
        <v>550</v>
      </c>
      <c r="C79" s="50"/>
      <c r="D79" s="51"/>
      <c r="E79" s="50"/>
      <c r="F79" s="51"/>
      <c r="G79" s="48"/>
      <c r="H79" s="48"/>
      <c r="I79" s="50"/>
      <c r="J79" s="51"/>
      <c r="K79" s="48"/>
      <c r="L79" s="48"/>
      <c r="M79" s="50"/>
      <c r="N79" s="51"/>
      <c r="O79" s="48"/>
      <c r="P79" s="48"/>
      <c r="Q79" s="50"/>
      <c r="R79" s="51"/>
      <c r="S79" s="48"/>
      <c r="T79" s="48"/>
      <c r="U79" s="50"/>
      <c r="V79" s="51"/>
      <c r="W79" s="48"/>
      <c r="X79" s="48"/>
      <c r="Y79" s="50">
        <v>550</v>
      </c>
      <c r="Z79" s="51">
        <v>550</v>
      </c>
      <c r="AA79" s="48"/>
    </row>
    <row r="80" spans="1:27" x14ac:dyDescent="0.35">
      <c r="A80" s="39" t="s">
        <v>237</v>
      </c>
      <c r="B80" s="49">
        <v>510</v>
      </c>
      <c r="C80" s="50"/>
      <c r="D80" s="51"/>
      <c r="E80" s="50"/>
      <c r="F80" s="51"/>
      <c r="G80" s="48"/>
      <c r="H80" s="48"/>
      <c r="I80" s="50"/>
      <c r="J80" s="51"/>
      <c r="K80" s="48"/>
      <c r="L80" s="48"/>
      <c r="M80" s="50"/>
      <c r="N80" s="51"/>
      <c r="O80" s="48"/>
      <c r="P80" s="48"/>
      <c r="Q80" s="50"/>
      <c r="R80" s="51"/>
      <c r="S80" s="48"/>
      <c r="T80" s="48"/>
      <c r="U80" s="50"/>
      <c r="V80" s="51"/>
      <c r="W80" s="48">
        <v>510</v>
      </c>
      <c r="X80" s="48">
        <v>510</v>
      </c>
      <c r="Y80" s="50"/>
      <c r="Z80" s="51"/>
      <c r="AA80" s="52" t="s">
        <v>153</v>
      </c>
    </row>
    <row r="81" spans="1:28" x14ac:dyDescent="0.35">
      <c r="A81" s="23" t="s">
        <v>155</v>
      </c>
      <c r="B81" s="53">
        <f>SUM(B3:B80)</f>
        <v>978893</v>
      </c>
      <c r="C81" s="53">
        <f>SUM(C3:C80)</f>
        <v>45886</v>
      </c>
      <c r="D81" s="53"/>
      <c r="E81" s="53">
        <f>SUM(E3:E80)</f>
        <v>70331</v>
      </c>
      <c r="F81" s="53"/>
      <c r="G81" s="53">
        <f>SUM(G3:G80)</f>
        <v>75891</v>
      </c>
      <c r="H81" s="53"/>
      <c r="I81" s="53">
        <f>SUM(I3:I80)</f>
        <v>54636</v>
      </c>
      <c r="J81" s="53"/>
      <c r="K81" s="53">
        <f>SUM(K3:K80)</f>
        <v>87850</v>
      </c>
      <c r="L81" s="53"/>
      <c r="M81" s="53">
        <f>SUM(M3:M80)</f>
        <v>80509</v>
      </c>
      <c r="N81" s="53"/>
      <c r="O81" s="53">
        <f>SUM(O3:O80)</f>
        <v>68189</v>
      </c>
      <c r="P81" s="53"/>
      <c r="Q81" s="53">
        <f>SUM(Q3:Q80)</f>
        <v>90847</v>
      </c>
      <c r="R81" s="53"/>
      <c r="S81" s="53">
        <f>SUM(S3:S80)</f>
        <v>70126</v>
      </c>
      <c r="T81" s="53"/>
      <c r="U81" s="53">
        <f>SUM(U3:U80)</f>
        <v>86846.8</v>
      </c>
      <c r="V81" s="53"/>
      <c r="W81" s="53">
        <f>SUM(W3:W80)</f>
        <v>30693</v>
      </c>
      <c r="X81" s="53"/>
      <c r="Y81" s="53">
        <f>SUM(Y3:Y80)</f>
        <v>151291</v>
      </c>
      <c r="Z81" s="54"/>
      <c r="AA81" s="55">
        <f>SUM(C81:Z81)</f>
        <v>913095.8</v>
      </c>
      <c r="AB81" t="s">
        <v>150</v>
      </c>
    </row>
    <row r="82" spans="1:28" x14ac:dyDescent="0.35">
      <c r="A82" s="26" t="s">
        <v>226</v>
      </c>
      <c r="B82" s="56"/>
      <c r="C82" s="56"/>
      <c r="D82" s="56">
        <f>SUM(D3:D81)</f>
        <v>44108</v>
      </c>
      <c r="E82" s="56"/>
      <c r="F82" s="56">
        <f>SUM(F3:F81)</f>
        <v>86129</v>
      </c>
      <c r="G82" s="56"/>
      <c r="H82" s="56">
        <f>SUM(H3:H81)</f>
        <v>77997</v>
      </c>
      <c r="I82" s="56"/>
      <c r="J82" s="56">
        <f>SUM(J3:J81)</f>
        <v>51235</v>
      </c>
      <c r="K82" s="56"/>
      <c r="L82" s="56">
        <f>SUM(L3:L81)</f>
        <v>87850</v>
      </c>
      <c r="M82" s="56"/>
      <c r="N82" s="56">
        <f>SUM(N3:N81)</f>
        <v>74457</v>
      </c>
      <c r="O82" s="56"/>
      <c r="P82" s="56">
        <f>SUM(P3:P81)</f>
        <v>68189</v>
      </c>
      <c r="Q82" s="56"/>
      <c r="R82" s="56">
        <f>SUM(R3:R81)</f>
        <v>92224</v>
      </c>
      <c r="S82" s="56"/>
      <c r="T82" s="56">
        <f>SUM(T3:T81)</f>
        <v>70138</v>
      </c>
      <c r="U82" s="56"/>
      <c r="V82" s="56">
        <f>SUM(V3:V81)</f>
        <v>86847</v>
      </c>
      <c r="W82" s="56"/>
      <c r="X82" s="56">
        <f>SUM(X3:X81)</f>
        <v>29943</v>
      </c>
      <c r="Y82" s="56"/>
      <c r="Z82" s="56">
        <f>SUM(Z3:Z81)</f>
        <v>81335</v>
      </c>
      <c r="AA82" s="55">
        <f>SUM(C82:Z82)</f>
        <v>850452</v>
      </c>
      <c r="AB82" t="s">
        <v>151</v>
      </c>
    </row>
    <row r="83" spans="1:28" x14ac:dyDescent="0.35">
      <c r="A83" s="33" t="s">
        <v>225</v>
      </c>
      <c r="B83" s="59"/>
      <c r="C83" s="59">
        <f>C81</f>
        <v>45886</v>
      </c>
      <c r="D83" s="59"/>
      <c r="E83" s="59">
        <f>E81+C83</f>
        <v>116217</v>
      </c>
      <c r="F83" s="59"/>
      <c r="G83" s="59">
        <f>G81+E83</f>
        <v>192108</v>
      </c>
      <c r="H83" s="59"/>
      <c r="I83" s="59">
        <f>I81+G83</f>
        <v>246744</v>
      </c>
      <c r="J83" s="59"/>
      <c r="K83" s="59">
        <f>K81+I83</f>
        <v>334594</v>
      </c>
      <c r="L83" s="59"/>
      <c r="M83" s="59">
        <f>M81+K83</f>
        <v>415103</v>
      </c>
      <c r="N83" s="59"/>
      <c r="O83" s="59">
        <f>O81+M83</f>
        <v>483292</v>
      </c>
      <c r="P83" s="59"/>
      <c r="Q83" s="59">
        <f>Q81+O83</f>
        <v>574139</v>
      </c>
      <c r="R83" s="59"/>
      <c r="S83" s="59">
        <f>S81+Q83</f>
        <v>644265</v>
      </c>
      <c r="T83" s="59"/>
      <c r="U83" s="59">
        <f>U81+S83</f>
        <v>731111.8</v>
      </c>
      <c r="V83" s="59"/>
      <c r="W83" s="59">
        <f>W81+U83</f>
        <v>761804.80000000005</v>
      </c>
      <c r="X83" s="59"/>
      <c r="Y83" s="59">
        <f>Y81+W83</f>
        <v>913095.8</v>
      </c>
      <c r="Z83" s="59"/>
      <c r="AA83" s="55"/>
    </row>
    <row r="84" spans="1:28" x14ac:dyDescent="0.35">
      <c r="A84" s="29" t="s">
        <v>156</v>
      </c>
      <c r="B84" s="57"/>
      <c r="C84" s="57"/>
      <c r="D84" s="57">
        <f>D82</f>
        <v>44108</v>
      </c>
      <c r="E84" s="57"/>
      <c r="F84" s="57">
        <f>F82+D84</f>
        <v>130237</v>
      </c>
      <c r="G84" s="57"/>
      <c r="H84" s="57">
        <f>H82+F84</f>
        <v>208234</v>
      </c>
      <c r="I84" s="57"/>
      <c r="J84" s="57">
        <f>J82+H84</f>
        <v>259469</v>
      </c>
      <c r="K84" s="57"/>
      <c r="L84" s="57">
        <f>L82+J84</f>
        <v>347319</v>
      </c>
      <c r="M84" s="57"/>
      <c r="N84" s="57">
        <f>N82+L84</f>
        <v>421776</v>
      </c>
      <c r="O84" s="57"/>
      <c r="P84" s="57">
        <f>P82+N84</f>
        <v>489965</v>
      </c>
      <c r="Q84" s="57"/>
      <c r="R84" s="57">
        <f>R82+P84</f>
        <v>582189</v>
      </c>
      <c r="S84" s="57"/>
      <c r="T84" s="57">
        <f>T82+R84</f>
        <v>652327</v>
      </c>
      <c r="U84" s="57"/>
      <c r="V84" s="57">
        <f>V82+T84</f>
        <v>739174</v>
      </c>
      <c r="W84" s="57"/>
      <c r="X84" s="57">
        <f>X82+V84</f>
        <v>769117</v>
      </c>
      <c r="Y84" s="57"/>
      <c r="Z84" s="58">
        <f>Z82+X84</f>
        <v>850452</v>
      </c>
      <c r="AA84" s="48"/>
    </row>
    <row r="85" spans="1:28" ht="14.25" x14ac:dyDescent="0.2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8" ht="14.25" x14ac:dyDescent="0.2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8" ht="14.25" x14ac:dyDescent="0.2"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8" ht="14.25" x14ac:dyDescent="0.2">
      <c r="A88" s="60" t="s">
        <v>159</v>
      </c>
      <c r="B88" s="61"/>
      <c r="C88" s="61">
        <f>'2014-15'!C156</f>
        <v>80748</v>
      </c>
      <c r="D88" s="61"/>
      <c r="E88" s="61">
        <f>'2014-15'!D156</f>
        <v>186416</v>
      </c>
      <c r="F88" s="61"/>
      <c r="G88" s="61">
        <f>'2014-15'!E156</f>
        <v>239396</v>
      </c>
      <c r="H88" s="61"/>
      <c r="I88" s="61">
        <f>'2014-15'!F156</f>
        <v>305294</v>
      </c>
      <c r="J88" s="61"/>
      <c r="K88" s="61">
        <f>'2014-15'!G156</f>
        <v>384638</v>
      </c>
      <c r="L88" s="61"/>
      <c r="M88" s="61">
        <f>'2014-15'!H156</f>
        <v>442812</v>
      </c>
      <c r="N88" s="61"/>
      <c r="O88" s="61">
        <f>'2014-15'!I156</f>
        <v>512208</v>
      </c>
      <c r="P88" s="61"/>
      <c r="Q88" s="61">
        <f>'2014-15'!J156</f>
        <v>553811</v>
      </c>
      <c r="R88" s="61"/>
      <c r="S88" s="61">
        <f>'2014-15'!K156</f>
        <v>631730</v>
      </c>
      <c r="T88" s="61"/>
      <c r="U88" s="61">
        <f>'2014-15'!L156</f>
        <v>727094</v>
      </c>
      <c r="V88" s="61"/>
      <c r="W88" s="61">
        <f>'2014-15'!M156</f>
        <v>763646</v>
      </c>
      <c r="X88" s="61"/>
      <c r="Y88" s="61">
        <f>'2014-15'!N156</f>
        <v>888339</v>
      </c>
      <c r="Z88" s="62"/>
      <c r="AA88" s="48"/>
    </row>
    <row r="89" spans="1:28" ht="14.25" x14ac:dyDescent="0.2">
      <c r="A89" s="29" t="s">
        <v>157</v>
      </c>
      <c r="B89" s="57"/>
      <c r="C89" s="57"/>
      <c r="D89" s="57">
        <f>D84</f>
        <v>44108</v>
      </c>
      <c r="E89" s="57"/>
      <c r="F89" s="57">
        <f>F84</f>
        <v>130237</v>
      </c>
      <c r="G89" s="57"/>
      <c r="H89" s="57">
        <f>H84</f>
        <v>208234</v>
      </c>
      <c r="I89" s="57"/>
      <c r="J89" s="57">
        <f>J84</f>
        <v>259469</v>
      </c>
      <c r="K89" s="57"/>
      <c r="L89" s="57">
        <f>L84</f>
        <v>347319</v>
      </c>
      <c r="M89" s="57"/>
      <c r="N89" s="57">
        <f>N84</f>
        <v>421776</v>
      </c>
      <c r="O89" s="57"/>
      <c r="P89" s="57">
        <f>P84</f>
        <v>489965</v>
      </c>
      <c r="Q89" s="57"/>
      <c r="R89" s="57">
        <f>R84</f>
        <v>582189</v>
      </c>
      <c r="S89" s="57"/>
      <c r="T89" s="57">
        <f>T84</f>
        <v>652327</v>
      </c>
      <c r="U89" s="57"/>
      <c r="V89" s="57">
        <f>V84</f>
        <v>739174</v>
      </c>
      <c r="W89" s="57"/>
      <c r="X89" s="57">
        <f>X84</f>
        <v>769117</v>
      </c>
      <c r="Y89" s="57"/>
      <c r="Z89" s="58">
        <f>Z84</f>
        <v>850452</v>
      </c>
      <c r="AA89" s="48"/>
    </row>
    <row r="90" spans="1:28" ht="14.25" x14ac:dyDescent="0.2">
      <c r="A90" t="s">
        <v>160</v>
      </c>
    </row>
  </sheetData>
  <mergeCells count="12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rintOptions headings="1"/>
  <pageMargins left="0.25" right="0.25" top="0.75" bottom="0.75" header="0.3" footer="0.3"/>
  <pageSetup paperSize="8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5"/>
  <sheetViews>
    <sheetView topLeftCell="A3" zoomScaleNormal="100" workbookViewId="0">
      <pane xSplit="1" topLeftCell="B1" activePane="topRight" state="frozen"/>
      <selection pane="topRight" activeCell="AC22" sqref="AC22"/>
    </sheetView>
  </sheetViews>
  <sheetFormatPr baseColWidth="10" defaultRowHeight="13.5" x14ac:dyDescent="0.35"/>
  <cols>
    <col min="1" max="1" width="23.125" customWidth="1"/>
    <col min="2" max="2" width="10.625" customWidth="1"/>
    <col min="3" max="26" width="9.625" customWidth="1"/>
  </cols>
  <sheetData>
    <row r="1" spans="1:27" x14ac:dyDescent="0.35">
      <c r="A1" s="36"/>
      <c r="B1" s="37"/>
      <c r="C1" s="440" t="s">
        <v>142</v>
      </c>
      <c r="D1" s="460"/>
      <c r="E1" s="440" t="s">
        <v>143</v>
      </c>
      <c r="F1" s="460"/>
      <c r="G1" s="461" t="s">
        <v>144</v>
      </c>
      <c r="H1" s="461"/>
      <c r="I1" s="440" t="s">
        <v>138</v>
      </c>
      <c r="J1" s="460"/>
      <c r="K1" s="461" t="s">
        <v>139</v>
      </c>
      <c r="L1" s="461"/>
      <c r="M1" s="440" t="s">
        <v>140</v>
      </c>
      <c r="N1" s="460"/>
      <c r="O1" s="461" t="s">
        <v>141</v>
      </c>
      <c r="P1" s="461"/>
      <c r="Q1" s="440" t="s">
        <v>145</v>
      </c>
      <c r="R1" s="460"/>
      <c r="S1" s="461" t="s">
        <v>146</v>
      </c>
      <c r="T1" s="461"/>
      <c r="U1" s="440" t="s">
        <v>147</v>
      </c>
      <c r="V1" s="460"/>
      <c r="W1" s="461" t="s">
        <v>148</v>
      </c>
      <c r="X1" s="461"/>
      <c r="Y1" s="440" t="s">
        <v>149</v>
      </c>
      <c r="Z1" s="460"/>
    </row>
    <row r="2" spans="1:27" ht="15" x14ac:dyDescent="0.4">
      <c r="A2" s="38" t="s">
        <v>137</v>
      </c>
      <c r="B2" s="35" t="s">
        <v>152</v>
      </c>
      <c r="C2" s="33" t="s">
        <v>150</v>
      </c>
      <c r="D2" s="31" t="s">
        <v>151</v>
      </c>
      <c r="E2" s="33" t="s">
        <v>150</v>
      </c>
      <c r="F2" s="16" t="s">
        <v>151</v>
      </c>
      <c r="G2" s="34" t="s">
        <v>150</v>
      </c>
      <c r="H2" s="14" t="s">
        <v>151</v>
      </c>
      <c r="I2" s="33" t="s">
        <v>150</v>
      </c>
      <c r="J2" s="16" t="s">
        <v>151</v>
      </c>
      <c r="K2" s="34" t="s">
        <v>150</v>
      </c>
      <c r="L2" s="14" t="s">
        <v>151</v>
      </c>
      <c r="M2" s="33" t="s">
        <v>150</v>
      </c>
      <c r="N2" s="16" t="s">
        <v>151</v>
      </c>
      <c r="O2" s="34" t="s">
        <v>150</v>
      </c>
      <c r="P2" s="14" t="s">
        <v>151</v>
      </c>
      <c r="Q2" s="33" t="s">
        <v>150</v>
      </c>
      <c r="R2" s="16" t="s">
        <v>151</v>
      </c>
      <c r="S2" s="34" t="s">
        <v>150</v>
      </c>
      <c r="T2" s="14" t="s">
        <v>151</v>
      </c>
      <c r="U2" s="33" t="s">
        <v>150</v>
      </c>
      <c r="V2" s="16" t="s">
        <v>151</v>
      </c>
      <c r="W2" s="34" t="s">
        <v>150</v>
      </c>
      <c r="X2" s="14" t="s">
        <v>151</v>
      </c>
      <c r="Y2" s="33" t="s">
        <v>150</v>
      </c>
      <c r="Z2" s="16" t="s">
        <v>151</v>
      </c>
    </row>
    <row r="3" spans="1:27" x14ac:dyDescent="0.35">
      <c r="A3" s="36" t="s">
        <v>161</v>
      </c>
      <c r="B3" s="44"/>
      <c r="C3" s="45"/>
      <c r="D3" s="46"/>
      <c r="E3" s="45"/>
      <c r="F3" s="46"/>
      <c r="G3" s="47"/>
      <c r="H3" s="47"/>
      <c r="I3" s="45"/>
      <c r="J3" s="46"/>
      <c r="K3" s="47"/>
      <c r="L3" s="47"/>
      <c r="M3" s="45"/>
      <c r="N3" s="46"/>
      <c r="O3" s="47"/>
      <c r="P3" s="47"/>
      <c r="Q3" s="45"/>
      <c r="R3" s="46"/>
      <c r="S3" s="47"/>
      <c r="T3" s="47"/>
      <c r="U3" s="45"/>
      <c r="V3" s="46"/>
      <c r="W3" s="47"/>
      <c r="X3" s="47"/>
      <c r="Y3" s="45"/>
      <c r="Z3" s="46"/>
      <c r="AA3" s="48"/>
    </row>
    <row r="4" spans="1:27" x14ac:dyDescent="0.35">
      <c r="A4" s="66"/>
      <c r="B4" s="49"/>
      <c r="C4" s="50"/>
      <c r="D4" s="51"/>
      <c r="E4" s="50"/>
      <c r="F4" s="51"/>
      <c r="G4" s="48"/>
      <c r="H4" s="48"/>
      <c r="I4" s="50"/>
      <c r="J4" s="51"/>
      <c r="K4" s="48"/>
      <c r="L4" s="48"/>
      <c r="M4" s="50"/>
      <c r="N4" s="51"/>
      <c r="O4" s="48"/>
      <c r="P4" s="48"/>
      <c r="Q4" s="50"/>
      <c r="R4" s="51"/>
      <c r="S4" s="48"/>
      <c r="T4" s="48"/>
      <c r="U4" s="50"/>
      <c r="V4" s="51"/>
      <c r="W4" s="48"/>
      <c r="X4" s="48"/>
      <c r="Y4" s="50"/>
      <c r="Z4" s="51"/>
      <c r="AA4" s="48"/>
    </row>
    <row r="5" spans="1:27" x14ac:dyDescent="0.35">
      <c r="A5" s="66"/>
      <c r="B5" s="49"/>
      <c r="C5" s="50">
        <v>45000</v>
      </c>
      <c r="D5" s="51">
        <v>45000</v>
      </c>
      <c r="E5" s="50">
        <v>55000</v>
      </c>
      <c r="F5" s="51">
        <v>55000</v>
      </c>
      <c r="G5" s="48">
        <v>68000</v>
      </c>
      <c r="H5" s="48">
        <v>68000</v>
      </c>
      <c r="I5" s="50">
        <v>22000</v>
      </c>
      <c r="J5" s="51">
        <v>22000</v>
      </c>
      <c r="K5" s="48">
        <v>82000</v>
      </c>
      <c r="L5" s="48">
        <v>82000</v>
      </c>
      <c r="M5" s="50">
        <v>92000</v>
      </c>
      <c r="N5" s="51">
        <v>92000</v>
      </c>
      <c r="O5" s="48">
        <v>90000</v>
      </c>
      <c r="P5" s="48">
        <v>90000</v>
      </c>
      <c r="Q5" s="50">
        <v>92000</v>
      </c>
      <c r="R5" s="51">
        <v>92000</v>
      </c>
      <c r="S5" s="48">
        <f>30000+9000+15000+5000+15000+9000+5000+2400+4800+4000</f>
        <v>99200</v>
      </c>
      <c r="T5" s="48">
        <v>90000</v>
      </c>
      <c r="U5" s="50"/>
      <c r="V5" s="51"/>
      <c r="W5" s="48"/>
      <c r="X5" s="48"/>
      <c r="Y5" s="50"/>
      <c r="Z5" s="51"/>
      <c r="AA5" s="48"/>
    </row>
    <row r="6" spans="1:27" x14ac:dyDescent="0.35">
      <c r="A6" s="66" t="s">
        <v>109</v>
      </c>
      <c r="B6" s="49"/>
      <c r="C6" s="50"/>
      <c r="D6" s="51"/>
      <c r="E6" s="50"/>
      <c r="F6" s="51"/>
      <c r="G6" s="48"/>
      <c r="H6" s="48"/>
      <c r="I6" s="50"/>
      <c r="J6" s="51"/>
      <c r="K6" s="48"/>
      <c r="L6" s="48"/>
      <c r="M6" s="50"/>
      <c r="N6" s="51"/>
      <c r="O6" s="48"/>
      <c r="P6" s="48"/>
      <c r="Q6" s="50"/>
      <c r="R6" s="51"/>
      <c r="S6" s="48"/>
      <c r="T6" s="48"/>
      <c r="U6" s="50">
        <v>498</v>
      </c>
      <c r="V6" s="51">
        <v>498</v>
      </c>
      <c r="W6" s="48"/>
      <c r="X6" s="48"/>
      <c r="Y6" s="50">
        <v>1313</v>
      </c>
      <c r="Z6" s="51">
        <v>1313</v>
      </c>
      <c r="AA6" s="48"/>
    </row>
    <row r="7" spans="1:27" x14ac:dyDescent="0.35">
      <c r="A7" s="66" t="s">
        <v>240</v>
      </c>
      <c r="B7" s="49">
        <f>74015-17000</f>
        <v>57015</v>
      </c>
      <c r="C7" s="50"/>
      <c r="D7" s="51"/>
      <c r="E7" s="50"/>
      <c r="F7" s="51"/>
      <c r="G7" s="48"/>
      <c r="H7" s="48"/>
      <c r="I7" s="50"/>
      <c r="J7" s="51"/>
      <c r="K7" s="48"/>
      <c r="L7" s="48"/>
      <c r="M7" s="50"/>
      <c r="N7" s="51"/>
      <c r="O7" s="48"/>
      <c r="P7" s="48"/>
      <c r="Q7" s="50"/>
      <c r="R7" s="51"/>
      <c r="S7" s="48"/>
      <c r="T7" s="48"/>
      <c r="U7" s="50">
        <v>20000</v>
      </c>
      <c r="V7" s="51">
        <v>25578</v>
      </c>
      <c r="W7" s="48"/>
      <c r="X7" s="48"/>
      <c r="Y7" s="50">
        <v>15000</v>
      </c>
      <c r="Z7" s="51">
        <v>14337</v>
      </c>
      <c r="AA7" s="48"/>
    </row>
    <row r="8" spans="1:27" x14ac:dyDescent="0.35">
      <c r="A8" s="66" t="s">
        <v>241</v>
      </c>
      <c r="B8" s="49">
        <v>76016</v>
      </c>
      <c r="C8" s="50"/>
      <c r="D8" s="51"/>
      <c r="E8" s="50"/>
      <c r="F8" s="51"/>
      <c r="G8" s="48"/>
      <c r="H8" s="48"/>
      <c r="I8" s="50"/>
      <c r="J8" s="51"/>
      <c r="K8" s="48"/>
      <c r="L8" s="48"/>
      <c r="M8" s="50"/>
      <c r="N8" s="51"/>
      <c r="O8" s="48"/>
      <c r="P8" s="48"/>
      <c r="Q8" s="50"/>
      <c r="R8" s="51"/>
      <c r="S8" s="48"/>
      <c r="T8" s="48"/>
      <c r="U8" s="50">
        <v>10000</v>
      </c>
      <c r="V8" s="51">
        <v>15000</v>
      </c>
      <c r="W8" s="48">
        <v>28000</v>
      </c>
      <c r="X8" s="48">
        <v>21816</v>
      </c>
      <c r="Y8" s="50">
        <v>0</v>
      </c>
      <c r="Z8" s="51"/>
      <c r="AA8" s="48"/>
    </row>
    <row r="9" spans="1:27" x14ac:dyDescent="0.35">
      <c r="A9" s="66" t="s">
        <v>242</v>
      </c>
      <c r="B9" s="49">
        <f>1048+15880</f>
        <v>16928</v>
      </c>
      <c r="C9" s="50"/>
      <c r="D9" s="51"/>
      <c r="E9" s="50"/>
      <c r="F9" s="51"/>
      <c r="G9" s="48"/>
      <c r="H9" s="48"/>
      <c r="I9" s="50"/>
      <c r="J9" s="51"/>
      <c r="K9" s="48"/>
      <c r="L9" s="48"/>
      <c r="M9" s="50"/>
      <c r="N9" s="51"/>
      <c r="O9" s="48"/>
      <c r="P9" s="48"/>
      <c r="Q9" s="50"/>
      <c r="R9" s="51"/>
      <c r="S9" s="48"/>
      <c r="T9" s="48"/>
      <c r="U9" s="50">
        <v>16928</v>
      </c>
      <c r="V9" s="51">
        <v>16928</v>
      </c>
      <c r="W9" s="48"/>
      <c r="X9" s="48"/>
      <c r="Y9" s="50"/>
      <c r="Z9" s="51"/>
      <c r="AA9" s="48"/>
    </row>
    <row r="10" spans="1:27" x14ac:dyDescent="0.35">
      <c r="A10" s="66" t="s">
        <v>243</v>
      </c>
      <c r="B10" s="49">
        <v>19445</v>
      </c>
      <c r="C10" s="50"/>
      <c r="D10" s="51"/>
      <c r="E10" s="50"/>
      <c r="F10" s="51"/>
      <c r="G10" s="48"/>
      <c r="H10" s="48"/>
      <c r="I10" s="50"/>
      <c r="J10" s="51"/>
      <c r="K10" s="48"/>
      <c r="L10" s="48"/>
      <c r="M10" s="50"/>
      <c r="N10" s="51"/>
      <c r="O10" s="48"/>
      <c r="P10" s="48"/>
      <c r="Q10" s="50"/>
      <c r="R10" s="51"/>
      <c r="S10" s="48"/>
      <c r="T10" s="48"/>
      <c r="U10" s="50">
        <v>10000</v>
      </c>
      <c r="V10" s="51">
        <v>10946</v>
      </c>
      <c r="W10" s="48">
        <v>4500</v>
      </c>
      <c r="X10" s="48">
        <v>5637</v>
      </c>
      <c r="Y10" s="50">
        <v>2860</v>
      </c>
      <c r="Z10" s="51">
        <v>2860</v>
      </c>
      <c r="AA10" s="48"/>
    </row>
    <row r="11" spans="1:27" x14ac:dyDescent="0.35">
      <c r="A11" s="66" t="s">
        <v>244</v>
      </c>
      <c r="B11" s="49">
        <v>12193</v>
      </c>
      <c r="C11" s="50"/>
      <c r="D11" s="51"/>
      <c r="E11" s="50"/>
      <c r="F11" s="51"/>
      <c r="G11" s="48"/>
      <c r="H11" s="48"/>
      <c r="I11" s="50"/>
      <c r="J11" s="51"/>
      <c r="K11" s="48"/>
      <c r="L11" s="48"/>
      <c r="M11" s="50"/>
      <c r="N11" s="51"/>
      <c r="O11" s="48"/>
      <c r="P11" s="48"/>
      <c r="Q11" s="50"/>
      <c r="R11" s="51"/>
      <c r="S11" s="48"/>
      <c r="T11" s="48"/>
      <c r="U11" s="50">
        <v>10179</v>
      </c>
      <c r="V11" s="51">
        <v>10179</v>
      </c>
      <c r="W11" s="48"/>
      <c r="X11" s="48"/>
      <c r="Y11" s="50">
        <v>2014</v>
      </c>
      <c r="Z11" s="51">
        <v>2014</v>
      </c>
      <c r="AA11" s="48"/>
    </row>
    <row r="12" spans="1:27" x14ac:dyDescent="0.35">
      <c r="A12" s="66" t="s">
        <v>245</v>
      </c>
      <c r="B12" s="49">
        <v>30680</v>
      </c>
      <c r="C12" s="50"/>
      <c r="D12" s="51"/>
      <c r="E12" s="50"/>
      <c r="F12" s="51"/>
      <c r="G12" s="48"/>
      <c r="H12" s="48"/>
      <c r="I12" s="50"/>
      <c r="J12" s="51"/>
      <c r="K12" s="48"/>
      <c r="L12" s="48"/>
      <c r="M12" s="50"/>
      <c r="N12" s="51"/>
      <c r="O12" s="48"/>
      <c r="P12" s="48"/>
      <c r="Q12" s="50"/>
      <c r="R12" s="51"/>
      <c r="S12" s="48"/>
      <c r="T12" s="48"/>
      <c r="U12" s="50"/>
      <c r="V12" s="51"/>
      <c r="W12" s="48"/>
      <c r="X12" s="48"/>
      <c r="Y12" s="50">
        <v>30684</v>
      </c>
      <c r="Z12" s="51">
        <v>30684</v>
      </c>
      <c r="AA12" s="48"/>
    </row>
    <row r="13" spans="1:27" x14ac:dyDescent="0.35">
      <c r="A13" s="66" t="s">
        <v>246</v>
      </c>
      <c r="B13" s="49">
        <v>3893</v>
      </c>
      <c r="C13" s="50"/>
      <c r="D13" s="51"/>
      <c r="E13" s="50"/>
      <c r="F13" s="51"/>
      <c r="G13" s="48"/>
      <c r="H13" s="48"/>
      <c r="I13" s="50"/>
      <c r="J13" s="51"/>
      <c r="K13" s="48"/>
      <c r="L13" s="48"/>
      <c r="M13" s="50"/>
      <c r="N13" s="51"/>
      <c r="O13" s="48"/>
      <c r="P13" s="48"/>
      <c r="Q13" s="50"/>
      <c r="R13" s="51"/>
      <c r="S13" s="48"/>
      <c r="T13" s="48"/>
      <c r="U13" s="50"/>
      <c r="V13" s="51"/>
      <c r="W13" s="48"/>
      <c r="X13" s="48"/>
      <c r="Y13" s="50">
        <v>3893</v>
      </c>
      <c r="Z13" s="51">
        <v>3893</v>
      </c>
      <c r="AA13" s="48"/>
    </row>
    <row r="14" spans="1:27" x14ac:dyDescent="0.35">
      <c r="A14" s="66" t="s">
        <v>247</v>
      </c>
      <c r="B14" s="49">
        <v>4864</v>
      </c>
      <c r="C14" s="50"/>
      <c r="D14" s="51"/>
      <c r="E14" s="50"/>
      <c r="F14" s="51"/>
      <c r="G14" s="48"/>
      <c r="H14" s="48"/>
      <c r="I14" s="50"/>
      <c r="J14" s="51"/>
      <c r="K14" s="48"/>
      <c r="L14" s="48"/>
      <c r="M14" s="50"/>
      <c r="N14" s="51"/>
      <c r="O14" s="48"/>
      <c r="P14" s="48"/>
      <c r="Q14" s="50"/>
      <c r="R14" s="51"/>
      <c r="S14" s="48"/>
      <c r="T14" s="48"/>
      <c r="U14" s="50"/>
      <c r="V14" s="51"/>
      <c r="W14" s="48"/>
      <c r="X14" s="48"/>
      <c r="Y14" s="50">
        <v>0</v>
      </c>
      <c r="Z14" s="51"/>
      <c r="AA14" s="48"/>
    </row>
    <row r="15" spans="1:27" x14ac:dyDescent="0.35">
      <c r="A15" s="66" t="s">
        <v>248</v>
      </c>
      <c r="B15" s="49">
        <v>3999</v>
      </c>
      <c r="C15" s="50"/>
      <c r="D15" s="51"/>
      <c r="E15" s="50"/>
      <c r="F15" s="51"/>
      <c r="G15" s="48"/>
      <c r="H15" s="48"/>
      <c r="I15" s="50"/>
      <c r="J15" s="51"/>
      <c r="K15" s="48"/>
      <c r="L15" s="48"/>
      <c r="M15" s="50"/>
      <c r="N15" s="51"/>
      <c r="O15" s="48"/>
      <c r="P15" s="48"/>
      <c r="Q15" s="50"/>
      <c r="R15" s="51"/>
      <c r="S15" s="48"/>
      <c r="T15" s="48"/>
      <c r="U15" s="50"/>
      <c r="V15" s="51"/>
      <c r="W15" s="48"/>
      <c r="X15" s="48"/>
      <c r="Y15" s="50">
        <v>3999</v>
      </c>
      <c r="Z15" s="51">
        <v>3999</v>
      </c>
      <c r="AA15" s="48"/>
    </row>
    <row r="16" spans="1:27" x14ac:dyDescent="0.35">
      <c r="A16" s="66" t="s">
        <v>249</v>
      </c>
      <c r="B16" s="49">
        <v>14352</v>
      </c>
      <c r="C16" s="50"/>
      <c r="D16" s="51"/>
      <c r="E16" s="50"/>
      <c r="F16" s="51"/>
      <c r="G16" s="48"/>
      <c r="H16" s="48"/>
      <c r="I16" s="50"/>
      <c r="J16" s="51"/>
      <c r="K16" s="48"/>
      <c r="L16" s="48"/>
      <c r="M16" s="50"/>
      <c r="N16" s="51"/>
      <c r="O16" s="48"/>
      <c r="P16" s="48"/>
      <c r="Q16" s="50"/>
      <c r="R16" s="51"/>
      <c r="S16" s="48"/>
      <c r="T16" s="48"/>
      <c r="U16" s="50"/>
      <c r="V16" s="51"/>
      <c r="W16" s="48">
        <v>3240</v>
      </c>
      <c r="X16" s="48">
        <v>3847</v>
      </c>
      <c r="Y16" s="50">
        <v>0</v>
      </c>
      <c r="Z16" s="51"/>
      <c r="AA16" s="48"/>
    </row>
    <row r="17" spans="1:27" x14ac:dyDescent="0.35">
      <c r="A17" s="66" t="s">
        <v>250</v>
      </c>
      <c r="B17" s="49">
        <v>39384</v>
      </c>
      <c r="C17" s="50"/>
      <c r="D17" s="51"/>
      <c r="E17" s="50"/>
      <c r="F17" s="51"/>
      <c r="G17" s="48"/>
      <c r="H17" s="48"/>
      <c r="I17" s="50"/>
      <c r="J17" s="51"/>
      <c r="K17" s="48"/>
      <c r="L17" s="48"/>
      <c r="M17" s="50"/>
      <c r="N17" s="51"/>
      <c r="O17" s="48"/>
      <c r="P17" s="48"/>
      <c r="Q17" s="50"/>
      <c r="R17" s="51"/>
      <c r="S17" s="48"/>
      <c r="T17" s="48"/>
      <c r="U17" s="50"/>
      <c r="V17" s="51"/>
      <c r="W17" s="48"/>
      <c r="X17" s="48"/>
      <c r="Y17" s="50">
        <v>24817</v>
      </c>
      <c r="Z17" s="51">
        <v>24817</v>
      </c>
      <c r="AA17" s="48"/>
    </row>
    <row r="18" spans="1:27" x14ac:dyDescent="0.35">
      <c r="A18" s="66" t="s">
        <v>251</v>
      </c>
      <c r="B18" s="49">
        <v>27017</v>
      </c>
      <c r="C18" s="50"/>
      <c r="D18" s="51"/>
      <c r="E18" s="50"/>
      <c r="F18" s="51"/>
      <c r="G18" s="48"/>
      <c r="H18" s="48"/>
      <c r="I18" s="50"/>
      <c r="J18" s="51"/>
      <c r="K18" s="48"/>
      <c r="L18" s="48"/>
      <c r="M18" s="50"/>
      <c r="N18" s="51"/>
      <c r="O18" s="48"/>
      <c r="P18" s="48"/>
      <c r="Q18" s="50"/>
      <c r="R18" s="51"/>
      <c r="S18" s="48"/>
      <c r="T18" s="48"/>
      <c r="U18" s="50"/>
      <c r="V18" s="51"/>
      <c r="W18" s="48"/>
      <c r="X18" s="48"/>
      <c r="Y18" s="50">
        <v>18609</v>
      </c>
      <c r="Z18" s="51">
        <v>18609</v>
      </c>
      <c r="AA18" s="48"/>
    </row>
    <row r="19" spans="1:27" x14ac:dyDescent="0.35">
      <c r="A19" s="66" t="s">
        <v>252</v>
      </c>
      <c r="B19" s="49">
        <f>7089+5638+7097</f>
        <v>19824</v>
      </c>
      <c r="C19" s="50"/>
      <c r="D19" s="51"/>
      <c r="E19" s="50"/>
      <c r="F19" s="51"/>
      <c r="G19" s="48"/>
      <c r="H19" s="48"/>
      <c r="I19" s="50"/>
      <c r="J19" s="51"/>
      <c r="K19" s="48"/>
      <c r="L19" s="48"/>
      <c r="M19" s="50"/>
      <c r="N19" s="51"/>
      <c r="O19" s="48"/>
      <c r="P19" s="48"/>
      <c r="Q19" s="50"/>
      <c r="R19" s="51"/>
      <c r="S19" s="48"/>
      <c r="T19" s="48"/>
      <c r="U19" s="50">
        <v>7097</v>
      </c>
      <c r="V19" s="51">
        <v>12015</v>
      </c>
      <c r="W19" s="48"/>
      <c r="X19" s="48"/>
      <c r="Y19" s="50">
        <v>0</v>
      </c>
      <c r="Z19" s="51"/>
      <c r="AA19" s="48"/>
    </row>
    <row r="20" spans="1:27" x14ac:dyDescent="0.35">
      <c r="A20" s="66" t="s">
        <v>261</v>
      </c>
      <c r="B20" s="49">
        <v>6400</v>
      </c>
      <c r="C20" s="50"/>
      <c r="D20" s="51"/>
      <c r="E20" s="50"/>
      <c r="F20" s="51"/>
      <c r="G20" s="48"/>
      <c r="H20" s="48"/>
      <c r="I20" s="50"/>
      <c r="J20" s="51"/>
      <c r="K20" s="48"/>
      <c r="L20" s="48"/>
      <c r="M20" s="50"/>
      <c r="N20" s="51"/>
      <c r="O20" s="48"/>
      <c r="P20" s="48"/>
      <c r="Q20" s="50"/>
      <c r="R20" s="51"/>
      <c r="S20" s="48"/>
      <c r="T20" s="48"/>
      <c r="U20" s="50"/>
      <c r="V20" s="51"/>
      <c r="W20" s="48">
        <v>6400</v>
      </c>
      <c r="X20" s="48">
        <v>6400</v>
      </c>
      <c r="Y20" s="50"/>
      <c r="Z20" s="51"/>
      <c r="AA20" s="48"/>
    </row>
    <row r="21" spans="1:27" x14ac:dyDescent="0.35">
      <c r="A21" s="66" t="s">
        <v>253</v>
      </c>
      <c r="B21" s="49">
        <v>47234</v>
      </c>
      <c r="C21" s="50"/>
      <c r="D21" s="51"/>
      <c r="E21" s="50"/>
      <c r="F21" s="51"/>
      <c r="G21" s="48"/>
      <c r="H21" s="48"/>
      <c r="I21" s="50"/>
      <c r="J21" s="51"/>
      <c r="K21" s="48"/>
      <c r="L21" s="48"/>
      <c r="M21" s="50"/>
      <c r="N21" s="51"/>
      <c r="O21" s="48"/>
      <c r="P21" s="48"/>
      <c r="Q21" s="50"/>
      <c r="R21" s="51"/>
      <c r="S21" s="48"/>
      <c r="T21" s="48"/>
      <c r="U21" s="50"/>
      <c r="V21" s="51"/>
      <c r="W21" s="48"/>
      <c r="X21" s="48"/>
      <c r="Y21" s="50">
        <v>13278</v>
      </c>
      <c r="Z21" s="51">
        <v>13278</v>
      </c>
      <c r="AA21" s="48"/>
    </row>
    <row r="22" spans="1:27" x14ac:dyDescent="0.35">
      <c r="A22" s="66" t="s">
        <v>254</v>
      </c>
      <c r="B22" s="49">
        <v>102917</v>
      </c>
      <c r="C22" s="50"/>
      <c r="D22" s="51"/>
      <c r="E22" s="50"/>
      <c r="F22" s="51"/>
      <c r="G22" s="48"/>
      <c r="H22" s="48"/>
      <c r="I22" s="50"/>
      <c r="J22" s="51"/>
      <c r="K22" s="48"/>
      <c r="L22" s="48"/>
      <c r="M22" s="50"/>
      <c r="N22" s="51"/>
      <c r="O22" s="48"/>
      <c r="P22" s="48"/>
      <c r="Q22" s="50"/>
      <c r="R22" s="51"/>
      <c r="S22" s="48"/>
      <c r="T22" s="48"/>
      <c r="U22" s="50"/>
      <c r="V22" s="51"/>
      <c r="W22" s="48"/>
      <c r="X22" s="48"/>
      <c r="Y22" s="50"/>
      <c r="Z22" s="51"/>
      <c r="AA22" s="48"/>
    </row>
    <row r="23" spans="1:27" x14ac:dyDescent="0.35">
      <c r="A23" s="66" t="s">
        <v>255</v>
      </c>
      <c r="B23" s="49">
        <v>31500</v>
      </c>
      <c r="C23" s="50"/>
      <c r="D23" s="51"/>
      <c r="E23" s="50"/>
      <c r="F23" s="51"/>
      <c r="G23" s="48"/>
      <c r="H23" s="48"/>
      <c r="I23" s="50"/>
      <c r="J23" s="51"/>
      <c r="K23" s="48"/>
      <c r="L23" s="48"/>
      <c r="M23" s="50"/>
      <c r="N23" s="51"/>
      <c r="O23" s="48"/>
      <c r="P23" s="48"/>
      <c r="Q23" s="50"/>
      <c r="R23" s="51"/>
      <c r="S23" s="48"/>
      <c r="T23" s="48"/>
      <c r="U23" s="50"/>
      <c r="V23" s="51"/>
      <c r="W23" s="48"/>
      <c r="X23" s="48"/>
      <c r="Y23" s="50"/>
      <c r="Z23" s="51"/>
      <c r="AA23" s="48"/>
    </row>
    <row r="24" spans="1:27" x14ac:dyDescent="0.35">
      <c r="A24" s="66" t="s">
        <v>256</v>
      </c>
      <c r="B24" s="49">
        <v>228880</v>
      </c>
      <c r="C24" s="50"/>
      <c r="D24" s="51"/>
      <c r="E24" s="50"/>
      <c r="F24" s="51"/>
      <c r="G24" s="48"/>
      <c r="H24" s="48"/>
      <c r="I24" s="50"/>
      <c r="J24" s="51"/>
      <c r="K24" s="48"/>
      <c r="L24" s="48"/>
      <c r="M24" s="50"/>
      <c r="N24" s="51"/>
      <c r="O24" s="48"/>
      <c r="P24" s="48"/>
      <c r="Q24" s="50"/>
      <c r="R24" s="51"/>
      <c r="S24" s="48"/>
      <c r="T24" s="48"/>
      <c r="U24" s="50"/>
      <c r="V24" s="51"/>
      <c r="W24" s="48"/>
      <c r="X24" s="48"/>
      <c r="Y24" s="50"/>
      <c r="Z24" s="51"/>
      <c r="AA24" s="48"/>
    </row>
    <row r="25" spans="1:27" x14ac:dyDescent="0.35">
      <c r="A25" s="66" t="s">
        <v>257</v>
      </c>
      <c r="B25" s="49">
        <v>26120</v>
      </c>
      <c r="C25" s="50"/>
      <c r="D25" s="51"/>
      <c r="E25" s="50"/>
      <c r="F25" s="51"/>
      <c r="G25" s="48"/>
      <c r="H25" s="48"/>
      <c r="I25" s="50"/>
      <c r="J25" s="51"/>
      <c r="K25" s="48"/>
      <c r="L25" s="48"/>
      <c r="M25" s="50"/>
      <c r="N25" s="51"/>
      <c r="O25" s="48"/>
      <c r="P25" s="48"/>
      <c r="Q25" s="50"/>
      <c r="R25" s="51"/>
      <c r="S25" s="48"/>
      <c r="T25" s="48"/>
      <c r="U25" s="50"/>
      <c r="V25" s="51"/>
      <c r="W25" s="48"/>
      <c r="X25" s="48"/>
      <c r="Y25" s="50"/>
      <c r="Z25" s="51"/>
      <c r="AA25" s="48"/>
    </row>
    <row r="26" spans="1:27" x14ac:dyDescent="0.35">
      <c r="A26" s="66" t="s">
        <v>258</v>
      </c>
      <c r="B26" s="63">
        <v>92161</v>
      </c>
      <c r="C26" s="50"/>
      <c r="D26" s="51"/>
      <c r="E26" s="50"/>
      <c r="F26" s="51"/>
      <c r="G26" s="48"/>
      <c r="H26" s="48"/>
      <c r="I26" s="50"/>
      <c r="J26" s="51"/>
      <c r="K26" s="48"/>
      <c r="L26" s="48"/>
      <c r="M26" s="50"/>
      <c r="N26" s="51"/>
      <c r="O26" s="48"/>
      <c r="P26" s="48"/>
      <c r="Q26" s="50"/>
      <c r="R26" s="51"/>
      <c r="S26" s="48"/>
      <c r="T26" s="48"/>
      <c r="U26" s="50"/>
      <c r="V26" s="51"/>
      <c r="W26" s="48"/>
      <c r="X26" s="48"/>
      <c r="Y26" s="50"/>
      <c r="Z26" s="51"/>
      <c r="AA26" s="48"/>
    </row>
    <row r="27" spans="1:27" x14ac:dyDescent="0.35">
      <c r="A27" s="66" t="s">
        <v>259</v>
      </c>
      <c r="B27" s="63">
        <v>150000</v>
      </c>
      <c r="C27" s="50"/>
      <c r="D27" s="51"/>
      <c r="E27" s="50"/>
      <c r="F27" s="51"/>
      <c r="G27" s="48"/>
      <c r="H27" s="48"/>
      <c r="I27" s="50"/>
      <c r="J27" s="51"/>
      <c r="K27" s="48"/>
      <c r="L27" s="48"/>
      <c r="M27" s="50"/>
      <c r="N27" s="51"/>
      <c r="O27" s="48"/>
      <c r="P27" s="48"/>
      <c r="Q27" s="50"/>
      <c r="R27" s="51"/>
      <c r="S27" s="48"/>
      <c r="T27" s="48"/>
      <c r="U27" s="50"/>
      <c r="V27" s="51"/>
      <c r="W27" s="48"/>
      <c r="X27" s="48"/>
      <c r="Y27" s="50"/>
      <c r="Z27" s="51"/>
      <c r="AA27" s="48"/>
    </row>
    <row r="28" spans="1:27" x14ac:dyDescent="0.35">
      <c r="A28" s="39" t="s">
        <v>260</v>
      </c>
      <c r="B28" s="49">
        <v>32915</v>
      </c>
      <c r="C28" s="50"/>
      <c r="D28" s="51"/>
      <c r="E28" s="50"/>
      <c r="F28" s="51"/>
      <c r="G28" s="48"/>
      <c r="H28" s="48"/>
      <c r="I28" s="50"/>
      <c r="J28" s="51"/>
      <c r="K28" s="48"/>
      <c r="L28" s="48"/>
      <c r="M28" s="50"/>
      <c r="N28" s="51"/>
      <c r="O28" s="48"/>
      <c r="P28" s="48"/>
      <c r="Q28" s="50"/>
      <c r="R28" s="51"/>
      <c r="S28" s="48"/>
      <c r="T28" s="48"/>
      <c r="U28" s="50"/>
      <c r="V28" s="51"/>
      <c r="W28" s="48"/>
      <c r="X28" s="48"/>
      <c r="Y28" s="50"/>
      <c r="Z28" s="51"/>
      <c r="AA28" s="48"/>
    </row>
    <row r="29" spans="1:27" x14ac:dyDescent="0.35">
      <c r="A29" s="39" t="s">
        <v>262</v>
      </c>
      <c r="B29" s="49">
        <v>7775</v>
      </c>
      <c r="C29" s="50"/>
      <c r="D29" s="51"/>
      <c r="E29" s="50"/>
      <c r="F29" s="51"/>
      <c r="G29" s="48"/>
      <c r="H29" s="48"/>
      <c r="I29" s="50"/>
      <c r="J29" s="51"/>
      <c r="K29" s="48"/>
      <c r="L29" s="48"/>
      <c r="M29" s="50"/>
      <c r="N29" s="51"/>
      <c r="O29" s="48"/>
      <c r="P29" s="48"/>
      <c r="Q29" s="50"/>
      <c r="R29" s="51"/>
      <c r="S29" s="48"/>
      <c r="T29" s="48"/>
      <c r="U29" s="50"/>
      <c r="V29" s="51"/>
      <c r="W29" s="48"/>
      <c r="X29" s="48"/>
      <c r="Y29" s="50"/>
      <c r="Z29" s="51"/>
      <c r="AA29" s="48"/>
    </row>
    <row r="30" spans="1:27" x14ac:dyDescent="0.35">
      <c r="A30" s="39" t="s">
        <v>263</v>
      </c>
      <c r="B30" s="49">
        <v>10191</v>
      </c>
      <c r="C30" s="50"/>
      <c r="D30" s="51"/>
      <c r="E30" s="50"/>
      <c r="F30" s="51"/>
      <c r="G30" s="48"/>
      <c r="H30" s="48"/>
      <c r="I30" s="50"/>
      <c r="J30" s="51"/>
      <c r="K30" s="48"/>
      <c r="L30" s="48"/>
      <c r="M30" s="50"/>
      <c r="N30" s="51"/>
      <c r="O30" s="48"/>
      <c r="P30" s="48"/>
      <c r="Q30" s="50"/>
      <c r="R30" s="51"/>
      <c r="S30" s="48"/>
      <c r="T30" s="48"/>
      <c r="U30" s="50"/>
      <c r="V30" s="51"/>
      <c r="W30" s="48"/>
      <c r="X30" s="48"/>
      <c r="Y30" s="50"/>
      <c r="Z30" s="51"/>
      <c r="AA30" s="48"/>
    </row>
    <row r="31" spans="1:27" x14ac:dyDescent="0.35">
      <c r="A31" s="39" t="s">
        <v>264</v>
      </c>
      <c r="B31" s="49">
        <v>14934</v>
      </c>
      <c r="C31" s="50"/>
      <c r="D31" s="51"/>
      <c r="E31" s="50"/>
      <c r="F31" s="51"/>
      <c r="G31" s="48"/>
      <c r="H31" s="48"/>
      <c r="I31" s="50"/>
      <c r="J31" s="51"/>
      <c r="K31" s="48"/>
      <c r="L31" s="48"/>
      <c r="M31" s="50"/>
      <c r="N31" s="51"/>
      <c r="O31" s="48"/>
      <c r="P31" s="48"/>
      <c r="Q31" s="50"/>
      <c r="R31" s="51"/>
      <c r="S31" s="48"/>
      <c r="T31" s="48"/>
      <c r="U31" s="50"/>
      <c r="V31" s="51"/>
      <c r="W31" s="48"/>
      <c r="X31" s="48"/>
      <c r="Y31" s="50">
        <v>4000</v>
      </c>
      <c r="Z31" s="51">
        <v>4070</v>
      </c>
      <c r="AA31" s="52" t="s">
        <v>153</v>
      </c>
    </row>
    <row r="32" spans="1:27" x14ac:dyDescent="0.35">
      <c r="A32" s="39"/>
      <c r="B32" s="49"/>
      <c r="C32" s="50"/>
      <c r="D32" s="51"/>
      <c r="E32" s="50"/>
      <c r="F32" s="51"/>
      <c r="G32" s="48"/>
      <c r="H32" s="48"/>
      <c r="I32" s="50"/>
      <c r="J32" s="51"/>
      <c r="K32" s="48"/>
      <c r="L32" s="48"/>
      <c r="M32" s="50"/>
      <c r="N32" s="51"/>
      <c r="O32" s="48"/>
      <c r="P32" s="48"/>
      <c r="Q32" s="50"/>
      <c r="R32" s="51"/>
      <c r="S32" s="48"/>
      <c r="T32" s="48"/>
      <c r="U32" s="50"/>
      <c r="V32" s="51"/>
      <c r="W32" s="48"/>
      <c r="X32" s="48"/>
      <c r="Y32" s="50"/>
      <c r="Z32" s="51"/>
      <c r="AA32" s="48"/>
    </row>
    <row r="33" spans="1:28" x14ac:dyDescent="0.35">
      <c r="A33" s="39"/>
      <c r="B33" s="49"/>
      <c r="C33" s="50"/>
      <c r="D33" s="51"/>
      <c r="E33" s="50"/>
      <c r="F33" s="51"/>
      <c r="G33" s="48"/>
      <c r="H33" s="48"/>
      <c r="I33" s="50"/>
      <c r="J33" s="51"/>
      <c r="K33" s="48"/>
      <c r="L33" s="48"/>
      <c r="M33" s="50"/>
      <c r="N33" s="51"/>
      <c r="O33" s="48"/>
      <c r="P33" s="48"/>
      <c r="Q33" s="50"/>
      <c r="R33" s="51"/>
      <c r="S33" s="48"/>
      <c r="T33" s="48"/>
      <c r="U33" s="50"/>
      <c r="V33" s="51"/>
      <c r="W33" s="48"/>
      <c r="X33" s="48"/>
      <c r="Y33" s="50"/>
      <c r="Z33" s="51"/>
      <c r="AA33" s="48"/>
    </row>
    <row r="34" spans="1:28" x14ac:dyDescent="0.35">
      <c r="A34" s="39"/>
      <c r="B34" s="49"/>
      <c r="C34" s="50"/>
      <c r="D34" s="51"/>
      <c r="E34" s="50"/>
      <c r="F34" s="51"/>
      <c r="G34" s="48"/>
      <c r="H34" s="48"/>
      <c r="I34" s="50"/>
      <c r="J34" s="51"/>
      <c r="K34" s="48"/>
      <c r="L34" s="48"/>
      <c r="M34" s="50"/>
      <c r="N34" s="51"/>
      <c r="O34" s="48"/>
      <c r="P34" s="48"/>
      <c r="Q34" s="50"/>
      <c r="R34" s="51"/>
      <c r="S34" s="48"/>
      <c r="T34" s="48"/>
      <c r="U34" s="50"/>
      <c r="V34" s="51"/>
      <c r="W34" s="48"/>
      <c r="X34" s="48"/>
      <c r="Y34" s="50"/>
      <c r="Z34" s="51"/>
      <c r="AA34" s="48"/>
    </row>
    <row r="35" spans="1:28" x14ac:dyDescent="0.35">
      <c r="A35" s="39"/>
      <c r="B35" s="49"/>
      <c r="C35" s="50"/>
      <c r="D35" s="51"/>
      <c r="E35" s="50"/>
      <c r="F35" s="51"/>
      <c r="G35" s="48"/>
      <c r="H35" s="48"/>
      <c r="I35" s="50"/>
      <c r="J35" s="51"/>
      <c r="K35" s="48"/>
      <c r="L35" s="48"/>
      <c r="M35" s="50"/>
      <c r="N35" s="51"/>
      <c r="O35" s="48"/>
      <c r="P35" s="48"/>
      <c r="Q35" s="50"/>
      <c r="R35" s="51"/>
      <c r="S35" s="48"/>
      <c r="T35" s="48"/>
      <c r="U35" s="50"/>
      <c r="V35" s="51"/>
      <c r="W35" s="48"/>
      <c r="X35" s="48"/>
      <c r="Y35" s="50"/>
      <c r="Z35" s="51"/>
      <c r="AA35" s="52" t="s">
        <v>153</v>
      </c>
    </row>
    <row r="36" spans="1:28" x14ac:dyDescent="0.35">
      <c r="A36" s="23" t="s">
        <v>155</v>
      </c>
      <c r="B36" s="53">
        <f>SUM(B3:B35)</f>
        <v>1076637</v>
      </c>
      <c r="C36" s="53">
        <f>SUM(C3:C35)</f>
        <v>45000</v>
      </c>
      <c r="D36" s="53"/>
      <c r="E36" s="53">
        <f>SUM(E3:E35)</f>
        <v>55000</v>
      </c>
      <c r="F36" s="53"/>
      <c r="G36" s="53">
        <f>SUM(G3:G35)</f>
        <v>68000</v>
      </c>
      <c r="H36" s="53"/>
      <c r="I36" s="53">
        <f>SUM(I3:I35)</f>
        <v>22000</v>
      </c>
      <c r="J36" s="53"/>
      <c r="K36" s="53">
        <f>SUM(K3:K35)</f>
        <v>82000</v>
      </c>
      <c r="L36" s="53"/>
      <c r="M36" s="53">
        <f>SUM(M3:M35)</f>
        <v>92000</v>
      </c>
      <c r="N36" s="53"/>
      <c r="O36" s="53">
        <f>SUM(O3:O35)</f>
        <v>90000</v>
      </c>
      <c r="P36" s="53"/>
      <c r="Q36" s="53">
        <f>SUM(Q3:Q35)</f>
        <v>92000</v>
      </c>
      <c r="R36" s="53"/>
      <c r="S36" s="53">
        <f>SUM(S3:S35)</f>
        <v>99200</v>
      </c>
      <c r="T36" s="53"/>
      <c r="U36" s="53">
        <f>SUM(U3:U35)</f>
        <v>74702</v>
      </c>
      <c r="V36" s="53"/>
      <c r="W36" s="53">
        <f>SUM(W3:W35)</f>
        <v>42140</v>
      </c>
      <c r="X36" s="53"/>
      <c r="Y36" s="53">
        <f>SUM(Y3:Y35)</f>
        <v>120467</v>
      </c>
      <c r="Z36" s="54"/>
      <c r="AA36" s="55">
        <f>SUM(C36:Z36)</f>
        <v>882509</v>
      </c>
      <c r="AB36" t="s">
        <v>150</v>
      </c>
    </row>
    <row r="37" spans="1:28" x14ac:dyDescent="0.35">
      <c r="A37" s="26" t="s">
        <v>226</v>
      </c>
      <c r="B37" s="56"/>
      <c r="C37" s="56"/>
      <c r="D37" s="56">
        <f>SUM(D3:D36)</f>
        <v>45000</v>
      </c>
      <c r="E37" s="56"/>
      <c r="F37" s="56">
        <f>SUM(F3:F36)</f>
        <v>55000</v>
      </c>
      <c r="G37" s="56"/>
      <c r="H37" s="56">
        <f>SUM(H3:H36)</f>
        <v>68000</v>
      </c>
      <c r="I37" s="56"/>
      <c r="J37" s="56">
        <f>SUM(J3:J36)</f>
        <v>22000</v>
      </c>
      <c r="K37" s="56"/>
      <c r="L37" s="56">
        <f>SUM(L3:L36)</f>
        <v>82000</v>
      </c>
      <c r="M37" s="56"/>
      <c r="N37" s="56">
        <f>SUM(N3:N36)</f>
        <v>92000</v>
      </c>
      <c r="O37" s="56"/>
      <c r="P37" s="56">
        <f>SUM(P3:P36)</f>
        <v>90000</v>
      </c>
      <c r="Q37" s="56"/>
      <c r="R37" s="56">
        <f>SUM(R3:R36)</f>
        <v>92000</v>
      </c>
      <c r="S37" s="56"/>
      <c r="T37" s="56">
        <f>SUM(T3:T36)</f>
        <v>90000</v>
      </c>
      <c r="U37" s="56"/>
      <c r="V37" s="56">
        <f>SUM(V3:V36)</f>
        <v>91144</v>
      </c>
      <c r="W37" s="56"/>
      <c r="X37" s="56">
        <f>SUM(X3:X36)</f>
        <v>37700</v>
      </c>
      <c r="Y37" s="56"/>
      <c r="Z37" s="56">
        <f>SUM(Z3:Z36)</f>
        <v>119874</v>
      </c>
      <c r="AA37" s="55">
        <f>SUM(C37:Z37)</f>
        <v>884718</v>
      </c>
      <c r="AB37" t="s">
        <v>151</v>
      </c>
    </row>
    <row r="38" spans="1:28" ht="14.25" x14ac:dyDescent="0.2">
      <c r="A38" s="33" t="s">
        <v>225</v>
      </c>
      <c r="B38" s="59"/>
      <c r="C38" s="59">
        <f>C36</f>
        <v>45000</v>
      </c>
      <c r="D38" s="59"/>
      <c r="E38" s="59">
        <f>E36+C38</f>
        <v>100000</v>
      </c>
      <c r="F38" s="59"/>
      <c r="G38" s="59">
        <f>G36+E38</f>
        <v>168000</v>
      </c>
      <c r="H38" s="59"/>
      <c r="I38" s="59">
        <f>I36+G38</f>
        <v>190000</v>
      </c>
      <c r="J38" s="59"/>
      <c r="K38" s="59">
        <f>K36+I38</f>
        <v>272000</v>
      </c>
      <c r="L38" s="59"/>
      <c r="M38" s="59">
        <f>M36+K38</f>
        <v>364000</v>
      </c>
      <c r="N38" s="59"/>
      <c r="O38" s="59">
        <f>O36+M38</f>
        <v>454000</v>
      </c>
      <c r="P38" s="59"/>
      <c r="Q38" s="59">
        <f>Q36+O38</f>
        <v>546000</v>
      </c>
      <c r="R38" s="59"/>
      <c r="S38" s="59">
        <f>S36+Q38</f>
        <v>645200</v>
      </c>
      <c r="T38" s="59"/>
      <c r="U38" s="59">
        <f>U36+S38</f>
        <v>719902</v>
      </c>
      <c r="V38" s="59"/>
      <c r="W38" s="59">
        <f>W36+U38</f>
        <v>762042</v>
      </c>
      <c r="X38" s="59"/>
      <c r="Y38" s="59">
        <f>Y36+W38</f>
        <v>882509</v>
      </c>
      <c r="Z38" s="59"/>
      <c r="AA38" s="55"/>
    </row>
    <row r="39" spans="1:28" ht="14.25" x14ac:dyDescent="0.2">
      <c r="A39" s="29" t="s">
        <v>156</v>
      </c>
      <c r="B39" s="57"/>
      <c r="C39" s="57"/>
      <c r="D39" s="57">
        <f>D37</f>
        <v>45000</v>
      </c>
      <c r="E39" s="57"/>
      <c r="F39" s="57">
        <f>F37+D39</f>
        <v>100000</v>
      </c>
      <c r="G39" s="57"/>
      <c r="H39" s="57">
        <f>H37+F39</f>
        <v>168000</v>
      </c>
      <c r="I39" s="57"/>
      <c r="J39" s="57">
        <f>J37+H39</f>
        <v>190000</v>
      </c>
      <c r="K39" s="57"/>
      <c r="L39" s="57">
        <f>L37+J39</f>
        <v>272000</v>
      </c>
      <c r="M39" s="57"/>
      <c r="N39" s="57">
        <f>N37+L39</f>
        <v>364000</v>
      </c>
      <c r="O39" s="57"/>
      <c r="P39" s="57">
        <f>P37+N39</f>
        <v>454000</v>
      </c>
      <c r="Q39" s="57"/>
      <c r="R39" s="57">
        <f>R37+P39</f>
        <v>546000</v>
      </c>
      <c r="S39" s="57"/>
      <c r="T39" s="57">
        <f>T37+R39</f>
        <v>636000</v>
      </c>
      <c r="U39" s="57"/>
      <c r="V39" s="57">
        <f>V37+T39</f>
        <v>727144</v>
      </c>
      <c r="W39" s="57"/>
      <c r="X39" s="57">
        <f>X37+V39</f>
        <v>764844</v>
      </c>
      <c r="Y39" s="57"/>
      <c r="Z39" s="58">
        <f>Z37+X39</f>
        <v>884718</v>
      </c>
      <c r="AA39" s="48"/>
    </row>
    <row r="40" spans="1:28" ht="14.25" x14ac:dyDescent="0.2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spans="1:28" ht="14.25" x14ac:dyDescent="0.2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spans="1:28" ht="14.25" x14ac:dyDescent="0.2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8" ht="14.25" x14ac:dyDescent="0.2">
      <c r="A43" s="60" t="s">
        <v>157</v>
      </c>
      <c r="B43" s="61"/>
      <c r="C43" s="61"/>
      <c r="D43" s="61">
        <v>45886</v>
      </c>
      <c r="E43" s="61"/>
      <c r="F43" s="61">
        <v>116217</v>
      </c>
      <c r="G43" s="61"/>
      <c r="H43" s="61">
        <v>192108</v>
      </c>
      <c r="I43" s="61"/>
      <c r="J43" s="61">
        <v>246744</v>
      </c>
      <c r="K43" s="61"/>
      <c r="L43" s="61">
        <v>334594</v>
      </c>
      <c r="M43" s="61"/>
      <c r="N43" s="61">
        <v>415103</v>
      </c>
      <c r="O43" s="61"/>
      <c r="P43" s="61">
        <v>483292</v>
      </c>
      <c r="Q43" s="61"/>
      <c r="R43" s="61">
        <v>574139</v>
      </c>
      <c r="S43" s="61"/>
      <c r="T43" s="61">
        <v>644265</v>
      </c>
      <c r="U43" s="61"/>
      <c r="V43" s="61">
        <v>731112</v>
      </c>
      <c r="W43" s="61"/>
      <c r="X43" s="61">
        <v>761055</v>
      </c>
      <c r="Y43" s="61"/>
      <c r="Z43" s="62">
        <v>842390</v>
      </c>
      <c r="AA43" s="48"/>
    </row>
    <row r="44" spans="1:28" ht="14.25" x14ac:dyDescent="0.2">
      <c r="A44" s="29" t="s">
        <v>158</v>
      </c>
      <c r="B44" s="57"/>
      <c r="C44" s="57"/>
      <c r="D44" s="57">
        <f>D39</f>
        <v>45000</v>
      </c>
      <c r="E44" s="57"/>
      <c r="F44" s="57">
        <f>F39</f>
        <v>100000</v>
      </c>
      <c r="G44" s="57"/>
      <c r="H44" s="57">
        <f>H39</f>
        <v>168000</v>
      </c>
      <c r="I44" s="57"/>
      <c r="J44" s="57">
        <f>J39</f>
        <v>190000</v>
      </c>
      <c r="K44" s="57"/>
      <c r="L44" s="57">
        <f>L39</f>
        <v>272000</v>
      </c>
      <c r="M44" s="57"/>
      <c r="N44" s="57">
        <f>N39</f>
        <v>364000</v>
      </c>
      <c r="O44" s="57"/>
      <c r="P44" s="57">
        <f>P39</f>
        <v>454000</v>
      </c>
      <c r="Q44" s="57"/>
      <c r="R44" s="57">
        <f>R39</f>
        <v>546000</v>
      </c>
      <c r="S44" s="57"/>
      <c r="T44" s="57">
        <f>T39</f>
        <v>636000</v>
      </c>
      <c r="U44" s="57"/>
      <c r="V44" s="57">
        <f>V39</f>
        <v>727144</v>
      </c>
      <c r="W44" s="57"/>
      <c r="X44" s="57">
        <f>X39</f>
        <v>764844</v>
      </c>
      <c r="Y44" s="57"/>
      <c r="Z44" s="58">
        <f>Z39</f>
        <v>884718</v>
      </c>
      <c r="AA44" s="48"/>
    </row>
    <row r="45" spans="1:28" ht="14.25" x14ac:dyDescent="0.2">
      <c r="A45" t="s">
        <v>160</v>
      </c>
    </row>
  </sheetData>
  <mergeCells count="12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rintOptions headings="1"/>
  <pageMargins left="0.25" right="0.25" top="0.75" bottom="0.75" header="0.3" footer="0.3"/>
  <pageSetup paperSize="8" scale="6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7"/>
  <sheetViews>
    <sheetView zoomScaleNormal="100" workbookViewId="0">
      <pane xSplit="3" ySplit="1" topLeftCell="D55" activePane="bottomRight" state="frozen"/>
      <selection pane="topRight" activeCell="D1" sqref="D1"/>
      <selection pane="bottomLeft" activeCell="A2" sqref="A2"/>
      <selection pane="bottomRight" activeCell="W69" sqref="W69"/>
    </sheetView>
  </sheetViews>
  <sheetFormatPr baseColWidth="10" defaultColWidth="11" defaultRowHeight="13.5" x14ac:dyDescent="0.35"/>
  <cols>
    <col min="1" max="1" width="23.125" style="110" customWidth="1"/>
    <col min="2" max="3" width="10.625" style="110" customWidth="1"/>
    <col min="4" max="27" width="9.625" style="110" customWidth="1"/>
    <col min="28" max="16384" width="11" style="110"/>
  </cols>
  <sheetData>
    <row r="1" spans="1:28" x14ac:dyDescent="0.35">
      <c r="A1" s="108"/>
      <c r="B1" s="109"/>
      <c r="C1" s="109"/>
      <c r="D1" s="462" t="s">
        <v>142</v>
      </c>
      <c r="E1" s="463"/>
      <c r="F1" s="462" t="s">
        <v>143</v>
      </c>
      <c r="G1" s="463"/>
      <c r="H1" s="464" t="s">
        <v>144</v>
      </c>
      <c r="I1" s="464"/>
      <c r="J1" s="462" t="s">
        <v>138</v>
      </c>
      <c r="K1" s="463"/>
      <c r="L1" s="464" t="s">
        <v>139</v>
      </c>
      <c r="M1" s="464"/>
      <c r="N1" s="462" t="s">
        <v>140</v>
      </c>
      <c r="O1" s="463"/>
      <c r="P1" s="464" t="s">
        <v>141</v>
      </c>
      <c r="Q1" s="464"/>
      <c r="R1" s="462" t="s">
        <v>145</v>
      </c>
      <c r="S1" s="463"/>
      <c r="T1" s="464" t="s">
        <v>146</v>
      </c>
      <c r="U1" s="464"/>
      <c r="V1" s="462" t="s">
        <v>147</v>
      </c>
      <c r="W1" s="463"/>
      <c r="X1" s="464" t="s">
        <v>148</v>
      </c>
      <c r="Y1" s="464"/>
      <c r="Z1" s="462" t="s">
        <v>149</v>
      </c>
      <c r="AA1" s="463"/>
    </row>
    <row r="2" spans="1:28" ht="15" x14ac:dyDescent="0.4">
      <c r="A2" s="38" t="s">
        <v>137</v>
      </c>
      <c r="B2" s="111" t="s">
        <v>152</v>
      </c>
      <c r="C2" s="111" t="s">
        <v>268</v>
      </c>
      <c r="D2" s="112" t="s">
        <v>150</v>
      </c>
      <c r="E2" s="113" t="s">
        <v>151</v>
      </c>
      <c r="F2" s="112" t="s">
        <v>150</v>
      </c>
      <c r="G2" s="114" t="s">
        <v>151</v>
      </c>
      <c r="H2" s="115" t="s">
        <v>150</v>
      </c>
      <c r="I2" s="116" t="s">
        <v>151</v>
      </c>
      <c r="J2" s="112" t="s">
        <v>150</v>
      </c>
      <c r="K2" s="114" t="s">
        <v>151</v>
      </c>
      <c r="L2" s="115" t="s">
        <v>150</v>
      </c>
      <c r="M2" s="116" t="s">
        <v>151</v>
      </c>
      <c r="N2" s="112" t="s">
        <v>150</v>
      </c>
      <c r="O2" s="114" t="s">
        <v>151</v>
      </c>
      <c r="P2" s="115" t="s">
        <v>150</v>
      </c>
      <c r="Q2" s="116" t="s">
        <v>151</v>
      </c>
      <c r="R2" s="112" t="s">
        <v>150</v>
      </c>
      <c r="S2" s="114" t="s">
        <v>151</v>
      </c>
      <c r="T2" s="115" t="s">
        <v>150</v>
      </c>
      <c r="U2" s="116" t="s">
        <v>151</v>
      </c>
      <c r="V2" s="112" t="s">
        <v>150</v>
      </c>
      <c r="W2" s="114" t="s">
        <v>151</v>
      </c>
      <c r="X2" s="115" t="s">
        <v>150</v>
      </c>
      <c r="Y2" s="116" t="s">
        <v>151</v>
      </c>
      <c r="Z2" s="112" t="s">
        <v>150</v>
      </c>
      <c r="AA2" s="114" t="s">
        <v>151</v>
      </c>
    </row>
    <row r="3" spans="1:28" x14ac:dyDescent="0.35">
      <c r="A3" s="108" t="s">
        <v>161</v>
      </c>
      <c r="B3" s="117"/>
      <c r="C3" s="117"/>
      <c r="D3" s="118"/>
      <c r="E3" s="119"/>
      <c r="F3" s="118"/>
      <c r="G3" s="119"/>
      <c r="H3" s="120"/>
      <c r="I3" s="120"/>
      <c r="J3" s="118"/>
      <c r="K3" s="119"/>
      <c r="L3" s="120"/>
      <c r="M3" s="120"/>
      <c r="N3" s="118"/>
      <c r="O3" s="119"/>
      <c r="P3" s="120"/>
      <c r="Q3" s="120"/>
      <c r="R3" s="118"/>
      <c r="S3" s="119"/>
      <c r="T3" s="120">
        <v>149.55000000000001</v>
      </c>
      <c r="U3" s="120">
        <v>149.55000000000001</v>
      </c>
      <c r="V3" s="118"/>
      <c r="W3" s="119"/>
      <c r="X3" s="120"/>
      <c r="Y3" s="120"/>
      <c r="Z3" s="118"/>
      <c r="AA3" s="119"/>
      <c r="AB3" s="121"/>
    </row>
    <row r="4" spans="1:28" x14ac:dyDescent="0.35">
      <c r="A4" s="66"/>
      <c r="B4" s="122"/>
      <c r="C4" s="122"/>
      <c r="D4" s="123"/>
      <c r="E4" s="124"/>
      <c r="F4" s="123"/>
      <c r="G4" s="124"/>
      <c r="H4" s="121"/>
      <c r="I4" s="121"/>
      <c r="J4" s="123"/>
      <c r="K4" s="124"/>
      <c r="L4" s="121"/>
      <c r="M4" s="121"/>
      <c r="N4" s="123"/>
      <c r="O4" s="124"/>
      <c r="P4" s="121"/>
      <c r="Q4" s="121"/>
      <c r="R4" s="123"/>
      <c r="S4" s="124"/>
      <c r="T4" s="121"/>
      <c r="U4" s="121"/>
      <c r="V4" s="123"/>
      <c r="W4" s="124"/>
      <c r="X4" s="121"/>
      <c r="Y4" s="121"/>
      <c r="Z4" s="123"/>
      <c r="AA4" s="124"/>
      <c r="AB4" s="121"/>
    </row>
    <row r="5" spans="1:28" x14ac:dyDescent="0.35">
      <c r="A5" s="66" t="s">
        <v>109</v>
      </c>
      <c r="B5" s="122">
        <v>3164</v>
      </c>
      <c r="C5" s="122">
        <v>3164</v>
      </c>
      <c r="D5" s="123">
        <v>608</v>
      </c>
      <c r="E5" s="124">
        <v>608</v>
      </c>
      <c r="F5" s="123">
        <v>2375.31</v>
      </c>
      <c r="G5" s="124">
        <v>2375</v>
      </c>
      <c r="H5" s="121">
        <v>575.01</v>
      </c>
      <c r="I5" s="121">
        <v>575</v>
      </c>
      <c r="J5" s="123"/>
      <c r="K5" s="124"/>
      <c r="L5" s="121">
        <v>333</v>
      </c>
      <c r="M5" s="121">
        <v>333</v>
      </c>
      <c r="N5" s="123">
        <v>685</v>
      </c>
      <c r="O5" s="124">
        <v>685</v>
      </c>
      <c r="P5" s="121"/>
      <c r="Q5" s="121"/>
      <c r="R5" s="123"/>
      <c r="S5" s="124"/>
      <c r="T5" s="121"/>
      <c r="U5" s="121"/>
      <c r="V5" s="123">
        <f>368.1+447.52+335.7+484.41+479.54+363.41</f>
        <v>2478.6799999999998</v>
      </c>
      <c r="W5" s="124">
        <v>2479</v>
      </c>
      <c r="X5" s="121"/>
      <c r="Y5" s="121"/>
      <c r="Z5" s="123"/>
      <c r="AA5" s="124"/>
      <c r="AB5" s="121"/>
    </row>
    <row r="6" spans="1:28" x14ac:dyDescent="0.35">
      <c r="A6" s="41" t="s">
        <v>240</v>
      </c>
      <c r="B6" s="125">
        <v>28591.66</v>
      </c>
      <c r="C6" s="125">
        <f>21791.66+6800</f>
        <v>28591.66</v>
      </c>
      <c r="D6" s="123">
        <v>0</v>
      </c>
      <c r="E6" s="124"/>
      <c r="F6" s="123">
        <v>8000</v>
      </c>
      <c r="G6" s="124">
        <v>8000</v>
      </c>
      <c r="H6" s="48">
        <f>3288+3767</f>
        <v>7055</v>
      </c>
      <c r="I6" s="121">
        <v>7055</v>
      </c>
      <c r="J6" s="123">
        <v>6736</v>
      </c>
      <c r="K6" s="124">
        <v>6736</v>
      </c>
      <c r="L6" s="121"/>
      <c r="M6" s="121"/>
      <c r="N6" s="123"/>
      <c r="O6" s="124"/>
      <c r="P6" s="121">
        <v>6828</v>
      </c>
      <c r="Q6" s="121">
        <v>6828</v>
      </c>
      <c r="R6" s="123"/>
      <c r="S6" s="124"/>
      <c r="T6" s="121"/>
      <c r="U6" s="121"/>
      <c r="V6" s="123"/>
      <c r="W6" s="124"/>
      <c r="X6" s="121"/>
      <c r="Y6" s="121"/>
      <c r="Z6" s="123"/>
      <c r="AA6" s="124"/>
      <c r="AB6" s="121"/>
    </row>
    <row r="7" spans="1:28" x14ac:dyDescent="0.35">
      <c r="A7" s="66" t="s">
        <v>241</v>
      </c>
      <c r="B7" s="104">
        <f>39850.23</f>
        <v>39850.230000000003</v>
      </c>
      <c r="C7" s="125">
        <v>39850.230000000003</v>
      </c>
      <c r="D7" s="123">
        <v>31322</v>
      </c>
      <c r="E7" s="124">
        <v>31322</v>
      </c>
      <c r="F7" s="123">
        <v>8528.01</v>
      </c>
      <c r="G7" s="124">
        <v>9057.18</v>
      </c>
      <c r="H7" s="121"/>
      <c r="I7" s="121"/>
      <c r="J7" s="123"/>
      <c r="K7" s="124"/>
      <c r="L7" s="121"/>
      <c r="M7" s="121"/>
      <c r="N7" s="123"/>
      <c r="O7" s="124"/>
      <c r="P7" s="121"/>
      <c r="Q7" s="121"/>
      <c r="R7" s="123"/>
      <c r="S7" s="124"/>
      <c r="T7" s="121"/>
      <c r="U7" s="121"/>
      <c r="V7" s="123"/>
      <c r="W7" s="124"/>
      <c r="X7" s="121"/>
      <c r="Y7" s="121"/>
      <c r="Z7" s="123"/>
      <c r="AA7" s="124"/>
      <c r="AB7" s="121"/>
    </row>
    <row r="8" spans="1:28" x14ac:dyDescent="0.35">
      <c r="A8" s="66" t="s">
        <v>247</v>
      </c>
      <c r="B8" s="125"/>
      <c r="C8" s="125">
        <v>4864</v>
      </c>
      <c r="D8" s="123">
        <v>0</v>
      </c>
      <c r="E8" s="124">
        <v>0</v>
      </c>
      <c r="F8" s="123"/>
      <c r="G8" s="124"/>
      <c r="H8" s="121"/>
      <c r="I8" s="121"/>
      <c r="J8" s="123"/>
      <c r="K8" s="124"/>
      <c r="L8" s="121"/>
      <c r="M8" s="121"/>
      <c r="N8" s="123"/>
      <c r="O8" s="124"/>
      <c r="P8" s="121"/>
      <c r="Q8" s="121"/>
      <c r="R8" s="123"/>
      <c r="S8" s="124"/>
      <c r="T8" s="121">
        <v>0</v>
      </c>
      <c r="U8" s="121"/>
      <c r="V8" s="123"/>
      <c r="W8" s="124"/>
      <c r="X8" s="121"/>
      <c r="Y8" s="121"/>
      <c r="Z8" s="123"/>
      <c r="AA8" s="124"/>
      <c r="AB8" s="121"/>
    </row>
    <row r="9" spans="1:28" x14ac:dyDescent="0.35">
      <c r="A9" s="100" t="s">
        <v>249</v>
      </c>
      <c r="B9" s="125">
        <f>11642.56-3847.2</f>
        <v>7795.36</v>
      </c>
      <c r="C9" s="125">
        <f>11642.56-3847.2</f>
        <v>7795.36</v>
      </c>
      <c r="D9" s="123">
        <v>7795</v>
      </c>
      <c r="E9" s="124">
        <v>7795</v>
      </c>
      <c r="F9" s="123"/>
      <c r="G9" s="124"/>
      <c r="H9" s="121"/>
      <c r="I9" s="121"/>
      <c r="J9" s="123"/>
      <c r="K9" s="124"/>
      <c r="L9" s="121"/>
      <c r="M9" s="121"/>
      <c r="N9" s="123"/>
      <c r="O9" s="124"/>
      <c r="P9" s="121"/>
      <c r="Q9" s="121"/>
      <c r="R9" s="123"/>
      <c r="S9" s="124"/>
      <c r="T9" s="121"/>
      <c r="U9" s="121"/>
      <c r="V9" s="123"/>
      <c r="W9" s="124"/>
      <c r="X9" s="121"/>
      <c r="Y9" s="121"/>
      <c r="Z9" s="123"/>
      <c r="AA9" s="124"/>
      <c r="AB9" s="121"/>
    </row>
    <row r="10" spans="1:28" x14ac:dyDescent="0.35">
      <c r="A10" s="66" t="s">
        <v>250</v>
      </c>
      <c r="B10" s="125">
        <f>39384.42-24817.18</f>
        <v>14567.239999999998</v>
      </c>
      <c r="C10" s="125">
        <f>39384.42-24817.18</f>
        <v>14567.239999999998</v>
      </c>
      <c r="D10" s="123">
        <v>12567</v>
      </c>
      <c r="E10" s="124">
        <v>12567</v>
      </c>
      <c r="F10" s="123">
        <v>2000</v>
      </c>
      <c r="G10" s="124">
        <v>2000</v>
      </c>
      <c r="H10" s="121"/>
      <c r="I10" s="121"/>
      <c r="J10" s="123"/>
      <c r="K10" s="124"/>
      <c r="L10" s="121"/>
      <c r="M10" s="121"/>
      <c r="N10" s="123"/>
      <c r="O10" s="124"/>
      <c r="P10" s="121"/>
      <c r="Q10" s="121"/>
      <c r="R10" s="123"/>
      <c r="S10" s="124"/>
      <c r="T10" s="121"/>
      <c r="U10" s="121"/>
      <c r="V10" s="123"/>
      <c r="W10" s="124"/>
      <c r="X10" s="121"/>
      <c r="Y10" s="121"/>
      <c r="Z10" s="123"/>
      <c r="AA10" s="124"/>
      <c r="AB10" s="121"/>
    </row>
    <row r="11" spans="1:28" x14ac:dyDescent="0.35">
      <c r="A11" s="100" t="s">
        <v>251</v>
      </c>
      <c r="B11" s="125">
        <v>14170</v>
      </c>
      <c r="C11" s="125">
        <v>14170</v>
      </c>
      <c r="D11" s="123"/>
      <c r="E11" s="124"/>
      <c r="F11" s="123">
        <v>9833</v>
      </c>
      <c r="G11" s="124">
        <v>9833</v>
      </c>
      <c r="H11" s="121">
        <v>2850</v>
      </c>
      <c r="I11" s="121">
        <v>2850</v>
      </c>
      <c r="J11" s="123"/>
      <c r="K11" s="124"/>
      <c r="L11" s="121"/>
      <c r="M11" s="121"/>
      <c r="N11" s="123"/>
      <c r="O11" s="124"/>
      <c r="P11" s="121"/>
      <c r="Q11" s="121"/>
      <c r="R11" s="123"/>
      <c r="S11" s="124"/>
      <c r="T11" s="121"/>
      <c r="U11" s="121"/>
      <c r="V11" s="123"/>
      <c r="W11" s="124"/>
      <c r="X11" s="121"/>
      <c r="Y11" s="121"/>
      <c r="Z11" s="123"/>
      <c r="AA11" s="124"/>
      <c r="AB11" s="121"/>
    </row>
    <row r="12" spans="1:28" x14ac:dyDescent="0.35">
      <c r="A12" s="66" t="s">
        <v>252</v>
      </c>
      <c r="B12" s="125">
        <v>6770</v>
      </c>
      <c r="C12" s="125">
        <v>6770</v>
      </c>
      <c r="D12" s="123"/>
      <c r="E12" s="124"/>
      <c r="F12" s="123">
        <v>6770</v>
      </c>
      <c r="G12" s="124">
        <v>6770</v>
      </c>
      <c r="H12" s="121"/>
      <c r="I12" s="121"/>
      <c r="J12" s="123"/>
      <c r="K12" s="124"/>
      <c r="L12" s="121"/>
      <c r="M12" s="121"/>
      <c r="N12" s="123"/>
      <c r="O12" s="124"/>
      <c r="P12" s="121"/>
      <c r="Q12" s="121"/>
      <c r="R12" s="123"/>
      <c r="S12" s="124"/>
      <c r="T12" s="121"/>
      <c r="U12" s="121"/>
      <c r="V12" s="123"/>
      <c r="W12" s="124"/>
      <c r="X12" s="121"/>
      <c r="Y12" s="121"/>
      <c r="Z12" s="123"/>
      <c r="AA12" s="124"/>
      <c r="AB12" s="121"/>
    </row>
    <row r="13" spans="1:28" x14ac:dyDescent="0.35">
      <c r="A13" s="41" t="s">
        <v>253</v>
      </c>
      <c r="B13" s="125">
        <f>47234.29-13278.17</f>
        <v>33956.120000000003</v>
      </c>
      <c r="C13" s="125">
        <f>47234.29-13278.17</f>
        <v>33956.120000000003</v>
      </c>
      <c r="D13" s="123"/>
      <c r="E13" s="124"/>
      <c r="F13" s="123">
        <v>33956.22</v>
      </c>
      <c r="G13" s="124">
        <v>33956</v>
      </c>
      <c r="H13" s="121"/>
      <c r="I13" s="121"/>
      <c r="J13" s="123"/>
      <c r="K13" s="124"/>
      <c r="L13" s="121"/>
      <c r="M13" s="121"/>
      <c r="N13" s="123"/>
      <c r="O13" s="124"/>
      <c r="P13" s="121"/>
      <c r="Q13" s="121"/>
      <c r="R13" s="123"/>
      <c r="S13" s="124"/>
      <c r="T13" s="121"/>
      <c r="U13" s="121"/>
      <c r="V13" s="123"/>
      <c r="W13" s="124"/>
      <c r="X13" s="121"/>
      <c r="Y13" s="121"/>
      <c r="Z13" s="123"/>
      <c r="AA13" s="124"/>
      <c r="AB13" s="121"/>
    </row>
    <row r="14" spans="1:28" x14ac:dyDescent="0.35">
      <c r="A14" s="41" t="s">
        <v>254</v>
      </c>
      <c r="B14" s="125">
        <v>102917.19</v>
      </c>
      <c r="C14" s="125">
        <v>102917.19</v>
      </c>
      <c r="D14" s="123"/>
      <c r="E14" s="124"/>
      <c r="F14" s="123">
        <v>14971</v>
      </c>
      <c r="G14" s="124">
        <v>14971</v>
      </c>
      <c r="H14" s="121"/>
      <c r="I14" s="121"/>
      <c r="J14" s="123">
        <v>0</v>
      </c>
      <c r="K14" s="124"/>
      <c r="L14" s="121"/>
      <c r="M14" s="121"/>
      <c r="N14" s="123">
        <v>31989</v>
      </c>
      <c r="O14" s="124">
        <v>31989</v>
      </c>
      <c r="P14" s="121">
        <v>30990.1</v>
      </c>
      <c r="Q14" s="121">
        <v>30990.1</v>
      </c>
      <c r="R14" s="123">
        <v>11863.1</v>
      </c>
      <c r="S14" s="124">
        <v>11863</v>
      </c>
      <c r="T14" s="121">
        <v>7054</v>
      </c>
      <c r="U14" s="121">
        <v>7054</v>
      </c>
      <c r="V14" s="123">
        <v>6048</v>
      </c>
      <c r="W14" s="124">
        <v>6048</v>
      </c>
      <c r="X14" s="121"/>
      <c r="Y14" s="121"/>
      <c r="Z14" s="123"/>
      <c r="AA14" s="124"/>
      <c r="AB14" s="121"/>
    </row>
    <row r="15" spans="1:28" x14ac:dyDescent="0.35">
      <c r="A15" s="100" t="s">
        <v>255</v>
      </c>
      <c r="B15" s="102">
        <v>26240</v>
      </c>
      <c r="C15" s="102">
        <v>26640</v>
      </c>
      <c r="D15" s="123"/>
      <c r="E15" s="124"/>
      <c r="F15" s="123"/>
      <c r="G15" s="124"/>
      <c r="H15" s="121">
        <v>5072</v>
      </c>
      <c r="I15" s="121">
        <v>5072</v>
      </c>
      <c r="J15" s="123">
        <v>0</v>
      </c>
      <c r="K15" s="124"/>
      <c r="L15" s="121">
        <v>6722</v>
      </c>
      <c r="M15" s="121">
        <v>6722</v>
      </c>
      <c r="N15" s="123">
        <v>4673</v>
      </c>
      <c r="O15" s="124">
        <v>4673</v>
      </c>
      <c r="P15" s="121">
        <v>8090</v>
      </c>
      <c r="Q15" s="121">
        <v>8090</v>
      </c>
      <c r="R15" s="123"/>
      <c r="S15" s="124"/>
      <c r="T15" s="121">
        <v>2082</v>
      </c>
      <c r="U15" s="121">
        <v>2082</v>
      </c>
      <c r="V15" s="123"/>
      <c r="W15" s="124"/>
      <c r="X15" s="121"/>
      <c r="Y15" s="121"/>
      <c r="Z15" s="123"/>
      <c r="AA15" s="124"/>
      <c r="AB15" s="121"/>
    </row>
    <row r="16" spans="1:28" x14ac:dyDescent="0.35">
      <c r="A16" s="41" t="s">
        <v>256</v>
      </c>
      <c r="B16" s="125">
        <v>256701</v>
      </c>
      <c r="C16" s="125">
        <v>256701</v>
      </c>
      <c r="D16" s="123">
        <v>56000</v>
      </c>
      <c r="E16" s="124">
        <v>56000</v>
      </c>
      <c r="F16" s="123">
        <v>0</v>
      </c>
      <c r="G16" s="124"/>
      <c r="H16" s="121">
        <v>45000</v>
      </c>
      <c r="I16" s="121">
        <v>45000</v>
      </c>
      <c r="J16" s="123">
        <v>0</v>
      </c>
      <c r="K16" s="124"/>
      <c r="L16" s="121">
        <v>51027</v>
      </c>
      <c r="M16" s="121">
        <v>51027</v>
      </c>
      <c r="N16" s="123">
        <v>13901</v>
      </c>
      <c r="O16" s="124">
        <v>13901</v>
      </c>
      <c r="P16" s="121">
        <v>0</v>
      </c>
      <c r="Q16" s="121">
        <v>0</v>
      </c>
      <c r="R16" s="123">
        <v>26817.63</v>
      </c>
      <c r="S16" s="124">
        <v>26818</v>
      </c>
      <c r="T16" s="121">
        <f>26223+7269</f>
        <v>33492</v>
      </c>
      <c r="U16" s="121">
        <v>33492</v>
      </c>
      <c r="V16" s="123">
        <v>20069.23</v>
      </c>
      <c r="W16" s="124">
        <v>20069.23</v>
      </c>
      <c r="X16" s="121">
        <v>4048</v>
      </c>
      <c r="Y16" s="121"/>
      <c r="Z16" s="123">
        <v>10000</v>
      </c>
      <c r="AA16" s="124"/>
      <c r="AB16" s="121"/>
    </row>
    <row r="17" spans="1:28" x14ac:dyDescent="0.35">
      <c r="A17" s="100" t="s">
        <v>265</v>
      </c>
      <c r="B17" s="125">
        <v>22450</v>
      </c>
      <c r="C17" s="125">
        <v>22450</v>
      </c>
      <c r="D17" s="123"/>
      <c r="E17" s="124"/>
      <c r="F17" s="123">
        <v>0</v>
      </c>
      <c r="G17" s="124"/>
      <c r="H17" s="121">
        <v>6735</v>
      </c>
      <c r="I17" s="121">
        <v>6735</v>
      </c>
      <c r="J17" s="123">
        <v>0</v>
      </c>
      <c r="K17" s="124"/>
      <c r="L17" s="121">
        <v>15715</v>
      </c>
      <c r="M17" s="121">
        <v>15715</v>
      </c>
      <c r="N17" s="123"/>
      <c r="O17" s="124"/>
      <c r="P17" s="121"/>
      <c r="Q17" s="121"/>
      <c r="R17" s="123"/>
      <c r="S17" s="124"/>
      <c r="T17" s="121"/>
      <c r="U17" s="121"/>
      <c r="V17" s="123"/>
      <c r="W17" s="124"/>
      <c r="X17" s="121"/>
      <c r="Y17" s="121"/>
      <c r="Z17" s="123"/>
      <c r="AA17" s="124"/>
      <c r="AB17" s="121"/>
    </row>
    <row r="18" spans="1:28" x14ac:dyDescent="0.35">
      <c r="A18" s="100" t="s">
        <v>258</v>
      </c>
      <c r="B18" s="103"/>
      <c r="C18" s="103">
        <v>92161.48</v>
      </c>
      <c r="D18" s="123"/>
      <c r="E18" s="124"/>
      <c r="F18" s="123"/>
      <c r="G18" s="124"/>
      <c r="H18" s="121"/>
      <c r="I18" s="121"/>
      <c r="J18" s="123"/>
      <c r="K18" s="124"/>
      <c r="L18" s="121"/>
      <c r="M18" s="121"/>
      <c r="N18" s="123"/>
      <c r="O18" s="124"/>
      <c r="P18" s="121"/>
      <c r="Q18" s="121"/>
      <c r="R18" s="123"/>
      <c r="S18" s="124"/>
      <c r="T18" s="121"/>
      <c r="U18" s="121"/>
      <c r="V18" s="123"/>
      <c r="W18" s="124"/>
      <c r="X18" s="121"/>
      <c r="Y18" s="121"/>
      <c r="Z18" s="123"/>
      <c r="AA18" s="124"/>
      <c r="AB18" s="121"/>
    </row>
    <row r="19" spans="1:28" x14ac:dyDescent="0.35">
      <c r="A19" s="41" t="s">
        <v>259</v>
      </c>
      <c r="B19" s="103"/>
      <c r="C19" s="103">
        <v>149882.03</v>
      </c>
      <c r="D19" s="123"/>
      <c r="E19" s="124"/>
      <c r="F19" s="123"/>
      <c r="G19" s="124"/>
      <c r="H19" s="121"/>
      <c r="I19" s="121"/>
      <c r="J19" s="123"/>
      <c r="K19" s="124"/>
      <c r="L19" s="121"/>
      <c r="M19" s="121"/>
      <c r="N19" s="123"/>
      <c r="O19" s="124"/>
      <c r="P19" s="121"/>
      <c r="Q19" s="121"/>
      <c r="R19" s="123"/>
      <c r="S19" s="124"/>
      <c r="T19" s="121"/>
      <c r="U19" s="121"/>
      <c r="V19" s="123"/>
      <c r="W19" s="124"/>
      <c r="X19" s="121"/>
      <c r="Y19" s="121"/>
      <c r="Z19" s="123"/>
      <c r="AA19" s="124"/>
      <c r="AB19" s="121"/>
    </row>
    <row r="20" spans="1:28" x14ac:dyDescent="0.35">
      <c r="A20" s="100" t="s">
        <v>260</v>
      </c>
      <c r="B20" s="103"/>
      <c r="C20" s="103">
        <f>58285.49+10077.21</f>
        <v>68362.7</v>
      </c>
      <c r="D20" s="123"/>
      <c r="E20" s="124"/>
      <c r="F20" s="123"/>
      <c r="G20" s="124"/>
      <c r="H20" s="121"/>
      <c r="I20" s="121"/>
      <c r="J20" s="123"/>
      <c r="K20" s="124"/>
      <c r="L20" s="121"/>
      <c r="M20" s="121"/>
      <c r="N20" s="123"/>
      <c r="O20" s="124"/>
      <c r="P20" s="121"/>
      <c r="Q20" s="121"/>
      <c r="R20" s="123"/>
      <c r="S20" s="124"/>
      <c r="T20" s="121"/>
      <c r="U20" s="121"/>
      <c r="V20" s="123"/>
      <c r="W20" s="124"/>
      <c r="X20" s="121"/>
      <c r="Y20" s="121"/>
      <c r="Z20" s="123"/>
      <c r="AA20" s="124"/>
      <c r="AB20" s="121"/>
    </row>
    <row r="21" spans="1:28" x14ac:dyDescent="0.35">
      <c r="A21" s="101" t="s">
        <v>278</v>
      </c>
      <c r="B21" s="125">
        <v>7392.42</v>
      </c>
      <c r="C21" s="125">
        <f>B21</f>
        <v>7392.42</v>
      </c>
      <c r="D21" s="123"/>
      <c r="E21" s="124"/>
      <c r="F21" s="123"/>
      <c r="G21" s="124"/>
      <c r="H21" s="121">
        <v>0</v>
      </c>
      <c r="I21" s="121"/>
      <c r="J21" s="123"/>
      <c r="K21" s="124"/>
      <c r="L21" s="121">
        <v>7392</v>
      </c>
      <c r="M21" s="121">
        <v>7392</v>
      </c>
      <c r="N21" s="123"/>
      <c r="O21" s="124"/>
      <c r="P21" s="121"/>
      <c r="Q21" s="121"/>
      <c r="R21" s="123"/>
      <c r="S21" s="124"/>
      <c r="T21" s="121"/>
      <c r="U21" s="121"/>
      <c r="V21" s="123"/>
      <c r="W21" s="124"/>
      <c r="X21" s="121"/>
      <c r="Y21" s="121"/>
      <c r="Z21" s="123"/>
      <c r="AA21" s="124"/>
      <c r="AB21" s="121"/>
    </row>
    <row r="22" spans="1:28" x14ac:dyDescent="0.35">
      <c r="A22" s="101" t="s">
        <v>263</v>
      </c>
      <c r="B22" s="125">
        <v>10191</v>
      </c>
      <c r="C22" s="125">
        <v>10191</v>
      </c>
      <c r="D22" s="123"/>
      <c r="E22" s="124"/>
      <c r="F22" s="123"/>
      <c r="G22" s="124"/>
      <c r="H22" s="121">
        <v>0</v>
      </c>
      <c r="I22" s="121"/>
      <c r="J22" s="123">
        <v>0</v>
      </c>
      <c r="K22" s="124"/>
      <c r="L22" s="121">
        <v>0</v>
      </c>
      <c r="M22" s="121"/>
      <c r="N22" s="123"/>
      <c r="O22" s="124"/>
      <c r="P22" s="121"/>
      <c r="Q22" s="121"/>
      <c r="R22" s="123"/>
      <c r="S22" s="124"/>
      <c r="T22" s="121">
        <v>10191</v>
      </c>
      <c r="U22" s="121">
        <v>10191</v>
      </c>
      <c r="V22" s="123"/>
      <c r="W22" s="124"/>
      <c r="X22" s="121"/>
      <c r="Y22" s="121"/>
      <c r="Z22" s="123"/>
      <c r="AA22" s="124"/>
      <c r="AB22" s="121"/>
    </row>
    <row r="23" spans="1:28" x14ac:dyDescent="0.35">
      <c r="A23" s="100" t="s">
        <v>264</v>
      </c>
      <c r="B23" s="125">
        <f>14189.06-4000</f>
        <v>10189.06</v>
      </c>
      <c r="C23" s="125">
        <f>14189.06-4000</f>
        <v>10189.06</v>
      </c>
      <c r="D23" s="123"/>
      <c r="E23" s="124"/>
      <c r="F23" s="123">
        <v>5390</v>
      </c>
      <c r="G23" s="124">
        <v>5390</v>
      </c>
      <c r="H23" s="121">
        <v>4614</v>
      </c>
      <c r="I23" s="121">
        <v>4614</v>
      </c>
      <c r="J23" s="123">
        <v>0</v>
      </c>
      <c r="K23" s="124"/>
      <c r="L23" s="121"/>
      <c r="M23" s="121"/>
      <c r="N23" s="123"/>
      <c r="O23" s="124"/>
      <c r="P23" s="121"/>
      <c r="Q23" s="121"/>
      <c r="R23" s="123"/>
      <c r="S23" s="124"/>
      <c r="T23" s="121"/>
      <c r="U23" s="121"/>
      <c r="V23" s="123"/>
      <c r="W23" s="124"/>
      <c r="X23" s="121"/>
      <c r="Y23" s="121"/>
      <c r="Z23" s="123"/>
      <c r="AA23" s="124"/>
      <c r="AB23" s="121"/>
    </row>
    <row r="24" spans="1:28" x14ac:dyDescent="0.35">
      <c r="A24" s="42" t="s">
        <v>266</v>
      </c>
      <c r="B24" s="125">
        <v>27194.720000000001</v>
      </c>
      <c r="C24" s="125">
        <v>27194.720000000001</v>
      </c>
      <c r="D24" s="123"/>
      <c r="E24" s="124"/>
      <c r="F24" s="123">
        <v>0</v>
      </c>
      <c r="G24" s="124"/>
      <c r="H24" s="121">
        <v>27194</v>
      </c>
      <c r="I24" s="121">
        <v>27194</v>
      </c>
      <c r="J24" s="123">
        <v>0</v>
      </c>
      <c r="K24" s="124"/>
      <c r="L24" s="121"/>
      <c r="M24" s="121"/>
      <c r="N24" s="123"/>
      <c r="O24" s="124"/>
      <c r="P24" s="121"/>
      <c r="Q24" s="121"/>
      <c r="R24" s="123"/>
      <c r="S24" s="124"/>
      <c r="T24" s="121"/>
      <c r="U24" s="121"/>
      <c r="V24" s="123"/>
      <c r="W24" s="124"/>
      <c r="X24" s="121"/>
      <c r="Y24" s="121"/>
      <c r="Z24" s="123"/>
      <c r="AA24" s="124"/>
      <c r="AB24" s="121"/>
    </row>
    <row r="25" spans="1:28" x14ac:dyDescent="0.35">
      <c r="A25" s="101" t="s">
        <v>267</v>
      </c>
      <c r="B25" s="125">
        <v>9838</v>
      </c>
      <c r="C25" s="125">
        <v>9838</v>
      </c>
      <c r="D25" s="123"/>
      <c r="E25" s="124"/>
      <c r="F25" s="123"/>
      <c r="G25" s="124"/>
      <c r="H25" s="121">
        <v>9838</v>
      </c>
      <c r="I25" s="121">
        <v>9838</v>
      </c>
      <c r="J25" s="123"/>
      <c r="K25" s="124"/>
      <c r="L25" s="121"/>
      <c r="M25" s="121"/>
      <c r="N25" s="123"/>
      <c r="O25" s="124"/>
      <c r="P25" s="121"/>
      <c r="Q25" s="121"/>
      <c r="R25" s="123"/>
      <c r="S25" s="124"/>
      <c r="T25" s="121"/>
      <c r="U25" s="121"/>
      <c r="V25" s="123"/>
      <c r="W25" s="124"/>
      <c r="X25" s="121"/>
      <c r="Y25" s="121"/>
      <c r="Z25" s="123"/>
      <c r="AA25" s="124"/>
      <c r="AB25" s="121"/>
    </row>
    <row r="26" spans="1:28" x14ac:dyDescent="0.35">
      <c r="A26" s="100" t="s">
        <v>269</v>
      </c>
      <c r="B26" s="122">
        <v>31084</v>
      </c>
      <c r="C26" s="102">
        <v>31084</v>
      </c>
      <c r="D26" s="123"/>
      <c r="E26" s="124"/>
      <c r="F26" s="123">
        <v>5111</v>
      </c>
      <c r="G26" s="124">
        <v>5111</v>
      </c>
      <c r="H26" s="121">
        <v>25973</v>
      </c>
      <c r="I26" s="121">
        <v>25973</v>
      </c>
      <c r="J26" s="123"/>
      <c r="K26" s="124"/>
      <c r="L26" s="121"/>
      <c r="M26" s="121"/>
      <c r="N26" s="123"/>
      <c r="O26" s="124"/>
      <c r="P26" s="121"/>
      <c r="Q26" s="121"/>
      <c r="R26" s="123"/>
      <c r="S26" s="124"/>
      <c r="T26" s="121"/>
      <c r="U26" s="121"/>
      <c r="V26" s="123"/>
      <c r="W26" s="124"/>
      <c r="X26" s="121"/>
      <c r="Y26" s="121"/>
      <c r="Z26" s="123"/>
      <c r="AA26" s="124"/>
      <c r="AB26" s="121"/>
    </row>
    <row r="27" spans="1:28" x14ac:dyDescent="0.35">
      <c r="A27" s="41" t="s">
        <v>270</v>
      </c>
      <c r="B27" s="122">
        <v>36487</v>
      </c>
      <c r="C27" s="122">
        <v>36487</v>
      </c>
      <c r="D27" s="123"/>
      <c r="E27" s="124"/>
      <c r="F27" s="123"/>
      <c r="G27" s="124"/>
      <c r="H27" s="121"/>
      <c r="I27" s="121"/>
      <c r="J27" s="123"/>
      <c r="K27" s="124"/>
      <c r="L27" s="121"/>
      <c r="M27" s="121"/>
      <c r="N27" s="123">
        <v>0</v>
      </c>
      <c r="O27" s="124"/>
      <c r="P27" s="121">
        <v>14404</v>
      </c>
      <c r="Q27" s="121">
        <v>14404</v>
      </c>
      <c r="R27" s="123">
        <v>15574</v>
      </c>
      <c r="S27" s="124">
        <v>15574</v>
      </c>
      <c r="T27" s="121">
        <v>0</v>
      </c>
      <c r="U27" s="121"/>
      <c r="V27" s="123">
        <f>2900+3200</f>
        <v>6100</v>
      </c>
      <c r="W27" s="124">
        <v>6100</v>
      </c>
      <c r="X27" s="121"/>
      <c r="Y27" s="121"/>
      <c r="Z27" s="123"/>
      <c r="AA27" s="124"/>
      <c r="AB27" s="121"/>
    </row>
    <row r="28" spans="1:28" x14ac:dyDescent="0.35">
      <c r="A28" s="100" t="s">
        <v>271</v>
      </c>
      <c r="B28" s="122">
        <v>55000</v>
      </c>
      <c r="C28" s="122">
        <v>55000</v>
      </c>
      <c r="D28" s="123"/>
      <c r="E28" s="124"/>
      <c r="F28" s="123">
        <v>0</v>
      </c>
      <c r="G28" s="124"/>
      <c r="H28" s="121">
        <v>11238</v>
      </c>
      <c r="I28" s="121">
        <v>11238</v>
      </c>
      <c r="J28" s="123">
        <v>0</v>
      </c>
      <c r="K28" s="124"/>
      <c r="L28" s="121">
        <v>30431</v>
      </c>
      <c r="M28" s="121">
        <v>30431</v>
      </c>
      <c r="N28" s="123">
        <v>13329</v>
      </c>
      <c r="O28" s="124">
        <v>13329</v>
      </c>
      <c r="P28" s="121"/>
      <c r="Q28" s="121"/>
      <c r="R28" s="123"/>
      <c r="S28" s="124"/>
      <c r="T28" s="121"/>
      <c r="U28" s="121"/>
      <c r="V28" s="123"/>
      <c r="W28" s="124"/>
      <c r="X28" s="121"/>
      <c r="Y28" s="121"/>
      <c r="Z28" s="123"/>
      <c r="AA28" s="124"/>
      <c r="AB28" s="121"/>
    </row>
    <row r="29" spans="1:28" x14ac:dyDescent="0.35">
      <c r="A29" s="100" t="s">
        <v>272</v>
      </c>
      <c r="B29" s="107">
        <f>C29</f>
        <v>14947</v>
      </c>
      <c r="C29" s="107">
        <v>14947</v>
      </c>
      <c r="D29" s="123"/>
      <c r="E29" s="124"/>
      <c r="F29" s="123"/>
      <c r="G29" s="124"/>
      <c r="H29" s="121"/>
      <c r="I29" s="121"/>
      <c r="J29" s="123"/>
      <c r="K29" s="124"/>
      <c r="L29" s="121"/>
      <c r="M29" s="121"/>
      <c r="N29" s="123"/>
      <c r="O29" s="124"/>
      <c r="P29" s="121">
        <v>3924</v>
      </c>
      <c r="Q29" s="121">
        <v>3924</v>
      </c>
      <c r="R29" s="123"/>
      <c r="S29" s="124"/>
      <c r="T29" s="121">
        <v>11023</v>
      </c>
      <c r="U29" s="121">
        <v>11023</v>
      </c>
      <c r="V29" s="123"/>
      <c r="W29" s="124"/>
      <c r="X29" s="121"/>
      <c r="Y29" s="121"/>
      <c r="Z29" s="123"/>
      <c r="AA29" s="124"/>
      <c r="AB29" s="126" t="s">
        <v>153</v>
      </c>
    </row>
    <row r="30" spans="1:28" x14ac:dyDescent="0.35">
      <c r="A30" s="43" t="s">
        <v>273</v>
      </c>
      <c r="B30" s="122">
        <v>1500</v>
      </c>
      <c r="C30" s="122">
        <v>1500</v>
      </c>
      <c r="D30" s="123"/>
      <c r="E30" s="124"/>
      <c r="F30" s="123"/>
      <c r="G30" s="124"/>
      <c r="H30" s="121"/>
      <c r="I30" s="121"/>
      <c r="J30" s="123">
        <v>0</v>
      </c>
      <c r="K30" s="124"/>
      <c r="L30" s="121"/>
      <c r="M30" s="121"/>
      <c r="N30" s="123">
        <v>1500</v>
      </c>
      <c r="O30" s="124">
        <v>1500</v>
      </c>
      <c r="P30" s="121"/>
      <c r="Q30" s="121"/>
      <c r="R30" s="123"/>
      <c r="S30" s="124"/>
      <c r="T30" s="121"/>
      <c r="U30" s="121"/>
      <c r="V30" s="123"/>
      <c r="W30" s="124"/>
      <c r="X30" s="121"/>
      <c r="Y30" s="121"/>
      <c r="Z30" s="123"/>
      <c r="AA30" s="124"/>
      <c r="AB30" s="121"/>
    </row>
    <row r="31" spans="1:28" x14ac:dyDescent="0.35">
      <c r="A31" s="43" t="s">
        <v>274</v>
      </c>
      <c r="B31" s="122">
        <v>3176</v>
      </c>
      <c r="C31" s="122">
        <f>B31</f>
        <v>3176</v>
      </c>
      <c r="D31" s="123">
        <v>3171</v>
      </c>
      <c r="E31" s="124">
        <v>3171</v>
      </c>
      <c r="F31" s="123"/>
      <c r="G31" s="124"/>
      <c r="H31" s="121"/>
      <c r="I31" s="121"/>
      <c r="J31" s="123"/>
      <c r="K31" s="124"/>
      <c r="L31" s="121"/>
      <c r="M31" s="121"/>
      <c r="N31" s="123"/>
      <c r="O31" s="124"/>
      <c r="P31" s="121"/>
      <c r="Q31" s="121"/>
      <c r="R31" s="123"/>
      <c r="S31" s="124"/>
      <c r="T31" s="121"/>
      <c r="U31" s="121"/>
      <c r="V31" s="123"/>
      <c r="W31" s="124"/>
      <c r="X31" s="121"/>
      <c r="Y31" s="121"/>
      <c r="Z31" s="123"/>
      <c r="AA31" s="124"/>
      <c r="AB31" s="121"/>
    </row>
    <row r="32" spans="1:28" x14ac:dyDescent="0.35">
      <c r="A32" s="42" t="s">
        <v>275</v>
      </c>
      <c r="B32" s="125">
        <v>20037.29</v>
      </c>
      <c r="C32" s="102">
        <v>20037.29</v>
      </c>
      <c r="D32" s="123"/>
      <c r="E32" s="124"/>
      <c r="F32" s="123"/>
      <c r="G32" s="124"/>
      <c r="H32" s="121"/>
      <c r="I32" s="121"/>
      <c r="J32" s="123"/>
      <c r="K32" s="124"/>
      <c r="L32" s="121"/>
      <c r="M32" s="121"/>
      <c r="N32" s="123">
        <v>11789</v>
      </c>
      <c r="O32" s="124">
        <v>11789</v>
      </c>
      <c r="P32" s="121">
        <v>8248</v>
      </c>
      <c r="Q32" s="121">
        <v>8248</v>
      </c>
      <c r="R32" s="123"/>
      <c r="S32" s="124"/>
      <c r="T32" s="121"/>
      <c r="U32" s="121"/>
      <c r="V32" s="123"/>
      <c r="W32" s="124"/>
      <c r="X32" s="121"/>
      <c r="Y32" s="121"/>
      <c r="Z32" s="123"/>
      <c r="AA32" s="124"/>
      <c r="AB32" s="121"/>
    </row>
    <row r="33" spans="1:28" x14ac:dyDescent="0.35">
      <c r="A33" s="41" t="s">
        <v>276</v>
      </c>
      <c r="B33" s="122"/>
      <c r="C33" s="103">
        <v>122716.9</v>
      </c>
      <c r="D33" s="123"/>
      <c r="E33" s="124"/>
      <c r="F33" s="123"/>
      <c r="G33" s="124"/>
      <c r="H33" s="121"/>
      <c r="I33" s="121"/>
      <c r="J33" s="123"/>
      <c r="K33" s="124"/>
      <c r="L33" s="121"/>
      <c r="M33" s="121"/>
      <c r="N33" s="123"/>
      <c r="O33" s="124"/>
      <c r="P33" s="121"/>
      <c r="Q33" s="121"/>
      <c r="R33" s="123"/>
      <c r="S33" s="124"/>
      <c r="T33" s="121"/>
      <c r="U33" s="121"/>
      <c r="V33" s="123"/>
      <c r="W33" s="124"/>
      <c r="X33" s="121"/>
      <c r="Y33" s="121"/>
      <c r="Z33" s="123"/>
      <c r="AA33" s="124"/>
      <c r="AB33" s="121"/>
    </row>
    <row r="34" spans="1:28" x14ac:dyDescent="0.35">
      <c r="A34" s="42" t="s">
        <v>281</v>
      </c>
      <c r="B34" s="122">
        <v>1000</v>
      </c>
      <c r="C34" s="107">
        <v>1000</v>
      </c>
      <c r="D34" s="123"/>
      <c r="E34" s="124"/>
      <c r="F34" s="123"/>
      <c r="G34" s="124"/>
      <c r="H34" s="121"/>
      <c r="I34" s="121"/>
      <c r="J34" s="123"/>
      <c r="K34" s="124"/>
      <c r="L34" s="121"/>
      <c r="M34" s="121"/>
      <c r="N34" s="123"/>
      <c r="O34" s="124"/>
      <c r="P34" s="121">
        <v>1000</v>
      </c>
      <c r="Q34" s="121">
        <v>1000</v>
      </c>
      <c r="R34" s="123"/>
      <c r="S34" s="124"/>
      <c r="T34" s="121"/>
      <c r="U34" s="121"/>
      <c r="V34" s="123"/>
      <c r="W34" s="124"/>
      <c r="X34" s="121"/>
      <c r="Y34" s="121"/>
      <c r="Z34" s="123"/>
      <c r="AA34" s="124"/>
      <c r="AB34" s="121"/>
    </row>
    <row r="35" spans="1:28" x14ac:dyDescent="0.35">
      <c r="A35" s="43" t="s">
        <v>282</v>
      </c>
      <c r="B35" s="122">
        <v>10956</v>
      </c>
      <c r="C35" s="107">
        <v>10956</v>
      </c>
      <c r="D35" s="123"/>
      <c r="E35" s="124"/>
      <c r="F35" s="123"/>
      <c r="G35" s="124"/>
      <c r="H35" s="121"/>
      <c r="I35" s="121"/>
      <c r="J35" s="123"/>
      <c r="K35" s="124"/>
      <c r="L35" s="121"/>
      <c r="M35" s="121"/>
      <c r="N35" s="123"/>
      <c r="O35" s="124"/>
      <c r="P35" s="121">
        <v>10956</v>
      </c>
      <c r="Q35" s="121">
        <v>10956</v>
      </c>
      <c r="R35" s="123"/>
      <c r="S35" s="124"/>
      <c r="T35" s="121"/>
      <c r="U35" s="121"/>
      <c r="V35" s="123"/>
      <c r="W35" s="124"/>
      <c r="X35" s="121"/>
      <c r="Y35" s="121"/>
      <c r="Z35" s="123"/>
      <c r="AA35" s="124"/>
      <c r="AB35" s="121"/>
    </row>
    <row r="36" spans="1:28" x14ac:dyDescent="0.35">
      <c r="A36" s="43" t="s">
        <v>283</v>
      </c>
      <c r="B36" s="122">
        <v>2484</v>
      </c>
      <c r="C36" s="105">
        <v>2484</v>
      </c>
      <c r="D36" s="123"/>
      <c r="E36" s="124"/>
      <c r="F36" s="123"/>
      <c r="G36" s="124"/>
      <c r="H36" s="121"/>
      <c r="I36" s="121"/>
      <c r="J36" s="123"/>
      <c r="K36" s="124"/>
      <c r="L36" s="121"/>
      <c r="M36" s="121"/>
      <c r="N36" s="123">
        <v>2484</v>
      </c>
      <c r="O36" s="124">
        <v>2484</v>
      </c>
      <c r="P36" s="121"/>
      <c r="Q36" s="121"/>
      <c r="R36" s="123"/>
      <c r="S36" s="124"/>
      <c r="T36" s="121"/>
      <c r="U36" s="121"/>
      <c r="V36" s="123"/>
      <c r="W36" s="124"/>
      <c r="X36" s="121"/>
      <c r="Y36" s="121"/>
      <c r="Z36" s="123"/>
      <c r="AA36" s="124"/>
      <c r="AB36" s="121"/>
    </row>
    <row r="37" spans="1:28" x14ac:dyDescent="0.35">
      <c r="A37" s="100" t="s">
        <v>277</v>
      </c>
      <c r="B37" s="107">
        <v>44277</v>
      </c>
      <c r="C37" s="107">
        <v>44277</v>
      </c>
      <c r="D37" s="123"/>
      <c r="E37" s="124"/>
      <c r="F37" s="123"/>
      <c r="G37" s="124"/>
      <c r="H37" s="121"/>
      <c r="I37" s="121"/>
      <c r="J37" s="123"/>
      <c r="K37" s="124"/>
      <c r="L37" s="121"/>
      <c r="M37" s="121"/>
      <c r="N37" s="123"/>
      <c r="O37" s="124"/>
      <c r="P37" s="121"/>
      <c r="Q37" s="121"/>
      <c r="R37" s="123">
        <v>11580.24</v>
      </c>
      <c r="S37" s="124">
        <v>11580</v>
      </c>
      <c r="T37" s="121">
        <v>10812.39</v>
      </c>
      <c r="U37" s="121">
        <v>10812.39</v>
      </c>
      <c r="V37" s="123">
        <v>18998.89</v>
      </c>
      <c r="W37" s="124">
        <v>18998.89</v>
      </c>
      <c r="X37" s="121">
        <v>1938</v>
      </c>
      <c r="Y37" s="121"/>
      <c r="Z37" s="123">
        <v>947</v>
      </c>
      <c r="AA37" s="124"/>
      <c r="AB37" s="121"/>
    </row>
    <row r="38" spans="1:28" x14ac:dyDescent="0.35">
      <c r="A38" s="43" t="s">
        <v>284</v>
      </c>
      <c r="B38" s="122">
        <v>4085</v>
      </c>
      <c r="C38" s="122">
        <v>4085</v>
      </c>
      <c r="D38" s="123"/>
      <c r="E38" s="124"/>
      <c r="F38" s="123"/>
      <c r="G38" s="124"/>
      <c r="H38" s="121"/>
      <c r="I38" s="121"/>
      <c r="J38" s="123"/>
      <c r="K38" s="124"/>
      <c r="L38" s="121"/>
      <c r="M38" s="121"/>
      <c r="N38" s="123">
        <v>4085</v>
      </c>
      <c r="O38" s="124">
        <v>4085</v>
      </c>
      <c r="P38" s="121"/>
      <c r="Q38" s="121"/>
      <c r="R38" s="123"/>
      <c r="S38" s="124"/>
      <c r="T38" s="121"/>
      <c r="U38" s="121"/>
      <c r="V38" s="123"/>
      <c r="W38" s="124"/>
      <c r="X38" s="121"/>
      <c r="Y38" s="121"/>
      <c r="Z38" s="123"/>
      <c r="AA38" s="124"/>
      <c r="AB38" s="121"/>
    </row>
    <row r="39" spans="1:28" x14ac:dyDescent="0.35">
      <c r="A39" s="100" t="s">
        <v>298</v>
      </c>
      <c r="B39" s="107">
        <v>65791.679999999993</v>
      </c>
      <c r="C39" s="107">
        <f>B39</f>
        <v>65791.679999999993</v>
      </c>
      <c r="D39" s="123"/>
      <c r="E39" s="124"/>
      <c r="F39" s="123"/>
      <c r="G39" s="124"/>
      <c r="H39" s="121"/>
      <c r="I39" s="121"/>
      <c r="J39" s="123"/>
      <c r="K39" s="124"/>
      <c r="L39" s="121"/>
      <c r="M39" s="121"/>
      <c r="N39" s="123"/>
      <c r="O39" s="124"/>
      <c r="P39" s="121">
        <v>0</v>
      </c>
      <c r="Q39" s="121"/>
      <c r="R39" s="123">
        <v>20315.52</v>
      </c>
      <c r="S39" s="124">
        <v>20316</v>
      </c>
      <c r="T39" s="121">
        <v>0</v>
      </c>
      <c r="U39" s="121"/>
      <c r="V39" s="123">
        <v>13168.94</v>
      </c>
      <c r="W39" s="124">
        <v>13168.94</v>
      </c>
      <c r="X39" s="121">
        <v>9897</v>
      </c>
      <c r="Y39" s="121"/>
      <c r="Z39" s="123">
        <v>10000</v>
      </c>
      <c r="AA39" s="124"/>
      <c r="AB39" s="121"/>
    </row>
    <row r="40" spans="1:28" x14ac:dyDescent="0.35">
      <c r="A40" s="42" t="s">
        <v>285</v>
      </c>
      <c r="B40" s="107">
        <v>8232</v>
      </c>
      <c r="C40" s="107">
        <v>8232</v>
      </c>
      <c r="D40" s="123"/>
      <c r="E40" s="124"/>
      <c r="F40" s="123"/>
      <c r="G40" s="124"/>
      <c r="H40" s="121"/>
      <c r="I40" s="121"/>
      <c r="J40" s="123"/>
      <c r="K40" s="124"/>
      <c r="L40" s="121"/>
      <c r="M40" s="121"/>
      <c r="N40" s="123"/>
      <c r="O40" s="124"/>
      <c r="P40" s="121"/>
      <c r="Q40" s="121"/>
      <c r="R40" s="123"/>
      <c r="S40" s="124"/>
      <c r="T40" s="121">
        <v>8232</v>
      </c>
      <c r="U40" s="121">
        <v>8232</v>
      </c>
      <c r="V40" s="123"/>
      <c r="W40" s="124"/>
      <c r="X40" s="121"/>
      <c r="Y40" s="121"/>
      <c r="Z40" s="123"/>
      <c r="AA40" s="124"/>
      <c r="AB40" s="121"/>
    </row>
    <row r="41" spans="1:28" x14ac:dyDescent="0.35">
      <c r="A41" s="43" t="s">
        <v>286</v>
      </c>
      <c r="B41" s="125">
        <v>790.4</v>
      </c>
      <c r="C41" s="106">
        <v>790.4</v>
      </c>
      <c r="D41" s="123"/>
      <c r="E41" s="124"/>
      <c r="F41" s="123"/>
      <c r="G41" s="124"/>
      <c r="H41" s="121"/>
      <c r="I41" s="121"/>
      <c r="J41" s="123"/>
      <c r="K41" s="124"/>
      <c r="L41" s="121">
        <v>790</v>
      </c>
      <c r="M41" s="121">
        <v>790</v>
      </c>
      <c r="N41" s="123"/>
      <c r="O41" s="124"/>
      <c r="P41" s="121"/>
      <c r="Q41" s="121"/>
      <c r="R41" s="123"/>
      <c r="S41" s="124"/>
      <c r="T41" s="121"/>
      <c r="U41" s="121"/>
      <c r="V41" s="123"/>
      <c r="W41" s="124"/>
      <c r="X41" s="121"/>
      <c r="Y41" s="121"/>
      <c r="Z41" s="123"/>
      <c r="AA41" s="124"/>
      <c r="AB41" s="121"/>
    </row>
    <row r="42" spans="1:28" x14ac:dyDescent="0.35">
      <c r="A42" s="43" t="s">
        <v>287</v>
      </c>
      <c r="B42" s="122">
        <v>6038</v>
      </c>
      <c r="C42" s="107">
        <v>6038</v>
      </c>
      <c r="D42" s="123"/>
      <c r="E42" s="124"/>
      <c r="F42" s="123"/>
      <c r="G42" s="124"/>
      <c r="H42" s="121"/>
      <c r="I42" s="121"/>
      <c r="J42" s="123"/>
      <c r="K42" s="124"/>
      <c r="L42" s="121"/>
      <c r="M42" s="121"/>
      <c r="N42" s="123"/>
      <c r="O42" s="124"/>
      <c r="P42" s="121"/>
      <c r="Q42" s="121"/>
      <c r="R42" s="123">
        <v>1811.6</v>
      </c>
      <c r="S42" s="124">
        <v>1812</v>
      </c>
      <c r="T42" s="121">
        <v>4227.0600000000004</v>
      </c>
      <c r="U42" s="121">
        <v>4227.0600000000004</v>
      </c>
      <c r="V42" s="123"/>
      <c r="W42" s="124"/>
      <c r="X42" s="121"/>
      <c r="Y42" s="121"/>
      <c r="Z42" s="123"/>
      <c r="AA42" s="124"/>
      <c r="AB42" s="121"/>
    </row>
    <row r="43" spans="1:28" x14ac:dyDescent="0.35">
      <c r="A43" s="43" t="s">
        <v>288</v>
      </c>
      <c r="B43" s="122">
        <v>4299</v>
      </c>
      <c r="C43" s="107">
        <v>4299</v>
      </c>
      <c r="D43" s="123"/>
      <c r="E43" s="124"/>
      <c r="F43" s="123"/>
      <c r="G43" s="124"/>
      <c r="H43" s="121"/>
      <c r="I43" s="121"/>
      <c r="J43" s="123"/>
      <c r="K43" s="124"/>
      <c r="L43" s="121"/>
      <c r="M43" s="121"/>
      <c r="N43" s="123"/>
      <c r="O43" s="124"/>
      <c r="P43" s="121">
        <v>4299</v>
      </c>
      <c r="Q43" s="121">
        <v>4299</v>
      </c>
      <c r="R43" s="123"/>
      <c r="S43" s="124"/>
      <c r="T43" s="121"/>
      <c r="U43" s="121"/>
      <c r="V43" s="123"/>
      <c r="W43" s="124"/>
      <c r="X43" s="121"/>
      <c r="Y43" s="121"/>
      <c r="Z43" s="123"/>
      <c r="AA43" s="124"/>
      <c r="AB43" s="121"/>
    </row>
    <row r="44" spans="1:28" x14ac:dyDescent="0.35">
      <c r="A44" s="42" t="s">
        <v>289</v>
      </c>
      <c r="B44" s="122">
        <v>7135.16</v>
      </c>
      <c r="C44" s="107">
        <v>7135.16</v>
      </c>
      <c r="D44" s="123"/>
      <c r="E44" s="124"/>
      <c r="F44" s="123"/>
      <c r="G44" s="124"/>
      <c r="H44" s="121"/>
      <c r="I44" s="121"/>
      <c r="J44" s="123"/>
      <c r="K44" s="124"/>
      <c r="L44" s="121"/>
      <c r="M44" s="121"/>
      <c r="N44" s="123"/>
      <c r="O44" s="124"/>
      <c r="P44" s="121"/>
      <c r="Q44" s="121"/>
      <c r="R44" s="123">
        <v>7135.16</v>
      </c>
      <c r="S44" s="124">
        <v>7135</v>
      </c>
      <c r="T44" s="121"/>
      <c r="U44" s="121"/>
      <c r="V44" s="123"/>
      <c r="W44" s="124"/>
      <c r="X44" s="121"/>
      <c r="Y44" s="121"/>
      <c r="Z44" s="123"/>
      <c r="AA44" s="124"/>
      <c r="AB44" s="121"/>
    </row>
    <row r="45" spans="1:28" x14ac:dyDescent="0.35">
      <c r="A45" s="43" t="s">
        <v>290</v>
      </c>
      <c r="B45" s="122">
        <v>34606</v>
      </c>
      <c r="C45" s="107">
        <v>34606</v>
      </c>
      <c r="D45" s="123"/>
      <c r="E45" s="124"/>
      <c r="F45" s="123"/>
      <c r="G45" s="124"/>
      <c r="H45" s="121"/>
      <c r="I45" s="121"/>
      <c r="J45" s="123"/>
      <c r="K45" s="124"/>
      <c r="L45" s="121"/>
      <c r="M45" s="121"/>
      <c r="N45" s="123"/>
      <c r="O45" s="124"/>
      <c r="P45" s="121"/>
      <c r="Q45" s="121"/>
      <c r="R45" s="123"/>
      <c r="S45" s="124"/>
      <c r="T45" s="121">
        <v>9697</v>
      </c>
      <c r="U45" s="121">
        <v>9697</v>
      </c>
      <c r="V45" s="123">
        <v>9104.27</v>
      </c>
      <c r="W45" s="124">
        <v>9104</v>
      </c>
      <c r="X45" s="121">
        <v>3000</v>
      </c>
      <c r="Y45" s="121"/>
      <c r="Z45" s="123">
        <v>12805</v>
      </c>
      <c r="AA45" s="124"/>
      <c r="AB45" s="121"/>
    </row>
    <row r="46" spans="1:28" x14ac:dyDescent="0.35">
      <c r="A46" s="43" t="s">
        <v>291</v>
      </c>
      <c r="B46" s="122">
        <v>1266</v>
      </c>
      <c r="C46" s="107">
        <v>1266.4000000000001</v>
      </c>
      <c r="D46" s="123"/>
      <c r="E46" s="124"/>
      <c r="F46" s="123"/>
      <c r="G46" s="124"/>
      <c r="H46" s="121"/>
      <c r="I46" s="121"/>
      <c r="J46" s="123"/>
      <c r="K46" s="124"/>
      <c r="L46" s="121"/>
      <c r="M46" s="121"/>
      <c r="N46" s="123"/>
      <c r="O46" s="124"/>
      <c r="P46" s="121">
        <v>1266</v>
      </c>
      <c r="Q46" s="121">
        <v>1266</v>
      </c>
      <c r="R46" s="123"/>
      <c r="S46" s="124"/>
      <c r="T46" s="121"/>
      <c r="U46" s="121"/>
      <c r="V46" s="123"/>
      <c r="W46" s="124"/>
      <c r="X46" s="121"/>
      <c r="Y46" s="121"/>
      <c r="Z46" s="123"/>
      <c r="AA46" s="124"/>
      <c r="AB46" s="121"/>
    </row>
    <row r="47" spans="1:28" x14ac:dyDescent="0.35">
      <c r="A47" s="42" t="s">
        <v>292</v>
      </c>
      <c r="B47" s="122">
        <v>14681.81</v>
      </c>
      <c r="C47" s="107">
        <v>14681.81</v>
      </c>
      <c r="D47" s="123"/>
      <c r="E47" s="124"/>
      <c r="F47" s="123"/>
      <c r="G47" s="124"/>
      <c r="H47" s="121"/>
      <c r="I47" s="121"/>
      <c r="J47" s="123"/>
      <c r="K47" s="124"/>
      <c r="L47" s="121"/>
      <c r="M47" s="121"/>
      <c r="N47" s="123"/>
      <c r="O47" s="124"/>
      <c r="P47" s="121"/>
      <c r="Q47" s="121"/>
      <c r="R47" s="123">
        <v>4404.54</v>
      </c>
      <c r="S47" s="124">
        <v>4405</v>
      </c>
      <c r="T47" s="121">
        <v>0</v>
      </c>
      <c r="U47" s="121"/>
      <c r="V47" s="123">
        <v>3573.98</v>
      </c>
      <c r="W47" s="124">
        <v>3573.98</v>
      </c>
      <c r="X47" s="121"/>
      <c r="Y47" s="121"/>
      <c r="Z47" s="123"/>
      <c r="AA47" s="124"/>
      <c r="AB47" s="121"/>
    </row>
    <row r="48" spans="1:28" x14ac:dyDescent="0.35">
      <c r="A48" s="100" t="s">
        <v>293</v>
      </c>
      <c r="B48" s="107">
        <v>13725</v>
      </c>
      <c r="C48" s="107">
        <v>13725</v>
      </c>
      <c r="D48" s="123"/>
      <c r="E48" s="124"/>
      <c r="F48" s="123"/>
      <c r="G48" s="124"/>
      <c r="H48" s="121"/>
      <c r="I48" s="121"/>
      <c r="J48" s="123"/>
      <c r="K48" s="124"/>
      <c r="L48" s="121"/>
      <c r="M48" s="121"/>
      <c r="N48" s="123"/>
      <c r="O48" s="124"/>
      <c r="P48" s="121"/>
      <c r="Q48" s="121"/>
      <c r="R48" s="123"/>
      <c r="S48" s="124"/>
      <c r="T48" s="121">
        <v>0</v>
      </c>
      <c r="U48" s="121"/>
      <c r="V48" s="123">
        <v>13725</v>
      </c>
      <c r="W48" s="124">
        <v>13725</v>
      </c>
      <c r="X48" s="121"/>
      <c r="Y48" s="121"/>
      <c r="Z48" s="123"/>
      <c r="AA48" s="124"/>
      <c r="AB48" s="121"/>
    </row>
    <row r="49" spans="1:28" x14ac:dyDescent="0.35">
      <c r="A49" s="43" t="s">
        <v>294</v>
      </c>
      <c r="B49" s="107">
        <v>17881</v>
      </c>
      <c r="C49" s="107">
        <v>17881</v>
      </c>
      <c r="D49" s="123"/>
      <c r="E49" s="124"/>
      <c r="F49" s="123"/>
      <c r="G49" s="124"/>
      <c r="H49" s="121"/>
      <c r="I49" s="121"/>
      <c r="J49" s="123"/>
      <c r="K49" s="124"/>
      <c r="L49" s="121"/>
      <c r="M49" s="121"/>
      <c r="N49" s="123"/>
      <c r="O49" s="124"/>
      <c r="P49" s="121"/>
      <c r="Q49" s="121"/>
      <c r="R49" s="123">
        <v>6342</v>
      </c>
      <c r="S49" s="124">
        <v>6342</v>
      </c>
      <c r="T49" s="121">
        <v>11539</v>
      </c>
      <c r="U49" s="121">
        <v>11539</v>
      </c>
      <c r="V49" s="123"/>
      <c r="W49" s="124"/>
      <c r="X49" s="121"/>
      <c r="Y49" s="121"/>
      <c r="Z49" s="123"/>
      <c r="AA49" s="124"/>
      <c r="AB49" s="121"/>
    </row>
    <row r="50" spans="1:28" x14ac:dyDescent="0.35">
      <c r="A50" s="41" t="s">
        <v>302</v>
      </c>
      <c r="B50" s="107">
        <v>79536</v>
      </c>
      <c r="C50" s="107">
        <v>79536.61</v>
      </c>
      <c r="D50" s="123"/>
      <c r="E50" s="124"/>
      <c r="F50" s="123"/>
      <c r="G50" s="124"/>
      <c r="H50" s="121"/>
      <c r="I50" s="121"/>
      <c r="J50" s="123"/>
      <c r="K50" s="124"/>
      <c r="L50" s="121"/>
      <c r="M50" s="121"/>
      <c r="N50" s="123"/>
      <c r="O50" s="124"/>
      <c r="P50" s="121"/>
      <c r="Q50" s="121"/>
      <c r="R50" s="123"/>
      <c r="S50" s="124"/>
      <c r="T50" s="121"/>
      <c r="U50" s="121"/>
      <c r="V50" s="123"/>
      <c r="W50" s="124"/>
      <c r="X50" s="121">
        <v>17747</v>
      </c>
      <c r="Y50" s="121"/>
      <c r="Z50" s="123">
        <v>14931</v>
      </c>
      <c r="AA50" s="124"/>
      <c r="AB50" s="121"/>
    </row>
    <row r="51" spans="1:28" x14ac:dyDescent="0.35">
      <c r="A51" s="66" t="s">
        <v>279</v>
      </c>
      <c r="B51" s="122">
        <v>1285</v>
      </c>
      <c r="C51" s="107">
        <v>1285</v>
      </c>
      <c r="D51" s="123"/>
      <c r="E51" s="124"/>
      <c r="F51" s="123"/>
      <c r="G51" s="124"/>
      <c r="H51" s="121"/>
      <c r="I51" s="121"/>
      <c r="J51" s="123">
        <v>1285</v>
      </c>
      <c r="K51" s="124">
        <v>1285</v>
      </c>
      <c r="L51" s="121"/>
      <c r="M51" s="121"/>
      <c r="N51" s="123"/>
      <c r="O51" s="124"/>
      <c r="P51" s="121"/>
      <c r="Q51" s="121"/>
      <c r="R51" s="123"/>
      <c r="S51" s="124"/>
      <c r="T51" s="121"/>
      <c r="U51" s="121"/>
      <c r="V51" s="123"/>
      <c r="W51" s="124"/>
      <c r="X51" s="121"/>
      <c r="Y51" s="121"/>
      <c r="Z51" s="123"/>
      <c r="AA51" s="124"/>
      <c r="AB51" s="121"/>
    </row>
    <row r="52" spans="1:28" x14ac:dyDescent="0.35">
      <c r="A52" s="100" t="s">
        <v>280</v>
      </c>
      <c r="B52" s="107">
        <v>16070.35</v>
      </c>
      <c r="C52" s="107">
        <v>16070</v>
      </c>
      <c r="D52" s="123"/>
      <c r="E52" s="124"/>
      <c r="F52" s="123"/>
      <c r="G52" s="124"/>
      <c r="H52" s="121"/>
      <c r="I52" s="121"/>
      <c r="J52" s="123"/>
      <c r="K52" s="124"/>
      <c r="L52" s="121"/>
      <c r="M52" s="121"/>
      <c r="N52" s="123"/>
      <c r="O52" s="124"/>
      <c r="P52" s="121"/>
      <c r="Q52" s="121"/>
      <c r="R52" s="123"/>
      <c r="S52" s="124"/>
      <c r="T52" s="121">
        <v>0</v>
      </c>
      <c r="U52" s="121"/>
      <c r="V52" s="123">
        <v>12810</v>
      </c>
      <c r="W52" s="124">
        <v>12810</v>
      </c>
      <c r="X52" s="121">
        <v>0</v>
      </c>
      <c r="Y52" s="121"/>
      <c r="Z52" s="123">
        <v>3260</v>
      </c>
      <c r="AA52" s="124"/>
      <c r="AB52" s="121"/>
    </row>
    <row r="53" spans="1:28" x14ac:dyDescent="0.35">
      <c r="A53" s="100" t="s">
        <v>295</v>
      </c>
      <c r="B53" s="122">
        <v>1200</v>
      </c>
      <c r="C53" s="107">
        <v>1200</v>
      </c>
      <c r="D53" s="123"/>
      <c r="E53" s="124"/>
      <c r="F53" s="123"/>
      <c r="G53" s="124"/>
      <c r="H53" s="121"/>
      <c r="I53" s="121"/>
      <c r="J53" s="123"/>
      <c r="K53" s="124"/>
      <c r="L53" s="121">
        <v>1200</v>
      </c>
      <c r="M53" s="121">
        <v>1200</v>
      </c>
      <c r="N53" s="123"/>
      <c r="O53" s="124"/>
      <c r="P53" s="121"/>
      <c r="Q53" s="121"/>
      <c r="R53" s="123"/>
      <c r="S53" s="124"/>
      <c r="T53" s="121"/>
      <c r="U53" s="121"/>
      <c r="V53" s="123"/>
      <c r="W53" s="124"/>
      <c r="X53" s="121"/>
      <c r="Y53" s="121"/>
      <c r="Z53" s="123"/>
      <c r="AA53" s="124"/>
      <c r="AB53" s="121"/>
    </row>
    <row r="54" spans="1:28" x14ac:dyDescent="0.35">
      <c r="A54" s="42" t="s">
        <v>118</v>
      </c>
      <c r="B54" s="122">
        <v>291</v>
      </c>
      <c r="C54" s="122">
        <v>291</v>
      </c>
      <c r="D54" s="123"/>
      <c r="E54" s="124"/>
      <c r="F54" s="123"/>
      <c r="G54" s="124"/>
      <c r="H54" s="121"/>
      <c r="I54" s="121"/>
      <c r="J54" s="123"/>
      <c r="K54" s="124"/>
      <c r="L54" s="121">
        <v>291</v>
      </c>
      <c r="M54" s="121">
        <v>291</v>
      </c>
      <c r="N54" s="123"/>
      <c r="O54" s="124"/>
      <c r="P54" s="121"/>
      <c r="Q54" s="121"/>
      <c r="R54" s="123"/>
      <c r="S54" s="124"/>
      <c r="T54" s="121"/>
      <c r="U54" s="121"/>
      <c r="V54" s="123"/>
      <c r="W54" s="124"/>
      <c r="X54" s="121"/>
      <c r="Y54" s="121"/>
      <c r="Z54" s="123"/>
      <c r="AA54" s="124"/>
      <c r="AB54" s="121"/>
    </row>
    <row r="55" spans="1:28" x14ac:dyDescent="0.35">
      <c r="A55" s="41" t="s">
        <v>296</v>
      </c>
      <c r="B55" s="63">
        <v>107313</v>
      </c>
      <c r="C55" s="63">
        <v>107313</v>
      </c>
      <c r="D55" s="123"/>
      <c r="E55" s="124"/>
      <c r="F55" s="123"/>
      <c r="G55" s="124"/>
      <c r="H55" s="121"/>
      <c r="I55" s="121"/>
      <c r="J55" s="123"/>
      <c r="K55" s="124"/>
      <c r="L55" s="121"/>
      <c r="M55" s="121"/>
      <c r="N55" s="123"/>
      <c r="O55" s="124"/>
      <c r="P55" s="121"/>
      <c r="Q55" s="121"/>
      <c r="R55" s="123"/>
      <c r="S55" s="124"/>
      <c r="T55" s="121"/>
      <c r="U55" s="121"/>
      <c r="V55" s="123"/>
      <c r="W55" s="124"/>
      <c r="X55" s="121"/>
      <c r="Y55" s="121"/>
      <c r="Z55" s="123"/>
      <c r="AA55" s="124"/>
      <c r="AB55" s="121"/>
    </row>
    <row r="56" spans="1:28" x14ac:dyDescent="0.35">
      <c r="A56" s="100" t="s">
        <v>297</v>
      </c>
      <c r="B56" s="63">
        <f>C56</f>
        <v>12732.3</v>
      </c>
      <c r="C56" s="63">
        <v>12732.3</v>
      </c>
      <c r="D56" s="123"/>
      <c r="E56" s="124"/>
      <c r="F56" s="123"/>
      <c r="G56" s="124"/>
      <c r="H56" s="121"/>
      <c r="I56" s="121"/>
      <c r="J56" s="123"/>
      <c r="K56" s="124"/>
      <c r="L56" s="121"/>
      <c r="M56" s="121"/>
      <c r="N56" s="123"/>
      <c r="O56" s="124"/>
      <c r="P56" s="121"/>
      <c r="Q56" s="121"/>
      <c r="R56" s="123"/>
      <c r="S56" s="124"/>
      <c r="T56" s="121"/>
      <c r="U56" s="121"/>
      <c r="V56" s="123"/>
      <c r="W56" s="124"/>
      <c r="X56" s="121">
        <v>4048</v>
      </c>
      <c r="Y56" s="121"/>
      <c r="Z56" s="123">
        <v>8684</v>
      </c>
      <c r="AA56" s="124"/>
      <c r="AB56" s="121"/>
    </row>
    <row r="57" spans="1:28" x14ac:dyDescent="0.35">
      <c r="A57" s="43" t="s">
        <v>299</v>
      </c>
      <c r="B57" s="122">
        <v>3441</v>
      </c>
      <c r="C57" s="107">
        <v>3441</v>
      </c>
      <c r="D57" s="123"/>
      <c r="E57" s="124"/>
      <c r="F57" s="123"/>
      <c r="G57" s="124"/>
      <c r="H57" s="121"/>
      <c r="I57" s="121"/>
      <c r="J57" s="123"/>
      <c r="K57" s="124"/>
      <c r="L57" s="121"/>
      <c r="M57" s="121"/>
      <c r="N57" s="123"/>
      <c r="O57" s="124"/>
      <c r="P57" s="121">
        <v>3441</v>
      </c>
      <c r="Q57" s="121">
        <v>3441</v>
      </c>
      <c r="R57" s="123"/>
      <c r="S57" s="124"/>
      <c r="T57" s="121"/>
      <c r="U57" s="121"/>
      <c r="V57" s="123"/>
      <c r="W57" s="124"/>
      <c r="X57" s="121"/>
      <c r="Y57" s="121"/>
      <c r="Z57" s="123"/>
      <c r="AA57" s="124"/>
      <c r="AB57" s="121"/>
    </row>
    <row r="58" spans="1:28" x14ac:dyDescent="0.35">
      <c r="A58" s="43" t="s">
        <v>300</v>
      </c>
      <c r="B58" s="122">
        <v>8169</v>
      </c>
      <c r="C58" s="107">
        <v>8169</v>
      </c>
      <c r="D58" s="123"/>
      <c r="E58" s="124"/>
      <c r="F58" s="123"/>
      <c r="G58" s="124"/>
      <c r="H58" s="121"/>
      <c r="I58" s="121"/>
      <c r="J58" s="123"/>
      <c r="K58" s="124"/>
      <c r="L58" s="121"/>
      <c r="M58" s="121"/>
      <c r="N58" s="123"/>
      <c r="O58" s="124"/>
      <c r="P58" s="121"/>
      <c r="Q58" s="121"/>
      <c r="R58" s="123">
        <v>8169</v>
      </c>
      <c r="S58" s="124">
        <v>8169</v>
      </c>
      <c r="T58" s="121"/>
      <c r="U58" s="121"/>
      <c r="V58" s="123"/>
      <c r="W58" s="124"/>
      <c r="X58" s="121"/>
      <c r="Y58" s="121"/>
      <c r="Z58" s="123"/>
      <c r="AA58" s="124"/>
      <c r="AB58" s="121"/>
    </row>
    <row r="59" spans="1:28" x14ac:dyDescent="0.35">
      <c r="A59" s="43" t="s">
        <v>301</v>
      </c>
      <c r="B59" s="107">
        <v>2676</v>
      </c>
      <c r="C59" s="107">
        <v>2676</v>
      </c>
      <c r="D59" s="123"/>
      <c r="E59" s="124"/>
      <c r="F59" s="123"/>
      <c r="G59" s="124"/>
      <c r="H59" s="121"/>
      <c r="I59" s="121"/>
      <c r="J59" s="123"/>
      <c r="K59" s="124"/>
      <c r="L59" s="121"/>
      <c r="M59" s="121"/>
      <c r="N59" s="123"/>
      <c r="O59" s="124"/>
      <c r="P59" s="121">
        <v>2676</v>
      </c>
      <c r="Q59" s="121">
        <v>2676</v>
      </c>
      <c r="R59" s="123"/>
      <c r="S59" s="124"/>
      <c r="T59" s="121"/>
      <c r="U59" s="121"/>
      <c r="V59" s="123"/>
      <c r="W59" s="124"/>
      <c r="X59" s="121"/>
      <c r="Y59" s="121"/>
      <c r="Z59" s="123"/>
      <c r="AA59" s="124"/>
      <c r="AB59" s="121"/>
    </row>
    <row r="60" spans="1:28" x14ac:dyDescent="0.35">
      <c r="A60" s="41" t="s">
        <v>305</v>
      </c>
      <c r="B60" s="107">
        <v>44671</v>
      </c>
      <c r="C60" s="107">
        <v>44671</v>
      </c>
      <c r="D60" s="123"/>
      <c r="E60" s="124"/>
      <c r="F60" s="123"/>
      <c r="G60" s="124"/>
      <c r="H60" s="121"/>
      <c r="I60" s="121"/>
      <c r="J60" s="123"/>
      <c r="K60" s="124"/>
      <c r="L60" s="121"/>
      <c r="M60" s="121"/>
      <c r="N60" s="123"/>
      <c r="O60" s="124"/>
      <c r="P60" s="121"/>
      <c r="Q60" s="121"/>
      <c r="R60" s="123"/>
      <c r="S60" s="124"/>
      <c r="T60" s="121">
        <v>5332</v>
      </c>
      <c r="U60" s="121">
        <v>5332</v>
      </c>
      <c r="V60" s="123"/>
      <c r="W60" s="124"/>
      <c r="X60" s="121"/>
      <c r="Y60" s="121"/>
      <c r="Z60" s="123">
        <v>15060.237999999999</v>
      </c>
      <c r="AA60" s="124"/>
      <c r="AB60" s="121"/>
    </row>
    <row r="61" spans="1:28" x14ac:dyDescent="0.35">
      <c r="A61" s="100" t="s">
        <v>303</v>
      </c>
      <c r="B61" s="107">
        <v>3191.95</v>
      </c>
      <c r="C61" s="107">
        <v>3191</v>
      </c>
      <c r="D61" s="123"/>
      <c r="E61" s="124"/>
      <c r="F61" s="123"/>
      <c r="G61" s="124"/>
      <c r="H61" s="121"/>
      <c r="I61" s="121"/>
      <c r="J61" s="123"/>
      <c r="K61" s="124"/>
      <c r="L61" s="121"/>
      <c r="M61" s="121"/>
      <c r="N61" s="123"/>
      <c r="O61" s="124"/>
      <c r="P61" s="121"/>
      <c r="Q61" s="121"/>
      <c r="R61" s="123"/>
      <c r="S61" s="124"/>
      <c r="T61" s="123">
        <v>3192</v>
      </c>
      <c r="U61" s="121">
        <v>3192</v>
      </c>
      <c r="V61" s="123"/>
      <c r="W61" s="124"/>
      <c r="X61" s="121"/>
      <c r="Y61" s="121"/>
      <c r="Z61" s="123"/>
      <c r="AA61" s="124"/>
      <c r="AB61" s="121"/>
    </row>
    <row r="62" spans="1:28" x14ac:dyDescent="0.35">
      <c r="A62" s="101" t="s">
        <v>306</v>
      </c>
      <c r="B62" s="122">
        <v>10448</v>
      </c>
      <c r="C62" s="122">
        <v>10448</v>
      </c>
      <c r="D62" s="123"/>
      <c r="E62" s="124"/>
      <c r="F62" s="123"/>
      <c r="G62" s="124"/>
      <c r="H62" s="121"/>
      <c r="I62" s="121"/>
      <c r="J62" s="123"/>
      <c r="K62" s="124"/>
      <c r="L62" s="121"/>
      <c r="M62" s="121"/>
      <c r="N62" s="123"/>
      <c r="O62" s="124"/>
      <c r="P62" s="121"/>
      <c r="Q62" s="121"/>
      <c r="R62" s="123"/>
      <c r="S62" s="124"/>
      <c r="T62" s="121"/>
      <c r="U62" s="121"/>
      <c r="V62" s="123"/>
      <c r="W62" s="124"/>
      <c r="X62" s="121"/>
      <c r="Y62" s="121"/>
      <c r="Z62" s="123">
        <v>5000</v>
      </c>
      <c r="AA62" s="124"/>
      <c r="AB62" s="126"/>
    </row>
    <row r="63" spans="1:28" x14ac:dyDescent="0.35">
      <c r="A63" s="42" t="s">
        <v>315</v>
      </c>
      <c r="B63" s="122">
        <v>480</v>
      </c>
      <c r="C63" s="122">
        <v>480</v>
      </c>
      <c r="D63" s="123"/>
      <c r="E63" s="124"/>
      <c r="F63" s="123"/>
      <c r="G63" s="124"/>
      <c r="H63" s="121"/>
      <c r="I63" s="121"/>
      <c r="J63" s="123"/>
      <c r="K63" s="124"/>
      <c r="L63" s="121"/>
      <c r="M63" s="121"/>
      <c r="N63" s="123"/>
      <c r="O63" s="124"/>
      <c r="P63" s="121"/>
      <c r="Q63" s="121"/>
      <c r="R63" s="123"/>
      <c r="S63" s="124"/>
      <c r="T63" s="121"/>
      <c r="U63" s="121"/>
      <c r="V63" s="123">
        <v>480</v>
      </c>
      <c r="W63" s="124">
        <v>480</v>
      </c>
      <c r="X63" s="121"/>
      <c r="Y63" s="121"/>
      <c r="Z63" s="123"/>
      <c r="AA63" s="124"/>
      <c r="AB63" s="126"/>
    </row>
    <row r="64" spans="1:28" x14ac:dyDescent="0.35">
      <c r="A64" s="42"/>
      <c r="B64" s="122"/>
      <c r="C64" s="122"/>
      <c r="D64" s="123"/>
      <c r="E64" s="124"/>
      <c r="F64" s="123"/>
      <c r="G64" s="124"/>
      <c r="H64" s="121"/>
      <c r="I64" s="121"/>
      <c r="J64" s="123"/>
      <c r="K64" s="124"/>
      <c r="L64" s="121"/>
      <c r="M64" s="121"/>
      <c r="N64" s="123"/>
      <c r="O64" s="124"/>
      <c r="P64" s="121"/>
      <c r="Q64" s="121"/>
      <c r="R64" s="123"/>
      <c r="S64" s="124"/>
      <c r="T64" s="121"/>
      <c r="U64" s="121"/>
      <c r="V64" s="123"/>
      <c r="W64" s="124"/>
      <c r="X64" s="121"/>
      <c r="Y64" s="121"/>
      <c r="Z64" s="123"/>
      <c r="AA64" s="124"/>
      <c r="AB64" s="126"/>
    </row>
    <row r="65" spans="1:29" x14ac:dyDescent="0.35">
      <c r="A65" s="42"/>
      <c r="B65" s="122"/>
      <c r="C65" s="122"/>
      <c r="D65" s="123"/>
      <c r="E65" s="124"/>
      <c r="F65" s="123"/>
      <c r="G65" s="124"/>
      <c r="H65" s="121"/>
      <c r="I65" s="121"/>
      <c r="J65" s="123"/>
      <c r="K65" s="124"/>
      <c r="L65" s="121"/>
      <c r="M65" s="121"/>
      <c r="N65" s="123"/>
      <c r="O65" s="124"/>
      <c r="P65" s="121"/>
      <c r="Q65" s="121"/>
      <c r="R65" s="123"/>
      <c r="S65" s="124"/>
      <c r="T65" s="121"/>
      <c r="U65" s="121"/>
      <c r="V65" s="123"/>
      <c r="W65" s="124"/>
      <c r="X65" s="121"/>
      <c r="Y65" s="121"/>
      <c r="Z65" s="123"/>
      <c r="AA65" s="124"/>
      <c r="AB65" s="126"/>
    </row>
    <row r="66" spans="1:29" x14ac:dyDescent="0.35">
      <c r="A66" s="42"/>
      <c r="B66" s="122"/>
      <c r="C66" s="122"/>
      <c r="D66" s="123"/>
      <c r="E66" s="124"/>
      <c r="F66" s="123"/>
      <c r="G66" s="124"/>
      <c r="H66" s="121"/>
      <c r="I66" s="121"/>
      <c r="J66" s="123"/>
      <c r="K66" s="124"/>
      <c r="L66" s="121"/>
      <c r="M66" s="121"/>
      <c r="N66" s="123"/>
      <c r="O66" s="124"/>
      <c r="P66" s="121"/>
      <c r="Q66" s="121"/>
      <c r="R66" s="123"/>
      <c r="S66" s="124"/>
      <c r="T66" s="121"/>
      <c r="U66" s="121"/>
      <c r="V66" s="123"/>
      <c r="W66" s="124"/>
      <c r="X66" s="121"/>
      <c r="Y66" s="121"/>
      <c r="Z66" s="123"/>
      <c r="AA66" s="124"/>
      <c r="AB66" s="126"/>
    </row>
    <row r="67" spans="1:29" x14ac:dyDescent="0.35">
      <c r="A67" s="42"/>
      <c r="B67" s="122"/>
      <c r="C67" s="122"/>
      <c r="D67" s="123"/>
      <c r="E67" s="124"/>
      <c r="F67" s="123"/>
      <c r="G67" s="124"/>
      <c r="H67" s="121"/>
      <c r="I67" s="121"/>
      <c r="J67" s="123"/>
      <c r="K67" s="124"/>
      <c r="L67" s="121"/>
      <c r="M67" s="121"/>
      <c r="N67" s="123"/>
      <c r="O67" s="124"/>
      <c r="P67" s="121"/>
      <c r="Q67" s="121"/>
      <c r="R67" s="123"/>
      <c r="S67" s="124"/>
      <c r="T67" s="121"/>
      <c r="U67" s="121"/>
      <c r="V67" s="123"/>
      <c r="W67" s="124"/>
      <c r="X67" s="121"/>
      <c r="Y67" s="121"/>
      <c r="Z67" s="123"/>
      <c r="AA67" s="124"/>
      <c r="AB67" s="126" t="s">
        <v>153</v>
      </c>
    </row>
    <row r="68" spans="1:29" x14ac:dyDescent="0.35">
      <c r="A68" s="127" t="s">
        <v>155</v>
      </c>
      <c r="B68" s="128">
        <f>SUM(B3:B67)</f>
        <v>1312961.9400000004</v>
      </c>
      <c r="C68" s="128">
        <f>SUM(C3:C67)</f>
        <v>1751348.7599999998</v>
      </c>
      <c r="D68" s="128">
        <f>SUM(D3:D67)</f>
        <v>111463</v>
      </c>
      <c r="E68" s="128"/>
      <c r="F68" s="128">
        <f>SUM(F3:F67)</f>
        <v>96934.540000000008</v>
      </c>
      <c r="G68" s="128"/>
      <c r="H68" s="128">
        <f>SUM(H3:H67)</f>
        <v>146144.01</v>
      </c>
      <c r="I68" s="128"/>
      <c r="J68" s="128">
        <f>SUM(J3:J67)</f>
        <v>8021</v>
      </c>
      <c r="K68" s="128"/>
      <c r="L68" s="128">
        <f>SUM(L3:L67)</f>
        <v>113901</v>
      </c>
      <c r="M68" s="128"/>
      <c r="N68" s="128">
        <f>SUM(N3:N67)</f>
        <v>84435</v>
      </c>
      <c r="O68" s="128"/>
      <c r="P68" s="128">
        <f>SUM(P3:P67)</f>
        <v>96122.1</v>
      </c>
      <c r="Q68" s="128"/>
      <c r="R68" s="128">
        <f>SUM(R3:R67)</f>
        <v>114012.79000000001</v>
      </c>
      <c r="S68" s="128"/>
      <c r="T68" s="128">
        <f>SUM(T3:T67)</f>
        <v>117023</v>
      </c>
      <c r="U68" s="128"/>
      <c r="V68" s="128">
        <f>SUM(V3:V67)</f>
        <v>106556.99</v>
      </c>
      <c r="W68" s="128"/>
      <c r="X68" s="128">
        <f>SUM(X3:X67)</f>
        <v>40678</v>
      </c>
      <c r="Y68" s="128"/>
      <c r="Z68" s="128">
        <f>SUM(Z3:Z67)</f>
        <v>80687.237999999998</v>
      </c>
      <c r="AA68" s="129"/>
      <c r="AB68" s="130">
        <f>SUM(D68:AA68)</f>
        <v>1115978.6680000001</v>
      </c>
      <c r="AC68" s="110" t="s">
        <v>150</v>
      </c>
    </row>
    <row r="69" spans="1:29" x14ac:dyDescent="0.35">
      <c r="A69" s="131" t="s">
        <v>226</v>
      </c>
      <c r="B69" s="132"/>
      <c r="C69" s="132"/>
      <c r="D69" s="132"/>
      <c r="E69" s="132">
        <f>SUM(E3:E68)</f>
        <v>111463</v>
      </c>
      <c r="F69" s="132"/>
      <c r="G69" s="132">
        <f>SUM(G3:G68)</f>
        <v>97463.18</v>
      </c>
      <c r="H69" s="132"/>
      <c r="I69" s="132">
        <f>SUM(I3:I68)</f>
        <v>146144</v>
      </c>
      <c r="J69" s="132"/>
      <c r="K69" s="132">
        <f>SUM(K3:K68)</f>
        <v>8021</v>
      </c>
      <c r="L69" s="132"/>
      <c r="M69" s="132">
        <f>SUM(M3:M68)</f>
        <v>113901</v>
      </c>
      <c r="N69" s="132"/>
      <c r="O69" s="132">
        <f>SUM(O3:O68)</f>
        <v>84435</v>
      </c>
      <c r="P69" s="132"/>
      <c r="Q69" s="132">
        <f>SUM(Q3:Q68)</f>
        <v>96122.1</v>
      </c>
      <c r="R69" s="132"/>
      <c r="S69" s="132">
        <f>SUM(S3:S68)</f>
        <v>114014</v>
      </c>
      <c r="T69" s="132"/>
      <c r="U69" s="132">
        <f>SUM(U3:U68)</f>
        <v>117023</v>
      </c>
      <c r="V69" s="132"/>
      <c r="W69" s="132">
        <f>SUM(W3:W68)</f>
        <v>106557.04</v>
      </c>
      <c r="X69" s="132"/>
      <c r="Y69" s="132">
        <f>SUM(Y3:Y68)</f>
        <v>0</v>
      </c>
      <c r="Z69" s="132"/>
      <c r="AA69" s="132">
        <f>SUM(AA3:AA68)</f>
        <v>0</v>
      </c>
      <c r="AB69" s="130">
        <f>SUM(D69:AA69)</f>
        <v>995143.32</v>
      </c>
      <c r="AC69" s="110" t="s">
        <v>151</v>
      </c>
    </row>
    <row r="70" spans="1:29" x14ac:dyDescent="0.35">
      <c r="A70" s="112" t="s">
        <v>225</v>
      </c>
      <c r="B70" s="133"/>
      <c r="C70" s="133"/>
      <c r="D70" s="133">
        <f>D68</f>
        <v>111463</v>
      </c>
      <c r="E70" s="133"/>
      <c r="F70" s="133">
        <f>F68+D70</f>
        <v>208397.54</v>
      </c>
      <c r="G70" s="133"/>
      <c r="H70" s="133">
        <f>H68+F70</f>
        <v>354541.55000000005</v>
      </c>
      <c r="I70" s="133"/>
      <c r="J70" s="133">
        <f>J68+H70</f>
        <v>362562.55000000005</v>
      </c>
      <c r="K70" s="133"/>
      <c r="L70" s="133">
        <f>L68+J70</f>
        <v>476463.55000000005</v>
      </c>
      <c r="M70" s="133"/>
      <c r="N70" s="133">
        <f>N68+L70</f>
        <v>560898.55000000005</v>
      </c>
      <c r="O70" s="133"/>
      <c r="P70" s="133">
        <f>P68+N70</f>
        <v>657020.65</v>
      </c>
      <c r="Q70" s="133"/>
      <c r="R70" s="133">
        <f>R68+P70</f>
        <v>771033.44000000006</v>
      </c>
      <c r="S70" s="133"/>
      <c r="T70" s="133">
        <f>T68+R70</f>
        <v>888056.44000000006</v>
      </c>
      <c r="U70" s="133"/>
      <c r="V70" s="133">
        <f>V68+T70</f>
        <v>994613.43</v>
      </c>
      <c r="W70" s="133"/>
      <c r="X70" s="133">
        <f>X68+V70</f>
        <v>1035291.43</v>
      </c>
      <c r="Y70" s="133"/>
      <c r="Z70" s="133">
        <f>Z68+X70</f>
        <v>1115978.6680000001</v>
      </c>
      <c r="AA70" s="133"/>
      <c r="AB70" s="130"/>
    </row>
    <row r="71" spans="1:29" x14ac:dyDescent="0.35">
      <c r="A71" s="134" t="s">
        <v>156</v>
      </c>
      <c r="B71" s="135"/>
      <c r="C71" s="135"/>
      <c r="D71" s="135"/>
      <c r="E71" s="135">
        <f>E69</f>
        <v>111463</v>
      </c>
      <c r="F71" s="135"/>
      <c r="G71" s="135">
        <f>G69+E71</f>
        <v>208926.18</v>
      </c>
      <c r="H71" s="135"/>
      <c r="I71" s="135">
        <f>I69+G71</f>
        <v>355070.18</v>
      </c>
      <c r="J71" s="135"/>
      <c r="K71" s="135">
        <f>K69+I71</f>
        <v>363091.18</v>
      </c>
      <c r="L71" s="135"/>
      <c r="M71" s="135">
        <f>M69+K71</f>
        <v>476992.18</v>
      </c>
      <c r="N71" s="135"/>
      <c r="O71" s="135">
        <f>O69+M71</f>
        <v>561427.17999999993</v>
      </c>
      <c r="P71" s="135"/>
      <c r="Q71" s="135">
        <f>Q69+O71</f>
        <v>657549.27999999991</v>
      </c>
      <c r="R71" s="135"/>
      <c r="S71" s="135">
        <f>S69+Q71</f>
        <v>771563.27999999991</v>
      </c>
      <c r="T71" s="135"/>
      <c r="U71" s="135">
        <f>U69+S71</f>
        <v>888586.27999999991</v>
      </c>
      <c r="V71" s="135"/>
      <c r="W71" s="135">
        <f>W69+U71</f>
        <v>995143.32</v>
      </c>
      <c r="X71" s="135"/>
      <c r="Y71" s="135">
        <f>Y69+W71</f>
        <v>995143.32</v>
      </c>
      <c r="Z71" s="135"/>
      <c r="AA71" s="136">
        <f>AA69+Y71</f>
        <v>995143.32</v>
      </c>
      <c r="AB71" s="121"/>
    </row>
    <row r="72" spans="1:29" x14ac:dyDescent="0.35"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 spans="1:29" x14ac:dyDescent="0.35"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 spans="1:29" x14ac:dyDescent="0.35"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 spans="1:29" x14ac:dyDescent="0.35">
      <c r="A75" s="60" t="s">
        <v>158</v>
      </c>
      <c r="B75" s="137"/>
      <c r="C75" s="137"/>
      <c r="D75" s="137"/>
      <c r="E75" s="137">
        <v>45000</v>
      </c>
      <c r="F75" s="137"/>
      <c r="G75" s="137">
        <v>100000</v>
      </c>
      <c r="H75" s="137"/>
      <c r="I75" s="137">
        <v>168000</v>
      </c>
      <c r="J75" s="137"/>
      <c r="K75" s="137">
        <v>190000</v>
      </c>
      <c r="L75" s="137"/>
      <c r="M75" s="137">
        <v>272000</v>
      </c>
      <c r="N75" s="137"/>
      <c r="O75" s="137">
        <v>364000</v>
      </c>
      <c r="P75" s="137"/>
      <c r="Q75" s="137">
        <v>454000</v>
      </c>
      <c r="R75" s="137"/>
      <c r="S75" s="137">
        <v>546000</v>
      </c>
      <c r="T75" s="137"/>
      <c r="U75" s="137">
        <v>636000</v>
      </c>
      <c r="V75" s="137"/>
      <c r="W75" s="137">
        <v>727144</v>
      </c>
      <c r="X75" s="137"/>
      <c r="Y75" s="137">
        <v>764844</v>
      </c>
      <c r="Z75" s="137"/>
      <c r="AA75" s="138">
        <v>847702</v>
      </c>
      <c r="AB75" s="121"/>
    </row>
    <row r="76" spans="1:29" x14ac:dyDescent="0.35">
      <c r="A76" s="29" t="s">
        <v>304</v>
      </c>
      <c r="B76" s="135"/>
      <c r="C76" s="135"/>
      <c r="D76" s="135"/>
      <c r="E76" s="135">
        <f>E71</f>
        <v>111463</v>
      </c>
      <c r="F76" s="135"/>
      <c r="G76" s="135">
        <f>G71</f>
        <v>208926.18</v>
      </c>
      <c r="H76" s="135"/>
      <c r="I76" s="135">
        <f>I71</f>
        <v>355070.18</v>
      </c>
      <c r="J76" s="135"/>
      <c r="K76" s="135">
        <f>K71</f>
        <v>363091.18</v>
      </c>
      <c r="L76" s="135"/>
      <c r="M76" s="135">
        <f>M71</f>
        <v>476992.18</v>
      </c>
      <c r="N76" s="135"/>
      <c r="O76" s="135">
        <f>O71</f>
        <v>561427.17999999993</v>
      </c>
      <c r="P76" s="135"/>
      <c r="Q76" s="135">
        <f>Q71</f>
        <v>657549.27999999991</v>
      </c>
      <c r="R76" s="135"/>
      <c r="S76" s="135">
        <f>S71</f>
        <v>771563.27999999991</v>
      </c>
      <c r="T76" s="135"/>
      <c r="U76" s="135">
        <f>U71</f>
        <v>888586.27999999991</v>
      </c>
      <c r="V76" s="135"/>
      <c r="W76" s="135">
        <f>W71</f>
        <v>995143.32</v>
      </c>
      <c r="X76" s="135"/>
      <c r="Y76" s="135">
        <f>Y71</f>
        <v>995143.32</v>
      </c>
      <c r="Z76" s="135"/>
      <c r="AA76" s="136">
        <f>AA71</f>
        <v>995143.32</v>
      </c>
      <c r="AB76" s="121"/>
    </row>
    <row r="77" spans="1:29" x14ac:dyDescent="0.35">
      <c r="A77" s="110" t="s">
        <v>160</v>
      </c>
    </row>
  </sheetData>
  <mergeCells count="12"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1"/>
  <pageMargins left="0.25" right="0.25" top="0.75" bottom="0.75" header="0.3" footer="0.3"/>
  <pageSetup paperSize="8" scale="6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1"/>
  <sheetViews>
    <sheetView zoomScaleNormal="100" workbookViewId="0">
      <pane xSplit="3" ySplit="1" topLeftCell="D37" activePane="bottomRight" state="frozen"/>
      <selection pane="topRight" activeCell="D1" sqref="D1"/>
      <selection pane="bottomLeft" activeCell="A2" sqref="A2"/>
      <selection pane="bottomRight" activeCell="G75" sqref="G75"/>
    </sheetView>
  </sheetViews>
  <sheetFormatPr baseColWidth="10" defaultColWidth="11" defaultRowHeight="13.5" x14ac:dyDescent="0.35"/>
  <cols>
    <col min="1" max="1" width="23.125" style="69" customWidth="1"/>
    <col min="2" max="3" width="10.625" style="69" customWidth="1"/>
    <col min="4" max="27" width="9.625" style="69" customWidth="1"/>
    <col min="28" max="16384" width="11" style="69"/>
  </cols>
  <sheetData>
    <row r="1" spans="1:28" x14ac:dyDescent="0.35">
      <c r="A1" s="67"/>
      <c r="B1" s="68"/>
      <c r="C1" s="68"/>
      <c r="D1" s="438" t="s">
        <v>142</v>
      </c>
      <c r="E1" s="439"/>
      <c r="F1" s="438" t="s">
        <v>143</v>
      </c>
      <c r="G1" s="439"/>
      <c r="H1" s="437" t="s">
        <v>144</v>
      </c>
      <c r="I1" s="437"/>
      <c r="J1" s="438" t="s">
        <v>138</v>
      </c>
      <c r="K1" s="439"/>
      <c r="L1" s="437" t="s">
        <v>139</v>
      </c>
      <c r="M1" s="437"/>
      <c r="N1" s="438" t="s">
        <v>140</v>
      </c>
      <c r="O1" s="439"/>
      <c r="P1" s="437" t="s">
        <v>141</v>
      </c>
      <c r="Q1" s="437"/>
      <c r="R1" s="438" t="s">
        <v>145</v>
      </c>
      <c r="S1" s="439"/>
      <c r="T1" s="437" t="s">
        <v>146</v>
      </c>
      <c r="U1" s="437"/>
      <c r="V1" s="438" t="s">
        <v>147</v>
      </c>
      <c r="W1" s="439"/>
      <c r="X1" s="437" t="s">
        <v>148</v>
      </c>
      <c r="Y1" s="437"/>
      <c r="Z1" s="438" t="s">
        <v>149</v>
      </c>
      <c r="AA1" s="439"/>
    </row>
    <row r="2" spans="1:28" ht="15" x14ac:dyDescent="0.4">
      <c r="A2" s="70" t="s">
        <v>137</v>
      </c>
      <c r="B2" s="71" t="s">
        <v>152</v>
      </c>
      <c r="C2" s="71" t="s">
        <v>268</v>
      </c>
      <c r="D2" s="72" t="s">
        <v>150</v>
      </c>
      <c r="E2" s="73" t="s">
        <v>151</v>
      </c>
      <c r="F2" s="72" t="s">
        <v>150</v>
      </c>
      <c r="G2" s="74" t="s">
        <v>151</v>
      </c>
      <c r="H2" s="75" t="s">
        <v>150</v>
      </c>
      <c r="I2" s="76" t="s">
        <v>151</v>
      </c>
      <c r="J2" s="72" t="s">
        <v>150</v>
      </c>
      <c r="K2" s="74" t="s">
        <v>151</v>
      </c>
      <c r="L2" s="75" t="s">
        <v>150</v>
      </c>
      <c r="M2" s="76" t="s">
        <v>151</v>
      </c>
      <c r="N2" s="72" t="s">
        <v>150</v>
      </c>
      <c r="O2" s="74" t="s">
        <v>151</v>
      </c>
      <c r="P2" s="75" t="s">
        <v>150</v>
      </c>
      <c r="Q2" s="76" t="s">
        <v>151</v>
      </c>
      <c r="R2" s="72" t="s">
        <v>150</v>
      </c>
      <c r="S2" s="74" t="s">
        <v>151</v>
      </c>
      <c r="T2" s="75" t="s">
        <v>150</v>
      </c>
      <c r="U2" s="76" t="s">
        <v>151</v>
      </c>
      <c r="V2" s="72" t="s">
        <v>150</v>
      </c>
      <c r="W2" s="74" t="s">
        <v>151</v>
      </c>
      <c r="X2" s="75" t="s">
        <v>150</v>
      </c>
      <c r="Y2" s="76" t="s">
        <v>151</v>
      </c>
      <c r="Z2" s="72" t="s">
        <v>150</v>
      </c>
      <c r="AA2" s="74" t="s">
        <v>151</v>
      </c>
    </row>
    <row r="3" spans="1:28" x14ac:dyDescent="0.35">
      <c r="A3" s="67" t="s">
        <v>161</v>
      </c>
      <c r="B3" s="77"/>
      <c r="C3" s="77"/>
      <c r="D3" s="78"/>
      <c r="E3" s="79"/>
      <c r="F3" s="78"/>
      <c r="G3" s="79"/>
      <c r="H3" s="80"/>
      <c r="I3" s="80"/>
      <c r="J3" s="78"/>
      <c r="K3" s="79"/>
      <c r="L3" s="80"/>
      <c r="M3" s="80"/>
      <c r="N3" s="78"/>
      <c r="O3" s="79"/>
      <c r="P3" s="80"/>
      <c r="Q3" s="80"/>
      <c r="R3" s="78"/>
      <c r="S3" s="79"/>
      <c r="T3" s="80"/>
      <c r="U3" s="80"/>
      <c r="V3" s="78">
        <v>145</v>
      </c>
      <c r="W3" s="79">
        <v>145</v>
      </c>
      <c r="X3" s="80"/>
      <c r="Y3" s="80"/>
      <c r="Z3" s="45">
        <f>916.9+1570</f>
        <v>2486.9</v>
      </c>
      <c r="AA3" s="79">
        <f>917+1570</f>
        <v>2487</v>
      </c>
      <c r="AB3" s="81"/>
    </row>
    <row r="4" spans="1:28" x14ac:dyDescent="0.35">
      <c r="A4" s="66" t="s">
        <v>347</v>
      </c>
      <c r="B4" s="83">
        <v>422</v>
      </c>
      <c r="C4" s="83">
        <v>422</v>
      </c>
      <c r="D4" s="84"/>
      <c r="E4" s="85"/>
      <c r="F4" s="84"/>
      <c r="G4" s="85"/>
      <c r="H4" s="81"/>
      <c r="I4" s="81"/>
      <c r="J4" s="84"/>
      <c r="K4" s="85"/>
      <c r="L4" s="81"/>
      <c r="M4" s="81"/>
      <c r="N4" s="84">
        <v>422</v>
      </c>
      <c r="O4" s="85">
        <v>422</v>
      </c>
      <c r="P4" s="81"/>
      <c r="Q4" s="81"/>
      <c r="R4" s="84"/>
      <c r="S4" s="85"/>
      <c r="T4" s="81"/>
      <c r="U4" s="81"/>
      <c r="V4" s="84">
        <f>143+578</f>
        <v>721</v>
      </c>
      <c r="W4" s="85">
        <v>721</v>
      </c>
      <c r="X4" s="81">
        <v>578</v>
      </c>
      <c r="Y4" s="81">
        <v>578</v>
      </c>
      <c r="Z4" s="84">
        <v>738</v>
      </c>
      <c r="AA4" s="85">
        <v>738</v>
      </c>
      <c r="AB4" s="81"/>
    </row>
    <row r="5" spans="1:28" x14ac:dyDescent="0.35">
      <c r="A5" s="82" t="s">
        <v>109</v>
      </c>
      <c r="B5" s="83"/>
      <c r="C5" s="83"/>
      <c r="D5" s="84"/>
      <c r="E5" s="85"/>
      <c r="F5" s="84"/>
      <c r="G5" s="85"/>
      <c r="H5" s="81"/>
      <c r="I5" s="81"/>
      <c r="J5" s="84"/>
      <c r="K5" s="85"/>
      <c r="L5" s="81"/>
      <c r="M5" s="81"/>
      <c r="N5" s="84"/>
      <c r="O5" s="85"/>
      <c r="P5" s="81"/>
      <c r="Q5" s="81"/>
      <c r="R5" s="84"/>
      <c r="S5" s="85"/>
      <c r="T5" s="81"/>
      <c r="U5" s="81"/>
      <c r="V5" s="84"/>
      <c r="W5" s="85"/>
      <c r="X5" s="81"/>
      <c r="Y5" s="81"/>
      <c r="Z5" s="84"/>
      <c r="AA5" s="85"/>
      <c r="AB5" s="81"/>
    </row>
    <row r="6" spans="1:28" x14ac:dyDescent="0.35">
      <c r="A6" s="41" t="s">
        <v>307</v>
      </c>
      <c r="B6" s="83">
        <v>7082</v>
      </c>
      <c r="C6" s="83">
        <v>7082</v>
      </c>
      <c r="D6" s="84"/>
      <c r="E6" s="85"/>
      <c r="F6" s="84">
        <v>0</v>
      </c>
      <c r="G6" s="85"/>
      <c r="H6" s="69">
        <v>0</v>
      </c>
      <c r="I6" s="81"/>
      <c r="J6" s="81">
        <v>0</v>
      </c>
      <c r="K6" s="85"/>
      <c r="L6" s="81"/>
      <c r="M6" s="81"/>
      <c r="N6" s="84">
        <v>7562</v>
      </c>
      <c r="O6" s="85">
        <v>7562</v>
      </c>
      <c r="P6" s="81"/>
      <c r="Q6" s="81"/>
      <c r="R6" s="84"/>
      <c r="S6" s="85"/>
      <c r="T6" s="81"/>
      <c r="U6" s="81"/>
      <c r="V6" s="84"/>
      <c r="W6" s="85"/>
      <c r="X6" s="81"/>
      <c r="Y6" s="81"/>
      <c r="Z6" s="84"/>
      <c r="AA6" s="85"/>
      <c r="AB6" s="81"/>
    </row>
    <row r="7" spans="1:28" x14ac:dyDescent="0.35">
      <c r="A7" s="41" t="s">
        <v>302</v>
      </c>
      <c r="B7" s="107">
        <v>47889</v>
      </c>
      <c r="C7" s="107">
        <f>112.89+47776</f>
        <v>47888.89</v>
      </c>
      <c r="D7" s="84"/>
      <c r="E7" s="85"/>
      <c r="F7" s="84">
        <v>33590</v>
      </c>
      <c r="G7" s="85">
        <v>33590</v>
      </c>
      <c r="H7" s="81">
        <v>937</v>
      </c>
      <c r="I7" s="81">
        <v>937</v>
      </c>
      <c r="J7" s="50">
        <f>112.89+13217</f>
        <v>13329.89</v>
      </c>
      <c r="K7" s="85">
        <v>13330</v>
      </c>
      <c r="L7" s="81"/>
      <c r="M7" s="81"/>
      <c r="N7" s="84"/>
      <c r="O7" s="85"/>
      <c r="P7" s="81"/>
      <c r="Q7" s="81"/>
      <c r="R7" s="84"/>
      <c r="S7" s="85"/>
      <c r="T7" s="81"/>
      <c r="U7" s="81"/>
      <c r="V7" s="84"/>
      <c r="W7" s="85"/>
      <c r="X7" s="81"/>
      <c r="Y7" s="81"/>
      <c r="Z7" s="84"/>
      <c r="AA7" s="85"/>
      <c r="AB7" s="81"/>
    </row>
    <row r="8" spans="1:28" x14ac:dyDescent="0.35">
      <c r="A8" s="41" t="s">
        <v>305</v>
      </c>
      <c r="B8" s="107">
        <v>25132</v>
      </c>
      <c r="C8" s="107">
        <v>25132</v>
      </c>
      <c r="D8" s="84">
        <v>0</v>
      </c>
      <c r="E8" s="85"/>
      <c r="F8" s="84">
        <v>0</v>
      </c>
      <c r="G8" s="85"/>
      <c r="H8" s="81">
        <v>10969</v>
      </c>
      <c r="I8" s="81">
        <v>10969</v>
      </c>
      <c r="J8" s="84">
        <v>14163</v>
      </c>
      <c r="K8" s="85">
        <v>14163</v>
      </c>
      <c r="L8" s="81"/>
      <c r="M8" s="81"/>
      <c r="N8" s="84"/>
      <c r="O8" s="85"/>
      <c r="P8" s="81"/>
      <c r="Q8" s="81"/>
      <c r="R8" s="84"/>
      <c r="S8" s="85"/>
      <c r="T8" s="81"/>
      <c r="U8" s="81"/>
      <c r="V8" s="84"/>
      <c r="W8" s="85"/>
      <c r="X8" s="81"/>
      <c r="Y8" s="81"/>
      <c r="Z8" s="84"/>
      <c r="AA8" s="85"/>
      <c r="AB8" s="81"/>
    </row>
    <row r="9" spans="1:28" x14ac:dyDescent="0.35">
      <c r="A9" s="101" t="s">
        <v>306</v>
      </c>
      <c r="B9" s="107">
        <v>15973</v>
      </c>
      <c r="C9" s="107">
        <v>15973</v>
      </c>
      <c r="D9" s="84">
        <v>10333</v>
      </c>
      <c r="E9" s="85">
        <v>10333</v>
      </c>
      <c r="F9" s="84"/>
      <c r="G9" s="85"/>
      <c r="H9" s="81"/>
      <c r="I9" s="81"/>
      <c r="J9" s="84">
        <v>0</v>
      </c>
      <c r="K9" s="85"/>
      <c r="L9" s="81">
        <v>3398</v>
      </c>
      <c r="M9" s="81">
        <v>3398</v>
      </c>
      <c r="N9" s="84">
        <v>0</v>
      </c>
      <c r="O9" s="85"/>
      <c r="P9" s="81"/>
      <c r="Q9" s="81"/>
      <c r="R9" s="84"/>
      <c r="S9" s="85"/>
      <c r="T9" s="81"/>
      <c r="U9" s="81"/>
      <c r="V9" s="84"/>
      <c r="W9" s="85"/>
      <c r="X9" s="81"/>
      <c r="Y9" s="81"/>
      <c r="Z9" s="84"/>
      <c r="AA9" s="85"/>
      <c r="AB9" s="81"/>
    </row>
    <row r="10" spans="1:28" x14ac:dyDescent="0.35">
      <c r="A10" s="100" t="s">
        <v>324</v>
      </c>
      <c r="B10" s="102">
        <f>71065+5867</f>
        <v>76932</v>
      </c>
      <c r="C10" s="102">
        <f>71065+5867</f>
        <v>76932</v>
      </c>
      <c r="D10" s="84">
        <v>0</v>
      </c>
      <c r="E10" s="85"/>
      <c r="F10" s="84">
        <v>0</v>
      </c>
      <c r="G10" s="85"/>
      <c r="H10" s="81">
        <v>15997</v>
      </c>
      <c r="I10" s="81">
        <v>15997</v>
      </c>
      <c r="J10" s="84">
        <v>20524</v>
      </c>
      <c r="K10" s="85">
        <v>20524</v>
      </c>
      <c r="L10" s="81"/>
      <c r="M10" s="81"/>
      <c r="N10" s="84">
        <v>15454</v>
      </c>
      <c r="O10" s="85">
        <v>15454</v>
      </c>
      <c r="P10" s="81">
        <v>10336</v>
      </c>
      <c r="Q10" s="81">
        <v>10336</v>
      </c>
      <c r="R10" s="84"/>
      <c r="S10" s="85"/>
      <c r="T10" s="81"/>
      <c r="U10" s="81"/>
      <c r="V10" s="84"/>
      <c r="W10" s="85"/>
      <c r="X10" s="81"/>
      <c r="Y10" s="81"/>
      <c r="Z10" s="50">
        <f>5871+5867</f>
        <v>11738</v>
      </c>
      <c r="AA10" s="50">
        <f>5871+5867</f>
        <v>11738</v>
      </c>
      <c r="AB10" s="81"/>
    </row>
    <row r="11" spans="1:28" x14ac:dyDescent="0.35">
      <c r="A11" s="100" t="s">
        <v>313</v>
      </c>
      <c r="B11" s="106">
        <v>11184</v>
      </c>
      <c r="C11" s="106">
        <v>11184</v>
      </c>
      <c r="D11" s="84">
        <v>0</v>
      </c>
      <c r="E11" s="85"/>
      <c r="F11" s="84">
        <v>0</v>
      </c>
      <c r="G11" s="85"/>
      <c r="H11" s="81">
        <v>10592</v>
      </c>
      <c r="I11" s="81">
        <v>10592</v>
      </c>
      <c r="J11" s="84">
        <v>0</v>
      </c>
      <c r="K11" s="85"/>
      <c r="L11" s="81"/>
      <c r="M11" s="81"/>
      <c r="N11" s="84">
        <f>382.54+1026.93</f>
        <v>1409.47</v>
      </c>
      <c r="O11" s="85">
        <v>1409</v>
      </c>
      <c r="P11" s="81"/>
      <c r="Q11" s="81"/>
      <c r="R11" s="84"/>
      <c r="S11" s="85"/>
      <c r="T11" s="81"/>
      <c r="U11" s="81"/>
      <c r="V11" s="84"/>
      <c r="W11" s="85"/>
      <c r="X11" s="81"/>
      <c r="Y11" s="81"/>
      <c r="Z11" s="84"/>
      <c r="AA11" s="85"/>
      <c r="AB11" s="81"/>
    </row>
    <row r="12" spans="1:28" x14ac:dyDescent="0.35">
      <c r="A12" s="41" t="s">
        <v>309</v>
      </c>
      <c r="B12" s="107">
        <v>136516</v>
      </c>
      <c r="C12" s="107">
        <v>136516</v>
      </c>
      <c r="D12" s="84"/>
      <c r="E12" s="85"/>
      <c r="F12" s="84"/>
      <c r="G12" s="85"/>
      <c r="H12" s="84">
        <v>21166</v>
      </c>
      <c r="I12" s="85">
        <v>21166</v>
      </c>
      <c r="J12" s="81">
        <v>29539</v>
      </c>
      <c r="K12" s="81">
        <v>29539</v>
      </c>
      <c r="L12" s="84"/>
      <c r="M12" s="85"/>
      <c r="N12" s="81">
        <v>33628</v>
      </c>
      <c r="O12" s="81">
        <v>33628</v>
      </c>
      <c r="P12" s="84">
        <v>30034</v>
      </c>
      <c r="Q12" s="85">
        <v>30034</v>
      </c>
      <c r="R12" s="81">
        <v>6094.4</v>
      </c>
      <c r="S12" s="81">
        <v>6094</v>
      </c>
      <c r="T12" s="84">
        <v>11020</v>
      </c>
      <c r="U12" s="81">
        <v>11020</v>
      </c>
      <c r="V12" s="84">
        <v>5035</v>
      </c>
      <c r="W12" s="85">
        <v>5035</v>
      </c>
      <c r="X12" s="81"/>
      <c r="Y12" s="81"/>
      <c r="Z12" s="84"/>
      <c r="AA12" s="85"/>
      <c r="AB12" s="81"/>
    </row>
    <row r="13" spans="1:28" x14ac:dyDescent="0.35">
      <c r="A13" s="42" t="s">
        <v>308</v>
      </c>
      <c r="B13" s="83">
        <v>9088</v>
      </c>
      <c r="C13" s="107">
        <f>5603.29+3485</f>
        <v>9088.2900000000009</v>
      </c>
      <c r="D13" s="84">
        <v>9088</v>
      </c>
      <c r="E13" s="85">
        <v>9088</v>
      </c>
      <c r="F13" s="84"/>
      <c r="G13" s="85"/>
      <c r="H13" s="81"/>
      <c r="I13" s="81"/>
      <c r="J13" s="84"/>
      <c r="K13" s="85"/>
      <c r="L13" s="81"/>
      <c r="M13" s="81"/>
      <c r="N13" s="84"/>
      <c r="O13" s="85"/>
      <c r="P13" s="81"/>
      <c r="Q13" s="81"/>
      <c r="R13" s="84"/>
      <c r="S13" s="85"/>
      <c r="T13" s="81"/>
      <c r="U13" s="81"/>
      <c r="V13" s="84"/>
      <c r="W13" s="85"/>
      <c r="X13" s="81"/>
      <c r="Y13" s="81"/>
      <c r="Z13" s="84"/>
      <c r="AA13" s="85"/>
      <c r="AB13" s="81"/>
    </row>
    <row r="14" spans="1:28" x14ac:dyDescent="0.35">
      <c r="A14" s="139" t="s">
        <v>316</v>
      </c>
      <c r="B14" s="107">
        <v>4967</v>
      </c>
      <c r="C14" s="107">
        <v>4967</v>
      </c>
      <c r="D14" s="84">
        <v>4967</v>
      </c>
      <c r="E14" s="85">
        <v>4967</v>
      </c>
      <c r="F14" s="84"/>
      <c r="G14" s="85"/>
      <c r="H14" s="81"/>
      <c r="I14" s="81"/>
      <c r="J14" s="84"/>
      <c r="K14" s="85"/>
      <c r="L14" s="81"/>
      <c r="M14" s="81"/>
      <c r="N14" s="84"/>
      <c r="O14" s="85"/>
      <c r="P14" s="81"/>
      <c r="Q14" s="81"/>
      <c r="R14" s="84"/>
      <c r="S14" s="85"/>
      <c r="T14" s="81"/>
      <c r="U14" s="81"/>
      <c r="V14" s="84"/>
      <c r="W14" s="85"/>
      <c r="X14" s="81"/>
      <c r="Y14" s="81"/>
      <c r="Z14" s="84"/>
      <c r="AA14" s="85"/>
      <c r="AB14" s="87" t="s">
        <v>153</v>
      </c>
    </row>
    <row r="15" spans="1:28" x14ac:dyDescent="0.35">
      <c r="A15" s="101" t="s">
        <v>310</v>
      </c>
      <c r="B15" s="107"/>
      <c r="C15" s="63">
        <v>7697</v>
      </c>
      <c r="D15" s="84"/>
      <c r="E15" s="85"/>
      <c r="F15" s="84">
        <v>0</v>
      </c>
      <c r="G15" s="85"/>
      <c r="H15" s="81"/>
      <c r="I15" s="81"/>
      <c r="J15" s="84"/>
      <c r="K15" s="85"/>
      <c r="L15" s="81"/>
      <c r="M15" s="81"/>
      <c r="N15" s="84"/>
      <c r="O15" s="85"/>
      <c r="P15" s="81"/>
      <c r="Q15" s="81"/>
      <c r="R15" s="84"/>
      <c r="S15" s="85"/>
      <c r="T15" s="81"/>
      <c r="U15" s="81"/>
      <c r="V15" s="84"/>
      <c r="W15" s="85"/>
      <c r="X15" s="81"/>
      <c r="Y15" s="81"/>
      <c r="Z15" s="84"/>
      <c r="AA15" s="85"/>
      <c r="AB15" s="81"/>
    </row>
    <row r="16" spans="1:28" x14ac:dyDescent="0.35">
      <c r="A16" s="100" t="s">
        <v>311</v>
      </c>
      <c r="B16" s="107">
        <v>52246</v>
      </c>
      <c r="C16" s="107">
        <v>52246</v>
      </c>
      <c r="D16" s="84"/>
      <c r="E16" s="85"/>
      <c r="F16" s="84">
        <v>0</v>
      </c>
      <c r="G16" s="85"/>
      <c r="H16" s="81"/>
      <c r="I16" s="81"/>
      <c r="J16" s="84">
        <v>6265</v>
      </c>
      <c r="K16" s="85">
        <v>6265</v>
      </c>
      <c r="L16" s="81"/>
      <c r="M16" s="81"/>
      <c r="N16" s="84">
        <v>24109</v>
      </c>
      <c r="O16" s="85">
        <v>24109</v>
      </c>
      <c r="P16" s="81">
        <v>15667</v>
      </c>
      <c r="Q16" s="81">
        <v>15667</v>
      </c>
      <c r="R16" s="84"/>
      <c r="S16" s="85"/>
      <c r="T16" s="81"/>
      <c r="U16" s="81"/>
      <c r="V16" s="84"/>
      <c r="W16" s="85"/>
      <c r="X16" s="81"/>
      <c r="Y16" s="81"/>
      <c r="Z16" s="84"/>
      <c r="AA16" s="85"/>
      <c r="AB16" s="81"/>
    </row>
    <row r="17" spans="1:28" x14ac:dyDescent="0.35">
      <c r="A17" s="100"/>
      <c r="B17" s="107"/>
      <c r="C17" s="63"/>
      <c r="D17" s="84"/>
      <c r="E17" s="85"/>
      <c r="F17" s="84"/>
      <c r="G17" s="85"/>
      <c r="H17" s="81"/>
      <c r="I17" s="81"/>
      <c r="J17" s="84"/>
      <c r="K17" s="85"/>
      <c r="L17" s="81"/>
      <c r="M17" s="81"/>
      <c r="N17" s="84"/>
      <c r="O17" s="85"/>
      <c r="P17" s="81"/>
      <c r="Q17" s="81"/>
      <c r="R17" s="84"/>
      <c r="S17" s="85"/>
      <c r="T17" s="81"/>
      <c r="U17" s="81"/>
      <c r="V17" s="84"/>
      <c r="W17" s="85"/>
      <c r="X17" s="81"/>
      <c r="Y17" s="81"/>
      <c r="Z17" s="84"/>
      <c r="AA17" s="85"/>
      <c r="AB17" s="81"/>
    </row>
    <row r="18" spans="1:28" x14ac:dyDescent="0.35">
      <c r="A18" s="43" t="s">
        <v>317</v>
      </c>
      <c r="B18" s="107">
        <v>10544</v>
      </c>
      <c r="C18" s="107">
        <v>10544</v>
      </c>
      <c r="D18" s="84"/>
      <c r="E18" s="85"/>
      <c r="F18" s="84"/>
      <c r="G18" s="85"/>
      <c r="H18" s="81">
        <v>4004</v>
      </c>
      <c r="I18" s="81">
        <v>4004</v>
      </c>
      <c r="J18" s="84">
        <f>5966.85+298.57+274.49</f>
        <v>6539.91</v>
      </c>
      <c r="K18" s="85">
        <v>6540</v>
      </c>
      <c r="L18" s="81"/>
      <c r="M18" s="81"/>
      <c r="N18" s="84"/>
      <c r="O18" s="85"/>
      <c r="P18" s="81"/>
      <c r="Q18" s="81"/>
      <c r="R18" s="84"/>
      <c r="S18" s="85"/>
      <c r="T18" s="81"/>
      <c r="U18" s="81"/>
      <c r="V18" s="84"/>
      <c r="W18" s="85"/>
      <c r="X18" s="81"/>
      <c r="Y18" s="81"/>
      <c r="Z18" s="84"/>
      <c r="AA18" s="85"/>
      <c r="AB18" s="81"/>
    </row>
    <row r="19" spans="1:28" x14ac:dyDescent="0.35">
      <c r="A19" s="41" t="s">
        <v>312</v>
      </c>
      <c r="B19" s="107"/>
      <c r="C19" s="63">
        <v>128702</v>
      </c>
      <c r="D19" s="84"/>
      <c r="E19" s="85"/>
      <c r="F19" s="84"/>
      <c r="G19" s="85"/>
      <c r="H19" s="81"/>
      <c r="I19" s="81"/>
      <c r="J19" s="84"/>
      <c r="K19" s="85"/>
      <c r="L19" s="81"/>
      <c r="M19" s="81"/>
      <c r="N19" s="84"/>
      <c r="O19" s="85"/>
      <c r="P19" s="81"/>
      <c r="Q19" s="81"/>
      <c r="R19" s="84"/>
      <c r="S19" s="85"/>
      <c r="T19" s="81"/>
      <c r="U19" s="81"/>
      <c r="V19" s="84"/>
      <c r="W19" s="85"/>
      <c r="X19" s="81"/>
      <c r="Y19" s="81"/>
      <c r="Z19" s="84"/>
      <c r="AA19" s="85"/>
      <c r="AB19" s="81"/>
    </row>
    <row r="20" spans="1:28" x14ac:dyDescent="0.35">
      <c r="A20" s="100"/>
      <c r="B20" s="107"/>
      <c r="C20" s="63"/>
      <c r="D20" s="84"/>
      <c r="E20" s="85"/>
      <c r="F20" s="84"/>
      <c r="G20" s="85"/>
      <c r="H20" s="81"/>
      <c r="I20" s="81"/>
      <c r="J20" s="84"/>
      <c r="K20" s="85"/>
      <c r="L20" s="81"/>
      <c r="M20" s="81"/>
      <c r="N20" s="84"/>
      <c r="O20" s="85"/>
      <c r="P20" s="81"/>
      <c r="Q20" s="81"/>
      <c r="R20" s="84"/>
      <c r="S20" s="85"/>
      <c r="T20" s="81"/>
      <c r="U20" s="81"/>
      <c r="V20" s="84"/>
      <c r="W20" s="85"/>
      <c r="X20" s="81"/>
      <c r="Y20" s="81"/>
      <c r="Z20" s="84"/>
      <c r="AA20" s="85"/>
      <c r="AB20" s="81"/>
    </row>
    <row r="21" spans="1:28" x14ac:dyDescent="0.35">
      <c r="A21" s="41"/>
      <c r="B21" s="86"/>
      <c r="C21" s="86"/>
      <c r="D21" s="84"/>
      <c r="E21" s="85"/>
      <c r="F21" s="84"/>
      <c r="G21" s="85"/>
      <c r="H21" s="81"/>
      <c r="I21" s="81"/>
      <c r="J21" s="84"/>
      <c r="K21" s="85"/>
      <c r="L21" s="81"/>
      <c r="M21" s="81"/>
      <c r="N21" s="84"/>
      <c r="O21" s="85"/>
      <c r="P21" s="81"/>
      <c r="Q21" s="81"/>
      <c r="R21" s="84"/>
      <c r="S21" s="85"/>
      <c r="T21" s="81"/>
      <c r="U21" s="81"/>
      <c r="V21" s="84"/>
      <c r="W21" s="85"/>
      <c r="X21" s="81"/>
      <c r="Y21" s="81"/>
      <c r="Z21" s="84"/>
      <c r="AA21" s="85"/>
      <c r="AB21" s="81"/>
    </row>
    <row r="22" spans="1:28" x14ac:dyDescent="0.35">
      <c r="A22" s="43" t="s">
        <v>318</v>
      </c>
      <c r="B22" s="102">
        <v>6420</v>
      </c>
      <c r="C22" s="102">
        <v>6420</v>
      </c>
      <c r="D22" s="84"/>
      <c r="E22" s="85"/>
      <c r="F22" s="84">
        <v>6420</v>
      </c>
      <c r="G22" s="85">
        <v>6420</v>
      </c>
      <c r="H22" s="81"/>
      <c r="I22" s="81"/>
      <c r="J22" s="84"/>
      <c r="K22" s="85"/>
      <c r="L22" s="81"/>
      <c r="M22" s="81"/>
      <c r="N22" s="84"/>
      <c r="O22" s="85"/>
      <c r="P22" s="81"/>
      <c r="Q22" s="81"/>
      <c r="R22" s="84"/>
      <c r="S22" s="85"/>
      <c r="T22" s="81"/>
      <c r="U22" s="81"/>
      <c r="V22" s="84"/>
      <c r="W22" s="85"/>
      <c r="X22" s="81"/>
      <c r="Y22" s="81"/>
      <c r="Z22" s="84"/>
      <c r="AA22" s="85"/>
      <c r="AB22" s="81"/>
    </row>
    <row r="23" spans="1:28" x14ac:dyDescent="0.35">
      <c r="A23" s="42" t="s">
        <v>332</v>
      </c>
      <c r="B23" s="83">
        <v>3963</v>
      </c>
      <c r="C23" s="102">
        <v>3963</v>
      </c>
      <c r="D23" s="84"/>
      <c r="E23" s="85"/>
      <c r="F23" s="84"/>
      <c r="G23" s="85"/>
      <c r="H23" s="81"/>
      <c r="I23" s="81"/>
      <c r="J23" s="84"/>
      <c r="K23" s="85"/>
      <c r="L23" s="81"/>
      <c r="M23" s="81"/>
      <c r="N23" s="84">
        <v>3963</v>
      </c>
      <c r="O23" s="85">
        <v>3963</v>
      </c>
      <c r="P23" s="81"/>
      <c r="Q23" s="81"/>
      <c r="R23" s="84"/>
      <c r="S23" s="85"/>
      <c r="T23" s="81"/>
      <c r="U23" s="81"/>
      <c r="V23" s="84"/>
      <c r="W23" s="85"/>
      <c r="X23" s="81"/>
      <c r="Y23" s="81"/>
      <c r="Z23" s="84"/>
      <c r="AA23" s="85"/>
      <c r="AB23" s="81"/>
    </row>
    <row r="24" spans="1:28" x14ac:dyDescent="0.35">
      <c r="A24" s="101" t="s">
        <v>314</v>
      </c>
      <c r="B24" s="107">
        <v>1620</v>
      </c>
      <c r="C24" s="107">
        <v>1620</v>
      </c>
      <c r="D24" s="84">
        <v>1042</v>
      </c>
      <c r="E24" s="85">
        <v>1042</v>
      </c>
      <c r="F24" s="84"/>
      <c r="G24" s="85"/>
      <c r="H24" s="81"/>
      <c r="I24" s="81"/>
      <c r="J24" s="69">
        <v>0</v>
      </c>
      <c r="K24" s="85"/>
      <c r="L24" s="84"/>
      <c r="M24" s="81"/>
      <c r="N24" s="84"/>
      <c r="O24" s="85"/>
      <c r="P24" s="81"/>
      <c r="Q24" s="81"/>
      <c r="R24" s="84">
        <v>1620</v>
      </c>
      <c r="S24" s="85">
        <v>1620</v>
      </c>
      <c r="T24" s="81"/>
      <c r="U24" s="81"/>
      <c r="V24" s="84"/>
      <c r="W24" s="85"/>
      <c r="X24" s="81"/>
      <c r="Y24" s="81"/>
      <c r="Z24" s="84"/>
      <c r="AA24" s="85"/>
      <c r="AB24" s="81"/>
    </row>
    <row r="25" spans="1:28" x14ac:dyDescent="0.35">
      <c r="A25" s="100" t="s">
        <v>319</v>
      </c>
      <c r="B25" s="107">
        <v>16756</v>
      </c>
      <c r="C25" s="107">
        <v>16756</v>
      </c>
      <c r="D25" s="84"/>
      <c r="E25" s="85"/>
      <c r="F25" s="84"/>
      <c r="G25" s="85"/>
      <c r="H25" s="81"/>
      <c r="I25" s="81"/>
      <c r="J25" s="84">
        <v>3032.54</v>
      </c>
      <c r="K25" s="85">
        <v>3033</v>
      </c>
      <c r="L25" s="81"/>
      <c r="M25" s="81"/>
      <c r="N25" s="84">
        <v>13723</v>
      </c>
      <c r="O25" s="85">
        <v>13723</v>
      </c>
      <c r="P25" s="81"/>
      <c r="Q25" s="81"/>
      <c r="R25" s="84"/>
      <c r="S25" s="85"/>
      <c r="T25" s="81"/>
      <c r="U25" s="81"/>
      <c r="V25" s="84"/>
      <c r="W25" s="85"/>
      <c r="X25" s="81"/>
      <c r="Y25" s="81"/>
      <c r="Z25" s="84"/>
      <c r="AA25" s="85"/>
      <c r="AB25" s="81"/>
    </row>
    <row r="26" spans="1:28" x14ac:dyDescent="0.35">
      <c r="A26" s="43" t="s">
        <v>320</v>
      </c>
      <c r="B26" s="107">
        <v>4221</v>
      </c>
      <c r="C26" s="107">
        <v>4221</v>
      </c>
      <c r="D26" s="84"/>
      <c r="E26" s="85"/>
      <c r="F26" s="84"/>
      <c r="G26" s="85"/>
      <c r="H26" s="81"/>
      <c r="I26" s="81"/>
      <c r="J26" s="84">
        <v>4221</v>
      </c>
      <c r="K26" s="85">
        <v>4221</v>
      </c>
      <c r="L26" s="81"/>
      <c r="M26" s="81"/>
      <c r="N26" s="84"/>
      <c r="O26" s="85"/>
      <c r="P26" s="81"/>
      <c r="Q26" s="81"/>
      <c r="R26" s="84"/>
      <c r="S26" s="85"/>
      <c r="T26" s="81"/>
      <c r="U26" s="81"/>
      <c r="V26" s="84"/>
      <c r="W26" s="85"/>
      <c r="X26" s="81"/>
      <c r="Y26" s="81"/>
      <c r="Z26" s="84"/>
      <c r="AA26" s="85"/>
      <c r="AB26" s="81"/>
    </row>
    <row r="27" spans="1:28" x14ac:dyDescent="0.35">
      <c r="A27" s="41" t="s">
        <v>321</v>
      </c>
      <c r="B27" s="107">
        <v>62896</v>
      </c>
      <c r="C27" s="107">
        <v>62896</v>
      </c>
      <c r="D27" s="84"/>
      <c r="E27" s="85"/>
      <c r="F27" s="84"/>
      <c r="G27" s="85"/>
      <c r="H27" s="81"/>
      <c r="I27" s="81"/>
      <c r="J27" s="84"/>
      <c r="K27" s="85"/>
      <c r="L27" s="81"/>
      <c r="M27" s="81"/>
      <c r="N27" s="84"/>
      <c r="O27" s="85"/>
      <c r="P27" s="81"/>
      <c r="Q27" s="81"/>
      <c r="R27" s="84">
        <v>18868</v>
      </c>
      <c r="S27" s="85">
        <v>18868</v>
      </c>
      <c r="T27" s="81">
        <v>0</v>
      </c>
      <c r="U27" s="81"/>
      <c r="V27" s="84">
        <v>19393</v>
      </c>
      <c r="W27" s="85">
        <v>19393</v>
      </c>
      <c r="X27" s="81"/>
      <c r="Y27" s="81"/>
      <c r="Z27" s="50">
        <v>22852</v>
      </c>
      <c r="AA27" s="85">
        <v>22852</v>
      </c>
      <c r="AB27" s="81"/>
    </row>
    <row r="28" spans="1:28" x14ac:dyDescent="0.35">
      <c r="A28" s="100" t="s">
        <v>322</v>
      </c>
      <c r="B28" s="107">
        <v>8451</v>
      </c>
      <c r="C28" s="107">
        <v>8451</v>
      </c>
      <c r="D28" s="84">
        <v>0</v>
      </c>
      <c r="E28" s="85"/>
      <c r="F28" s="84">
        <v>8451</v>
      </c>
      <c r="G28" s="85">
        <v>8451</v>
      </c>
      <c r="H28" s="81"/>
      <c r="I28" s="81"/>
      <c r="J28" s="84"/>
      <c r="K28" s="85"/>
      <c r="L28" s="81"/>
      <c r="M28" s="81"/>
      <c r="N28" s="84"/>
      <c r="O28" s="85"/>
      <c r="P28" s="81"/>
      <c r="Q28" s="81"/>
      <c r="R28" s="84"/>
      <c r="S28" s="85"/>
      <c r="T28" s="81"/>
      <c r="U28" s="81"/>
      <c r="V28" s="84"/>
      <c r="W28" s="85"/>
      <c r="X28" s="81"/>
      <c r="Y28" s="81"/>
      <c r="Z28" s="84"/>
      <c r="AA28" s="85"/>
      <c r="AB28" s="81"/>
    </row>
    <row r="29" spans="1:28" x14ac:dyDescent="0.35">
      <c r="A29" s="42" t="s">
        <v>323</v>
      </c>
      <c r="B29" s="107">
        <v>1372.46</v>
      </c>
      <c r="C29" s="107">
        <v>1372.46</v>
      </c>
      <c r="D29" s="84">
        <v>1372</v>
      </c>
      <c r="E29" s="85">
        <v>1372</v>
      </c>
      <c r="F29" s="84"/>
      <c r="G29" s="85"/>
      <c r="H29" s="81"/>
      <c r="I29" s="81"/>
      <c r="J29" s="84"/>
      <c r="K29" s="85"/>
      <c r="L29" s="81"/>
      <c r="M29" s="81"/>
      <c r="N29" s="84"/>
      <c r="O29" s="85"/>
      <c r="P29" s="81"/>
      <c r="Q29" s="81"/>
      <c r="R29" s="84"/>
      <c r="S29" s="85"/>
      <c r="T29" s="81"/>
      <c r="U29" s="81"/>
      <c r="V29" s="84"/>
      <c r="W29" s="85"/>
      <c r="X29" s="81"/>
      <c r="Y29" s="81"/>
      <c r="Z29" s="84"/>
      <c r="AA29" s="85"/>
      <c r="AB29" s="81"/>
    </row>
    <row r="30" spans="1:28" x14ac:dyDescent="0.35">
      <c r="A30" s="66"/>
      <c r="B30" s="107"/>
      <c r="C30" s="107"/>
      <c r="D30" s="84"/>
      <c r="E30" s="85"/>
      <c r="F30" s="84">
        <v>0</v>
      </c>
      <c r="G30" s="85"/>
      <c r="H30" s="81"/>
      <c r="I30" s="81"/>
      <c r="J30" s="84"/>
      <c r="K30" s="85"/>
      <c r="L30" s="81"/>
      <c r="M30" s="81"/>
      <c r="N30" s="84"/>
      <c r="O30" s="85"/>
      <c r="P30" s="81"/>
      <c r="Q30" s="81"/>
      <c r="R30" s="84"/>
      <c r="S30" s="85"/>
      <c r="T30" s="81"/>
      <c r="U30" s="81"/>
      <c r="V30" s="84"/>
      <c r="W30" s="85"/>
      <c r="X30" s="81"/>
      <c r="Y30" s="81"/>
      <c r="Z30" s="84"/>
      <c r="AA30" s="85"/>
      <c r="AB30" s="81"/>
    </row>
    <row r="31" spans="1:28" x14ac:dyDescent="0.35">
      <c r="A31" s="42" t="s">
        <v>325</v>
      </c>
      <c r="B31" s="107">
        <v>1337</v>
      </c>
      <c r="C31" s="107">
        <v>1337</v>
      </c>
      <c r="D31" s="84"/>
      <c r="E31" s="85"/>
      <c r="F31" s="84">
        <v>0</v>
      </c>
      <c r="G31" s="85"/>
      <c r="H31" s="81">
        <v>1337</v>
      </c>
      <c r="I31" s="81">
        <v>1337</v>
      </c>
      <c r="J31" s="84"/>
      <c r="K31" s="85"/>
      <c r="L31" s="81"/>
      <c r="M31" s="81"/>
      <c r="N31" s="84"/>
      <c r="O31" s="85"/>
      <c r="P31" s="81"/>
      <c r="Q31" s="81"/>
      <c r="R31" s="84"/>
      <c r="S31" s="85"/>
      <c r="T31" s="81"/>
      <c r="U31" s="81"/>
      <c r="V31" s="84"/>
      <c r="W31" s="85"/>
      <c r="X31" s="81"/>
      <c r="Y31" s="81"/>
      <c r="Z31" s="84"/>
      <c r="AA31" s="85"/>
      <c r="AB31" s="81"/>
    </row>
    <row r="32" spans="1:28" x14ac:dyDescent="0.35">
      <c r="A32" s="42" t="s">
        <v>326</v>
      </c>
      <c r="B32" s="107">
        <v>29492</v>
      </c>
      <c r="C32" s="107">
        <v>29492</v>
      </c>
      <c r="D32" s="84"/>
      <c r="E32" s="85"/>
      <c r="F32" s="84"/>
      <c r="G32" s="85"/>
      <c r="H32" s="81"/>
      <c r="I32" s="81"/>
      <c r="J32" s="84">
        <v>9558</v>
      </c>
      <c r="K32" s="85">
        <v>9558</v>
      </c>
      <c r="L32" s="81"/>
      <c r="M32" s="81"/>
      <c r="N32" s="84">
        <v>19934</v>
      </c>
      <c r="O32" s="85">
        <v>19934</v>
      </c>
      <c r="P32" s="81"/>
      <c r="Q32" s="81"/>
      <c r="R32" s="84"/>
      <c r="S32" s="85"/>
      <c r="T32" s="81"/>
      <c r="U32" s="81"/>
      <c r="V32" s="84"/>
      <c r="W32" s="85"/>
      <c r="X32" s="81"/>
      <c r="Y32" s="81"/>
      <c r="Z32" s="84"/>
      <c r="AA32" s="85"/>
      <c r="AB32" s="81"/>
    </row>
    <row r="33" spans="1:28" x14ac:dyDescent="0.35">
      <c r="A33" s="41" t="s">
        <v>327</v>
      </c>
      <c r="B33" s="107">
        <v>50956</v>
      </c>
      <c r="C33" s="107">
        <v>50956</v>
      </c>
      <c r="D33" s="84"/>
      <c r="E33" s="85"/>
      <c r="F33" s="84"/>
      <c r="G33" s="85"/>
      <c r="H33" s="81"/>
      <c r="I33" s="81"/>
      <c r="J33" s="84"/>
      <c r="K33" s="85"/>
      <c r="L33" s="81"/>
      <c r="M33" s="81"/>
      <c r="N33" s="84"/>
      <c r="O33" s="85"/>
      <c r="P33" s="81"/>
      <c r="Q33" s="81"/>
      <c r="R33" s="84"/>
      <c r="S33" s="85"/>
      <c r="T33" s="81"/>
      <c r="U33" s="81"/>
      <c r="V33" s="84"/>
      <c r="W33" s="85"/>
      <c r="X33" s="81">
        <v>14207</v>
      </c>
      <c r="Y33" s="81">
        <v>14207</v>
      </c>
      <c r="Z33" s="84">
        <v>0</v>
      </c>
      <c r="AA33" s="85"/>
      <c r="AB33" s="81"/>
    </row>
    <row r="34" spans="1:28" x14ac:dyDescent="0.35">
      <c r="A34" s="41" t="s">
        <v>328</v>
      </c>
      <c r="B34" s="107">
        <v>81382</v>
      </c>
      <c r="C34" s="107">
        <v>81382</v>
      </c>
      <c r="D34" s="84"/>
      <c r="E34" s="85"/>
      <c r="F34" s="84"/>
      <c r="G34" s="85"/>
      <c r="H34" s="81"/>
      <c r="I34" s="81"/>
      <c r="J34" s="84"/>
      <c r="K34" s="85"/>
      <c r="L34" s="81"/>
      <c r="M34" s="81"/>
      <c r="N34" s="84"/>
      <c r="O34" s="85"/>
      <c r="P34" s="81"/>
      <c r="Q34" s="81"/>
      <c r="R34" s="84"/>
      <c r="S34" s="85"/>
      <c r="T34" s="81"/>
      <c r="U34" s="81"/>
      <c r="V34" s="84"/>
      <c r="W34" s="85"/>
      <c r="X34" s="81">
        <v>15242</v>
      </c>
      <c r="Y34" s="81">
        <v>15242</v>
      </c>
      <c r="Z34" s="84">
        <v>14391</v>
      </c>
      <c r="AA34" s="85">
        <v>14391</v>
      </c>
      <c r="AB34" s="81"/>
    </row>
    <row r="35" spans="1:28" x14ac:dyDescent="0.35">
      <c r="A35" s="100" t="s">
        <v>329</v>
      </c>
      <c r="B35" s="107"/>
      <c r="C35" s="107">
        <v>54304</v>
      </c>
      <c r="D35" s="84"/>
      <c r="E35" s="85"/>
      <c r="F35" s="84"/>
      <c r="G35" s="85"/>
      <c r="H35" s="81"/>
      <c r="I35" s="81"/>
      <c r="J35" s="84"/>
      <c r="K35" s="85"/>
      <c r="L35" s="81"/>
      <c r="M35" s="81"/>
      <c r="N35" s="84"/>
      <c r="O35" s="85"/>
      <c r="P35" s="81"/>
      <c r="Q35" s="81"/>
      <c r="R35" s="84"/>
      <c r="S35" s="85"/>
      <c r="T35" s="81"/>
      <c r="U35" s="81"/>
      <c r="V35" s="84"/>
      <c r="W35" s="85"/>
      <c r="X35" s="81"/>
      <c r="Y35" s="81"/>
      <c r="Z35" s="84">
        <v>0</v>
      </c>
      <c r="AA35" s="85"/>
      <c r="AB35" s="81"/>
    </row>
    <row r="36" spans="1:28" x14ac:dyDescent="0.35">
      <c r="A36" s="41" t="s">
        <v>330</v>
      </c>
      <c r="B36" s="107"/>
      <c r="C36" s="140">
        <v>79325</v>
      </c>
      <c r="D36" s="84"/>
      <c r="E36" s="85"/>
      <c r="F36" s="84"/>
      <c r="G36" s="85"/>
      <c r="H36" s="81"/>
      <c r="I36" s="81"/>
      <c r="J36" s="84"/>
      <c r="K36" s="85"/>
      <c r="L36" s="81"/>
      <c r="M36" s="81"/>
      <c r="N36" s="84"/>
      <c r="O36" s="85"/>
      <c r="P36" s="81"/>
      <c r="Q36" s="81"/>
      <c r="R36" s="84"/>
      <c r="S36" s="85"/>
      <c r="T36" s="81"/>
      <c r="U36" s="81"/>
      <c r="V36" s="84"/>
      <c r="W36" s="85"/>
      <c r="X36" s="81"/>
      <c r="Y36" s="81"/>
      <c r="Z36" s="84"/>
      <c r="AA36" s="85"/>
      <c r="AB36" s="81"/>
    </row>
    <row r="37" spans="1:28" x14ac:dyDescent="0.35">
      <c r="A37" s="100"/>
      <c r="B37" s="107"/>
      <c r="C37" s="140"/>
      <c r="D37" s="84"/>
      <c r="E37" s="85"/>
      <c r="F37" s="84"/>
      <c r="G37" s="85"/>
      <c r="H37" s="81"/>
      <c r="I37" s="81"/>
      <c r="J37" s="84"/>
      <c r="K37" s="85"/>
      <c r="L37" s="81"/>
      <c r="M37" s="81"/>
      <c r="N37" s="84"/>
      <c r="O37" s="85"/>
      <c r="P37" s="81"/>
      <c r="Q37" s="81"/>
      <c r="R37" s="84"/>
      <c r="S37" s="85"/>
      <c r="T37" s="81"/>
      <c r="U37" s="81"/>
      <c r="V37" s="84"/>
      <c r="W37" s="85"/>
      <c r="X37" s="81"/>
      <c r="Y37" s="81"/>
      <c r="Z37" s="84"/>
      <c r="AA37" s="85"/>
      <c r="AB37" s="81"/>
    </row>
    <row r="38" spans="1:28" x14ac:dyDescent="0.35">
      <c r="A38" s="41" t="s">
        <v>331</v>
      </c>
      <c r="B38" s="107"/>
      <c r="C38" s="63">
        <v>86613</v>
      </c>
      <c r="D38" s="84"/>
      <c r="E38" s="85"/>
      <c r="F38" s="84"/>
      <c r="G38" s="85"/>
      <c r="H38" s="81"/>
      <c r="I38" s="81"/>
      <c r="J38" s="84"/>
      <c r="K38" s="85"/>
      <c r="L38" s="81"/>
      <c r="M38" s="81"/>
      <c r="N38" s="84"/>
      <c r="O38" s="85"/>
      <c r="P38" s="81"/>
      <c r="Q38" s="81"/>
      <c r="R38" s="84"/>
      <c r="S38" s="85"/>
      <c r="T38" s="81"/>
      <c r="U38" s="81"/>
      <c r="V38" s="84"/>
      <c r="W38" s="85"/>
      <c r="X38" s="81"/>
      <c r="Y38" s="81"/>
      <c r="Z38" s="84"/>
      <c r="AA38" s="85"/>
      <c r="AB38" s="81"/>
    </row>
    <row r="39" spans="1:28" x14ac:dyDescent="0.35">
      <c r="A39" s="41" t="s">
        <v>333</v>
      </c>
      <c r="B39" s="107">
        <v>42611</v>
      </c>
      <c r="C39" s="107">
        <v>42611</v>
      </c>
      <c r="D39" s="84"/>
      <c r="E39" s="85"/>
      <c r="F39" s="84"/>
      <c r="G39" s="85"/>
      <c r="H39" s="81"/>
      <c r="I39" s="81"/>
      <c r="J39" s="84"/>
      <c r="K39" s="85"/>
      <c r="L39" s="81"/>
      <c r="M39" s="81"/>
      <c r="N39" s="84">
        <v>11365</v>
      </c>
      <c r="O39" s="85">
        <v>11365</v>
      </c>
      <c r="P39" s="81"/>
      <c r="Q39" s="81"/>
      <c r="R39" s="84">
        <v>21018</v>
      </c>
      <c r="S39" s="85">
        <v>21018</v>
      </c>
      <c r="T39" s="81"/>
      <c r="U39" s="81"/>
      <c r="V39" s="84"/>
      <c r="W39" s="85"/>
      <c r="X39" s="81">
        <v>10226</v>
      </c>
      <c r="Y39" s="81">
        <v>10226</v>
      </c>
      <c r="Z39" s="84"/>
      <c r="AA39" s="85"/>
      <c r="AB39" s="81"/>
    </row>
    <row r="40" spans="1:28" x14ac:dyDescent="0.35">
      <c r="A40" s="42" t="s">
        <v>334</v>
      </c>
      <c r="B40" s="107">
        <v>5336</v>
      </c>
      <c r="C40" s="107">
        <f>4056+1280</f>
        <v>5336</v>
      </c>
      <c r="D40" s="84"/>
      <c r="E40" s="85"/>
      <c r="F40" s="84"/>
      <c r="G40" s="85"/>
      <c r="H40" s="81"/>
      <c r="I40" s="81"/>
      <c r="J40" s="84"/>
      <c r="K40" s="85"/>
      <c r="L40" s="81">
        <v>5336</v>
      </c>
      <c r="M40" s="81">
        <v>5336</v>
      </c>
      <c r="N40" s="84"/>
      <c r="O40" s="85"/>
      <c r="P40" s="81"/>
      <c r="Q40" s="81"/>
      <c r="R40" s="84"/>
      <c r="S40" s="85"/>
      <c r="T40" s="81"/>
      <c r="U40" s="81"/>
      <c r="V40" s="84"/>
      <c r="W40" s="85"/>
      <c r="X40" s="81"/>
      <c r="Y40" s="81"/>
      <c r="Z40" s="84"/>
      <c r="AA40" s="85"/>
      <c r="AB40" s="81"/>
    </row>
    <row r="41" spans="1:28" x14ac:dyDescent="0.35">
      <c r="A41" s="43" t="s">
        <v>335</v>
      </c>
      <c r="B41" s="107"/>
      <c r="C41" s="63">
        <v>26000</v>
      </c>
      <c r="D41" s="84"/>
      <c r="E41" s="85"/>
      <c r="F41" s="84"/>
      <c r="G41" s="85"/>
      <c r="H41" s="81"/>
      <c r="I41" s="81"/>
      <c r="J41" s="84"/>
      <c r="K41" s="85"/>
      <c r="L41" s="81"/>
      <c r="M41" s="81"/>
      <c r="N41" s="84"/>
      <c r="O41" s="85"/>
      <c r="P41" s="81"/>
      <c r="Q41" s="81"/>
      <c r="R41" s="84"/>
      <c r="S41" s="85"/>
      <c r="T41" s="81"/>
      <c r="U41" s="81"/>
      <c r="V41" s="84"/>
      <c r="W41" s="85"/>
      <c r="X41" s="81"/>
      <c r="Y41" s="81"/>
      <c r="Z41" s="84"/>
      <c r="AA41" s="85"/>
      <c r="AB41" s="81"/>
    </row>
    <row r="42" spans="1:28" x14ac:dyDescent="0.35">
      <c r="A42" s="66" t="s">
        <v>336</v>
      </c>
      <c r="B42" s="107">
        <v>1438</v>
      </c>
      <c r="C42" s="107">
        <v>1438</v>
      </c>
      <c r="D42" s="84"/>
      <c r="E42" s="85"/>
      <c r="F42" s="84"/>
      <c r="G42" s="85"/>
      <c r="H42" s="81"/>
      <c r="I42" s="81"/>
      <c r="J42" s="84"/>
      <c r="K42" s="85"/>
      <c r="L42" s="81">
        <v>1438</v>
      </c>
      <c r="M42" s="81">
        <v>1438</v>
      </c>
      <c r="N42" s="84"/>
      <c r="O42" s="85"/>
      <c r="P42" s="81"/>
      <c r="Q42" s="81"/>
      <c r="R42" s="84"/>
      <c r="S42" s="85"/>
      <c r="T42" s="81"/>
      <c r="U42" s="81"/>
      <c r="V42" s="84"/>
      <c r="W42" s="85"/>
      <c r="X42" s="81"/>
      <c r="Y42" s="81"/>
      <c r="Z42" s="84"/>
      <c r="AA42" s="85"/>
      <c r="AB42" s="81"/>
    </row>
    <row r="43" spans="1:28" x14ac:dyDescent="0.35">
      <c r="A43" s="139" t="s">
        <v>337</v>
      </c>
      <c r="B43" s="107">
        <v>19583</v>
      </c>
      <c r="C43" s="107">
        <v>19583</v>
      </c>
      <c r="D43" s="84"/>
      <c r="E43" s="85"/>
      <c r="F43" s="84"/>
      <c r="G43" s="85"/>
      <c r="H43" s="81"/>
      <c r="I43" s="81"/>
      <c r="J43" s="84"/>
      <c r="K43" s="85"/>
      <c r="L43" s="81"/>
      <c r="M43" s="81"/>
      <c r="N43" s="84"/>
      <c r="O43" s="85"/>
      <c r="P43" s="81"/>
      <c r="Q43" s="81"/>
      <c r="R43" s="84"/>
      <c r="S43" s="85"/>
      <c r="T43" s="81">
        <v>9463.4699999999993</v>
      </c>
      <c r="U43" s="81">
        <v>9463</v>
      </c>
      <c r="V43" s="84">
        <v>10119</v>
      </c>
      <c r="W43" s="85">
        <v>10119</v>
      </c>
      <c r="X43" s="81"/>
      <c r="Y43" s="81"/>
      <c r="Z43" s="84"/>
      <c r="AA43" s="85"/>
      <c r="AB43" s="81"/>
    </row>
    <row r="44" spans="1:28" x14ac:dyDescent="0.35">
      <c r="A44" s="100" t="s">
        <v>338</v>
      </c>
      <c r="B44" s="107">
        <v>31830</v>
      </c>
      <c r="C44" s="107">
        <v>31830</v>
      </c>
      <c r="D44" s="84"/>
      <c r="E44" s="85"/>
      <c r="F44" s="84"/>
      <c r="G44" s="85"/>
      <c r="H44" s="81"/>
      <c r="I44" s="81"/>
      <c r="J44" s="84"/>
      <c r="K44" s="85"/>
      <c r="L44" s="81"/>
      <c r="M44" s="81"/>
      <c r="N44" s="84"/>
      <c r="O44" s="85"/>
      <c r="P44" s="81"/>
      <c r="Q44" s="81"/>
      <c r="R44" s="84">
        <v>10720</v>
      </c>
      <c r="S44" s="85">
        <v>10720</v>
      </c>
      <c r="T44" s="81">
        <v>14992</v>
      </c>
      <c r="U44" s="81">
        <v>14992</v>
      </c>
      <c r="V44" s="81">
        <v>4418</v>
      </c>
      <c r="W44" s="81">
        <v>4418</v>
      </c>
      <c r="X44" s="81"/>
      <c r="Y44" s="81"/>
      <c r="Z44" s="84"/>
      <c r="AA44" s="85"/>
      <c r="AB44" s="81"/>
    </row>
    <row r="45" spans="1:28" x14ac:dyDescent="0.35">
      <c r="A45" s="100" t="s">
        <v>339</v>
      </c>
      <c r="B45" s="107">
        <v>72581</v>
      </c>
      <c r="C45" s="107">
        <v>72581</v>
      </c>
      <c r="D45" s="84"/>
      <c r="E45" s="85"/>
      <c r="F45" s="84"/>
      <c r="G45" s="85"/>
      <c r="H45" s="81"/>
      <c r="I45" s="81"/>
      <c r="J45" s="84"/>
      <c r="K45" s="85"/>
      <c r="L45" s="81"/>
      <c r="M45" s="81"/>
      <c r="N45" s="84"/>
      <c r="O45" s="85"/>
      <c r="P45" s="81"/>
      <c r="Q45" s="81"/>
      <c r="R45" s="84"/>
      <c r="S45" s="85"/>
      <c r="T45" s="81">
        <v>11711</v>
      </c>
      <c r="U45" s="81">
        <v>11711</v>
      </c>
      <c r="V45" s="50">
        <v>28531</v>
      </c>
      <c r="W45" s="85">
        <v>28531</v>
      </c>
      <c r="X45" s="81"/>
      <c r="Y45" s="81"/>
      <c r="Z45" s="84">
        <v>12690</v>
      </c>
      <c r="AA45" s="85">
        <v>12690</v>
      </c>
      <c r="AB45" s="81"/>
    </row>
    <row r="46" spans="1:28" x14ac:dyDescent="0.35">
      <c r="A46" s="43" t="s">
        <v>342</v>
      </c>
      <c r="B46" s="107">
        <v>13327</v>
      </c>
      <c r="C46" s="107">
        <v>13327</v>
      </c>
      <c r="D46" s="84"/>
      <c r="E46" s="85"/>
      <c r="F46" s="84"/>
      <c r="G46" s="85"/>
      <c r="H46" s="81"/>
      <c r="I46" s="81"/>
      <c r="J46" s="84"/>
      <c r="K46" s="85"/>
      <c r="L46" s="81"/>
      <c r="M46" s="81"/>
      <c r="N46" s="84"/>
      <c r="O46" s="85"/>
      <c r="P46" s="81">
        <v>13327</v>
      </c>
      <c r="Q46" s="81">
        <v>13327</v>
      </c>
      <c r="R46" s="84"/>
      <c r="S46" s="85"/>
      <c r="T46" s="81"/>
      <c r="U46" s="81"/>
      <c r="V46" s="84"/>
      <c r="W46" s="85"/>
      <c r="X46" s="81"/>
      <c r="Y46" s="81"/>
      <c r="Z46" s="84"/>
      <c r="AA46" s="85"/>
      <c r="AB46" s="81"/>
    </row>
    <row r="47" spans="1:28" x14ac:dyDescent="0.35">
      <c r="A47" s="43" t="s">
        <v>340</v>
      </c>
      <c r="B47" s="107"/>
      <c r="C47" s="107">
        <v>30574</v>
      </c>
      <c r="D47" s="84"/>
      <c r="E47" s="85"/>
      <c r="F47" s="84"/>
      <c r="G47" s="85"/>
      <c r="H47" s="81"/>
      <c r="I47" s="81"/>
      <c r="J47" s="84"/>
      <c r="K47" s="85"/>
      <c r="L47" s="81"/>
      <c r="M47" s="81"/>
      <c r="N47" s="84"/>
      <c r="O47" s="85"/>
      <c r="P47" s="81"/>
      <c r="Q47" s="81"/>
      <c r="R47" s="84"/>
      <c r="S47" s="85"/>
      <c r="T47" s="81"/>
      <c r="U47" s="81"/>
      <c r="V47" s="84"/>
      <c r="W47" s="85"/>
      <c r="X47" s="81"/>
      <c r="Y47" s="81"/>
      <c r="Z47" s="84"/>
      <c r="AA47" s="85"/>
      <c r="AB47" s="81"/>
    </row>
    <row r="48" spans="1:28" x14ac:dyDescent="0.35">
      <c r="A48" s="100" t="s">
        <v>341</v>
      </c>
      <c r="B48" s="141">
        <v>48438</v>
      </c>
      <c r="C48" s="141">
        <v>48438</v>
      </c>
      <c r="D48" s="84"/>
      <c r="E48" s="85"/>
      <c r="F48" s="84"/>
      <c r="G48" s="85"/>
      <c r="H48" s="81"/>
      <c r="I48" s="81"/>
      <c r="J48" s="84"/>
      <c r="K48" s="85"/>
      <c r="L48" s="81"/>
      <c r="M48" s="81"/>
      <c r="N48" s="84"/>
      <c r="O48" s="85"/>
      <c r="P48" s="81"/>
      <c r="Q48" s="81"/>
      <c r="R48" s="84"/>
      <c r="S48" s="85"/>
      <c r="T48" s="81"/>
      <c r="U48" s="81"/>
      <c r="V48" s="84"/>
      <c r="W48" s="85"/>
      <c r="X48" s="81">
        <v>8670</v>
      </c>
      <c r="Y48" s="81">
        <v>8670</v>
      </c>
      <c r="Z48" s="84">
        <v>11550</v>
      </c>
      <c r="AA48" s="85">
        <v>11550</v>
      </c>
      <c r="AB48" s="81"/>
    </row>
    <row r="49" spans="1:28" x14ac:dyDescent="0.35">
      <c r="A49" s="100"/>
      <c r="B49" s="107"/>
      <c r="C49" s="63"/>
      <c r="D49" s="84"/>
      <c r="E49" s="85"/>
      <c r="F49" s="84"/>
      <c r="G49" s="85"/>
      <c r="H49" s="81"/>
      <c r="I49" s="81"/>
      <c r="J49" s="84"/>
      <c r="K49" s="85"/>
      <c r="L49" s="81"/>
      <c r="M49" s="81"/>
      <c r="N49" s="84"/>
      <c r="O49" s="85"/>
      <c r="P49" s="81"/>
      <c r="Q49" s="81"/>
      <c r="R49" s="84"/>
      <c r="S49" s="85"/>
      <c r="T49" s="81"/>
      <c r="U49" s="81"/>
      <c r="V49" s="84"/>
      <c r="W49" s="85"/>
      <c r="X49" s="81"/>
      <c r="Y49" s="81"/>
      <c r="Z49" s="84"/>
      <c r="AA49" s="85"/>
      <c r="AB49" s="81"/>
    </row>
    <row r="50" spans="1:28" x14ac:dyDescent="0.35">
      <c r="A50" s="139" t="s">
        <v>343</v>
      </c>
      <c r="B50" s="63">
        <v>11536</v>
      </c>
      <c r="C50" s="63">
        <v>11536</v>
      </c>
      <c r="D50" s="84"/>
      <c r="E50" s="85"/>
      <c r="F50" s="84"/>
      <c r="G50" s="85"/>
      <c r="H50" s="81"/>
      <c r="I50" s="81"/>
      <c r="J50" s="84"/>
      <c r="K50" s="85"/>
      <c r="L50" s="81"/>
      <c r="M50" s="81"/>
      <c r="N50" s="84"/>
      <c r="O50" s="85"/>
      <c r="P50" s="81"/>
      <c r="Q50" s="81"/>
      <c r="R50" s="84"/>
      <c r="S50" s="85"/>
      <c r="T50" s="81"/>
      <c r="U50" s="81"/>
      <c r="V50" s="84"/>
      <c r="W50" s="85"/>
      <c r="X50" s="81">
        <v>3060</v>
      </c>
      <c r="Y50" s="81">
        <v>3060</v>
      </c>
      <c r="Z50" s="84">
        <v>4286</v>
      </c>
      <c r="AA50" s="85">
        <v>4286</v>
      </c>
      <c r="AB50" s="81"/>
    </row>
    <row r="51" spans="1:28" x14ac:dyDescent="0.35">
      <c r="A51" s="66" t="s">
        <v>344</v>
      </c>
      <c r="B51" s="107">
        <v>29041</v>
      </c>
      <c r="C51" s="107">
        <v>29041</v>
      </c>
      <c r="D51" s="84"/>
      <c r="E51" s="85"/>
      <c r="F51" s="84"/>
      <c r="G51" s="85"/>
      <c r="H51" s="81"/>
      <c r="I51" s="81"/>
      <c r="J51" s="84"/>
      <c r="K51" s="85"/>
      <c r="L51" s="81"/>
      <c r="M51" s="81"/>
      <c r="N51" s="84"/>
      <c r="O51" s="85"/>
      <c r="P51" s="81">
        <v>29041</v>
      </c>
      <c r="Q51" s="81">
        <v>29041</v>
      </c>
      <c r="R51" s="84"/>
      <c r="S51" s="85"/>
      <c r="T51" s="81"/>
      <c r="U51" s="81"/>
      <c r="V51" s="84"/>
      <c r="W51" s="85"/>
      <c r="X51" s="81"/>
      <c r="Y51" s="81"/>
      <c r="Z51" s="84"/>
      <c r="AA51" s="85"/>
      <c r="AB51" s="81"/>
    </row>
    <row r="52" spans="1:28" x14ac:dyDescent="0.35">
      <c r="A52" s="42" t="s">
        <v>345</v>
      </c>
      <c r="B52" s="107">
        <v>43362</v>
      </c>
      <c r="C52" s="107">
        <v>43632</v>
      </c>
      <c r="D52" s="84"/>
      <c r="E52" s="85"/>
      <c r="F52" s="84"/>
      <c r="G52" s="85"/>
      <c r="H52" s="81"/>
      <c r="I52" s="81"/>
      <c r="J52" s="84"/>
      <c r="K52" s="85"/>
      <c r="L52" s="81"/>
      <c r="M52" s="81"/>
      <c r="N52" s="84"/>
      <c r="O52" s="85"/>
      <c r="P52" s="81"/>
      <c r="Q52" s="81"/>
      <c r="R52" s="84"/>
      <c r="S52" s="85"/>
      <c r="T52" s="81">
        <v>13089</v>
      </c>
      <c r="U52" s="81">
        <v>13089</v>
      </c>
      <c r="V52" s="84">
        <v>27895</v>
      </c>
      <c r="W52" s="85">
        <v>27895</v>
      </c>
      <c r="X52" s="81"/>
      <c r="Y52" s="81"/>
      <c r="Z52" s="84"/>
      <c r="AA52" s="85"/>
      <c r="AB52" s="81"/>
    </row>
    <row r="53" spans="1:28" x14ac:dyDescent="0.35">
      <c r="A53" s="43" t="s">
        <v>346</v>
      </c>
      <c r="B53" s="107">
        <v>15440</v>
      </c>
      <c r="C53" s="107">
        <v>15440</v>
      </c>
      <c r="D53" s="84"/>
      <c r="E53" s="85"/>
      <c r="F53" s="84"/>
      <c r="G53" s="85"/>
      <c r="H53" s="81"/>
      <c r="I53" s="81"/>
      <c r="J53" s="84"/>
      <c r="K53" s="85"/>
      <c r="L53" s="81"/>
      <c r="M53" s="81"/>
      <c r="N53" s="84"/>
      <c r="O53" s="85"/>
      <c r="P53" s="81">
        <v>3778</v>
      </c>
      <c r="Q53" s="81">
        <v>3778</v>
      </c>
      <c r="R53" s="84"/>
      <c r="S53" s="85"/>
      <c r="T53" s="81">
        <v>11662</v>
      </c>
      <c r="U53" s="81">
        <v>11662</v>
      </c>
      <c r="V53" s="84"/>
      <c r="W53" s="85"/>
      <c r="X53" s="81"/>
      <c r="Y53" s="81"/>
      <c r="Z53" s="84"/>
      <c r="AA53" s="85"/>
      <c r="AB53" s="81"/>
    </row>
    <row r="54" spans="1:28" x14ac:dyDescent="0.35">
      <c r="A54" s="42" t="s">
        <v>348</v>
      </c>
      <c r="B54" s="107">
        <v>27156</v>
      </c>
      <c r="C54" s="107">
        <v>27156</v>
      </c>
      <c r="D54" s="84"/>
      <c r="E54" s="85"/>
      <c r="F54" s="84"/>
      <c r="G54" s="85"/>
      <c r="H54" s="81"/>
      <c r="I54" s="81"/>
      <c r="J54" s="84"/>
      <c r="K54" s="85"/>
      <c r="L54" s="81"/>
      <c r="M54" s="81"/>
      <c r="N54" s="84"/>
      <c r="O54" s="85"/>
      <c r="P54" s="81">
        <v>9974</v>
      </c>
      <c r="Q54" s="81">
        <v>9974</v>
      </c>
      <c r="R54" s="84"/>
      <c r="S54" s="85"/>
      <c r="T54" s="81"/>
      <c r="U54" s="81"/>
      <c r="V54" s="84"/>
      <c r="W54" s="85"/>
      <c r="X54" s="81"/>
      <c r="Y54" s="81"/>
      <c r="Z54" s="84">
        <v>0</v>
      </c>
      <c r="AA54" s="85"/>
      <c r="AB54" s="81"/>
    </row>
    <row r="55" spans="1:28" x14ac:dyDescent="0.35">
      <c r="A55" s="41" t="s">
        <v>349</v>
      </c>
      <c r="B55" s="63">
        <v>91038</v>
      </c>
      <c r="C55" s="63">
        <v>91038</v>
      </c>
      <c r="D55" s="84"/>
      <c r="E55" s="85"/>
      <c r="F55" s="84"/>
      <c r="G55" s="85"/>
      <c r="H55" s="81"/>
      <c r="I55" s="81"/>
      <c r="J55" s="84"/>
      <c r="K55" s="85"/>
      <c r="L55" s="81"/>
      <c r="M55" s="81"/>
      <c r="N55" s="84"/>
      <c r="O55" s="85"/>
      <c r="P55" s="81"/>
      <c r="Q55" s="81"/>
      <c r="R55" s="84"/>
      <c r="S55" s="85"/>
      <c r="T55" s="81"/>
      <c r="U55" s="81"/>
      <c r="V55" s="84"/>
      <c r="W55" s="85"/>
      <c r="X55" s="81"/>
      <c r="Y55" s="81"/>
      <c r="Z55" s="84"/>
      <c r="AA55" s="85"/>
      <c r="AB55" s="81"/>
    </row>
    <row r="56" spans="1:28" x14ac:dyDescent="0.35">
      <c r="A56" s="43" t="s">
        <v>350</v>
      </c>
      <c r="B56" s="107">
        <v>30150</v>
      </c>
      <c r="C56" s="107">
        <v>30150</v>
      </c>
      <c r="D56" s="84"/>
      <c r="E56" s="85"/>
      <c r="F56" s="84"/>
      <c r="G56" s="85"/>
      <c r="H56" s="81"/>
      <c r="I56" s="81"/>
      <c r="J56" s="84"/>
      <c r="K56" s="85"/>
      <c r="L56" s="81"/>
      <c r="M56" s="81"/>
      <c r="N56" s="84"/>
      <c r="O56" s="85"/>
      <c r="P56" s="81">
        <v>8508</v>
      </c>
      <c r="Q56" s="81">
        <v>8508</v>
      </c>
      <c r="R56" s="84"/>
      <c r="S56" s="85"/>
      <c r="T56" s="81">
        <v>21642</v>
      </c>
      <c r="U56" s="81">
        <v>21642</v>
      </c>
      <c r="V56" s="84"/>
      <c r="W56" s="85"/>
      <c r="X56" s="81"/>
      <c r="Y56" s="81"/>
      <c r="Z56" s="84"/>
      <c r="AA56" s="85"/>
      <c r="AB56" s="81"/>
    </row>
    <row r="57" spans="1:28" x14ac:dyDescent="0.35">
      <c r="A57" s="43" t="s">
        <v>351</v>
      </c>
      <c r="B57" s="107">
        <v>3211</v>
      </c>
      <c r="C57" s="107">
        <v>3211</v>
      </c>
      <c r="D57" s="84"/>
      <c r="E57" s="85"/>
      <c r="F57" s="84"/>
      <c r="G57" s="85"/>
      <c r="H57" s="81"/>
      <c r="I57" s="81"/>
      <c r="J57" s="84"/>
      <c r="K57" s="85"/>
      <c r="L57" s="81"/>
      <c r="M57" s="81"/>
      <c r="N57" s="84"/>
      <c r="O57" s="85"/>
      <c r="P57" s="81"/>
      <c r="Q57" s="81"/>
      <c r="R57" s="84">
        <v>3211</v>
      </c>
      <c r="S57" s="85">
        <v>3211</v>
      </c>
      <c r="T57" s="81"/>
      <c r="U57" s="81"/>
      <c r="V57" s="84"/>
      <c r="W57" s="85"/>
      <c r="X57" s="81"/>
      <c r="Y57" s="81"/>
      <c r="Z57" s="84"/>
      <c r="AA57" s="85"/>
      <c r="AB57" s="81"/>
    </row>
    <row r="58" spans="1:28" x14ac:dyDescent="0.35">
      <c r="A58" s="43" t="s">
        <v>353</v>
      </c>
      <c r="B58" s="107">
        <v>11957</v>
      </c>
      <c r="C58" s="107">
        <v>11957</v>
      </c>
      <c r="D58" s="84"/>
      <c r="E58" s="85"/>
      <c r="F58" s="84"/>
      <c r="G58" s="85"/>
      <c r="H58" s="81"/>
      <c r="I58" s="81"/>
      <c r="J58" s="84"/>
      <c r="K58" s="85"/>
      <c r="L58" s="81"/>
      <c r="M58" s="81"/>
      <c r="N58" s="84"/>
      <c r="O58" s="85"/>
      <c r="P58" s="81"/>
      <c r="Q58" s="81"/>
      <c r="R58" s="84"/>
      <c r="S58" s="85"/>
      <c r="T58" s="81"/>
      <c r="U58" s="81"/>
      <c r="V58" s="84"/>
      <c r="W58" s="85"/>
      <c r="X58" s="81"/>
      <c r="Y58" s="81"/>
      <c r="Z58" s="84"/>
      <c r="AA58" s="85"/>
      <c r="AB58" s="81"/>
    </row>
    <row r="59" spans="1:28" x14ac:dyDescent="0.35">
      <c r="A59" s="43" t="s">
        <v>354</v>
      </c>
      <c r="B59" s="107"/>
      <c r="C59" s="142">
        <v>5165</v>
      </c>
      <c r="D59" s="84"/>
      <c r="E59" s="85"/>
      <c r="F59" s="84"/>
      <c r="G59" s="85"/>
      <c r="H59" s="81"/>
      <c r="I59" s="81"/>
      <c r="J59" s="84"/>
      <c r="K59" s="85"/>
      <c r="L59" s="81"/>
      <c r="M59" s="81"/>
      <c r="N59" s="84"/>
      <c r="O59" s="85"/>
      <c r="P59" s="81"/>
      <c r="Q59" s="81"/>
      <c r="R59" s="84"/>
      <c r="S59" s="85"/>
      <c r="T59" s="81"/>
      <c r="U59" s="81"/>
      <c r="V59" s="84"/>
      <c r="W59" s="85"/>
      <c r="X59" s="81"/>
      <c r="Y59" s="81"/>
      <c r="Z59" s="84"/>
      <c r="AA59" s="85"/>
      <c r="AB59" s="81"/>
    </row>
    <row r="60" spans="1:28" x14ac:dyDescent="0.35">
      <c r="A60" s="139" t="s">
        <v>282</v>
      </c>
      <c r="B60" s="107">
        <v>491</v>
      </c>
      <c r="C60" s="107">
        <v>491</v>
      </c>
      <c r="D60" s="84"/>
      <c r="E60" s="85"/>
      <c r="F60" s="84"/>
      <c r="G60" s="85"/>
      <c r="H60" s="81"/>
      <c r="I60" s="81"/>
      <c r="J60" s="84"/>
      <c r="K60" s="85"/>
      <c r="L60" s="81"/>
      <c r="M60" s="81"/>
      <c r="N60" s="84"/>
      <c r="O60" s="85"/>
      <c r="P60" s="81"/>
      <c r="Q60" s="81"/>
      <c r="R60" s="84">
        <v>491</v>
      </c>
      <c r="S60" s="85">
        <v>491</v>
      </c>
      <c r="T60" s="81"/>
      <c r="U60" s="81"/>
      <c r="V60" s="84"/>
      <c r="W60" s="85"/>
      <c r="X60" s="81"/>
      <c r="Y60" s="81"/>
      <c r="Z60" s="84"/>
      <c r="AA60" s="85"/>
      <c r="AB60" s="81"/>
    </row>
    <row r="61" spans="1:28" x14ac:dyDescent="0.35">
      <c r="A61" s="41" t="s">
        <v>355</v>
      </c>
      <c r="B61" s="143"/>
      <c r="C61" s="142">
        <v>116253</v>
      </c>
      <c r="D61" s="84"/>
      <c r="E61" s="85"/>
      <c r="F61" s="84"/>
      <c r="G61" s="85"/>
      <c r="H61" s="81"/>
      <c r="I61" s="81"/>
      <c r="J61" s="84"/>
      <c r="K61" s="85"/>
      <c r="L61" s="81"/>
      <c r="M61" s="81"/>
      <c r="N61" s="84"/>
      <c r="O61" s="85"/>
      <c r="P61" s="81"/>
      <c r="Q61" s="81"/>
      <c r="R61" s="84"/>
      <c r="S61" s="85"/>
      <c r="T61" s="81"/>
      <c r="U61" s="81"/>
      <c r="V61" s="84"/>
      <c r="W61" s="85"/>
      <c r="X61" s="81"/>
      <c r="Y61" s="81"/>
      <c r="Z61" s="84"/>
      <c r="AA61" s="85"/>
      <c r="AB61" s="81"/>
    </row>
    <row r="62" spans="1:28" x14ac:dyDescent="0.35">
      <c r="A62" s="42" t="s">
        <v>356</v>
      </c>
      <c r="B62" s="63"/>
      <c r="C62" s="63">
        <v>40676</v>
      </c>
      <c r="D62" s="84"/>
      <c r="E62" s="85"/>
      <c r="F62" s="84"/>
      <c r="G62" s="85"/>
      <c r="H62" s="81"/>
      <c r="I62" s="81"/>
      <c r="J62" s="84"/>
      <c r="K62" s="85"/>
      <c r="L62" s="81"/>
      <c r="M62" s="81"/>
      <c r="N62" s="84"/>
      <c r="O62" s="85"/>
      <c r="P62" s="81"/>
      <c r="Q62" s="81"/>
      <c r="R62" s="84"/>
      <c r="S62" s="85"/>
      <c r="T62" s="81"/>
      <c r="U62" s="81"/>
      <c r="V62" s="84"/>
      <c r="W62" s="85"/>
      <c r="X62" s="81"/>
      <c r="Y62" s="81"/>
      <c r="Z62" s="84"/>
      <c r="AA62" s="85"/>
      <c r="AB62" s="81"/>
    </row>
    <row r="63" spans="1:28" x14ac:dyDescent="0.35">
      <c r="A63" s="66" t="s">
        <v>357</v>
      </c>
      <c r="B63" s="107">
        <v>21652</v>
      </c>
      <c r="C63" s="107">
        <v>21652</v>
      </c>
      <c r="D63" s="84"/>
      <c r="E63" s="85"/>
      <c r="F63" s="84"/>
      <c r="G63" s="85"/>
      <c r="H63" s="81"/>
      <c r="I63" s="81"/>
      <c r="J63" s="84"/>
      <c r="K63" s="85"/>
      <c r="L63" s="81"/>
      <c r="M63" s="81"/>
      <c r="N63" s="84"/>
      <c r="O63" s="85"/>
      <c r="P63" s="81"/>
      <c r="Q63" s="81"/>
      <c r="R63" s="84"/>
      <c r="S63" s="85"/>
      <c r="T63" s="81">
        <v>21652</v>
      </c>
      <c r="U63" s="81">
        <v>21652</v>
      </c>
      <c r="V63" s="84"/>
      <c r="W63" s="85"/>
      <c r="X63" s="81"/>
      <c r="Y63" s="81"/>
      <c r="Z63" s="84"/>
      <c r="AA63" s="85"/>
      <c r="AB63" s="81"/>
    </row>
    <row r="64" spans="1:28" x14ac:dyDescent="0.35">
      <c r="A64" s="66" t="s">
        <v>358</v>
      </c>
      <c r="B64" s="107">
        <v>1749</v>
      </c>
      <c r="C64" s="107">
        <v>1749</v>
      </c>
      <c r="D64" s="84"/>
      <c r="E64" s="85"/>
      <c r="F64" s="84"/>
      <c r="G64" s="85"/>
      <c r="H64" s="81"/>
      <c r="I64" s="81"/>
      <c r="J64" s="84"/>
      <c r="K64" s="85"/>
      <c r="L64" s="81"/>
      <c r="M64" s="81"/>
      <c r="N64" s="84"/>
      <c r="O64" s="85"/>
      <c r="P64" s="81"/>
      <c r="Q64" s="81"/>
      <c r="R64" s="84"/>
      <c r="S64" s="85"/>
      <c r="T64" s="81"/>
      <c r="U64" s="81"/>
      <c r="V64" s="84">
        <v>1749</v>
      </c>
      <c r="W64" s="85">
        <v>1749</v>
      </c>
      <c r="X64" s="81"/>
      <c r="Y64" s="81"/>
      <c r="Z64" s="84"/>
      <c r="AA64" s="85"/>
      <c r="AB64" s="81"/>
    </row>
    <row r="65" spans="1:29" x14ac:dyDescent="0.35">
      <c r="A65" s="43" t="s">
        <v>359</v>
      </c>
      <c r="B65" s="107"/>
      <c r="C65" s="107">
        <v>15702</v>
      </c>
      <c r="D65" s="84"/>
      <c r="E65" s="85"/>
      <c r="F65" s="84"/>
      <c r="G65" s="85"/>
      <c r="H65" s="81"/>
      <c r="I65" s="81"/>
      <c r="J65" s="84"/>
      <c r="K65" s="85"/>
      <c r="L65" s="81"/>
      <c r="M65" s="81"/>
      <c r="N65" s="84"/>
      <c r="O65" s="85"/>
      <c r="P65" s="81"/>
      <c r="Q65" s="81"/>
      <c r="R65" s="84"/>
      <c r="S65" s="85"/>
      <c r="T65" s="81"/>
      <c r="U65" s="81"/>
      <c r="V65" s="84"/>
      <c r="W65" s="85"/>
      <c r="X65" s="81"/>
      <c r="Y65" s="81"/>
      <c r="Z65" s="84"/>
      <c r="AA65" s="85"/>
      <c r="AB65" s="81"/>
    </row>
    <row r="66" spans="1:29" x14ac:dyDescent="0.35">
      <c r="A66" s="43" t="s">
        <v>361</v>
      </c>
      <c r="B66" s="107"/>
      <c r="C66" s="107">
        <v>28000</v>
      </c>
      <c r="D66" s="84"/>
      <c r="E66" s="85"/>
      <c r="F66" s="84"/>
      <c r="G66" s="85"/>
      <c r="H66" s="81"/>
      <c r="I66" s="81"/>
      <c r="J66" s="84"/>
      <c r="K66" s="85"/>
      <c r="L66" s="81"/>
      <c r="M66" s="81"/>
      <c r="N66" s="84"/>
      <c r="O66" s="85"/>
      <c r="P66" s="81"/>
      <c r="Q66" s="81"/>
      <c r="R66" s="84"/>
      <c r="S66" s="85"/>
      <c r="T66" s="81"/>
      <c r="U66" s="81"/>
      <c r="V66" s="84"/>
      <c r="W66" s="85"/>
      <c r="X66" s="81"/>
      <c r="Y66" s="81"/>
      <c r="Z66" s="84"/>
      <c r="AA66" s="85"/>
      <c r="AB66" s="81"/>
    </row>
    <row r="67" spans="1:29" x14ac:dyDescent="0.35">
      <c r="A67" s="42" t="s">
        <v>362</v>
      </c>
      <c r="B67" s="107">
        <v>38516</v>
      </c>
      <c r="C67" s="107">
        <v>38516</v>
      </c>
      <c r="D67" s="84"/>
      <c r="E67" s="85"/>
      <c r="F67" s="84"/>
      <c r="G67" s="85"/>
      <c r="H67" s="81"/>
      <c r="I67" s="81"/>
      <c r="J67" s="84"/>
      <c r="K67" s="85"/>
      <c r="L67" s="81"/>
      <c r="M67" s="81"/>
      <c r="N67" s="84"/>
      <c r="O67" s="85"/>
      <c r="P67" s="81"/>
      <c r="Q67" s="81"/>
      <c r="R67" s="84"/>
      <c r="S67" s="85"/>
      <c r="T67" s="81"/>
      <c r="U67" s="81"/>
      <c r="V67" s="84"/>
      <c r="W67" s="85"/>
      <c r="X67" s="81"/>
      <c r="Y67" s="81"/>
      <c r="Z67" s="84">
        <v>0</v>
      </c>
      <c r="AA67" s="85"/>
      <c r="AB67" s="81"/>
    </row>
    <row r="68" spans="1:29" x14ac:dyDescent="0.35">
      <c r="A68" s="43" t="s">
        <v>363</v>
      </c>
      <c r="B68" s="107"/>
      <c r="C68" s="107">
        <v>32089</v>
      </c>
      <c r="D68" s="84"/>
      <c r="E68" s="85"/>
      <c r="F68" s="84"/>
      <c r="G68" s="85"/>
      <c r="H68" s="81"/>
      <c r="I68" s="81"/>
      <c r="J68" s="84"/>
      <c r="K68" s="85"/>
      <c r="L68" s="81"/>
      <c r="M68" s="81"/>
      <c r="N68" s="84"/>
      <c r="O68" s="85"/>
      <c r="P68" s="81"/>
      <c r="Q68" s="81"/>
      <c r="R68" s="84"/>
      <c r="S68" s="85"/>
      <c r="T68" s="81"/>
      <c r="U68" s="81"/>
      <c r="V68" s="84"/>
      <c r="W68" s="85"/>
      <c r="X68" s="81"/>
      <c r="Y68" s="81"/>
      <c r="Z68" s="84"/>
      <c r="AA68" s="85"/>
      <c r="AB68" s="81"/>
    </row>
    <row r="69" spans="1:29" x14ac:dyDescent="0.35">
      <c r="A69" s="42" t="s">
        <v>364</v>
      </c>
      <c r="B69" s="107">
        <v>36066</v>
      </c>
      <c r="C69" s="107">
        <v>36066</v>
      </c>
      <c r="D69" s="84"/>
      <c r="E69" s="85"/>
      <c r="F69" s="84"/>
      <c r="G69" s="85"/>
      <c r="H69" s="81"/>
      <c r="I69" s="81"/>
      <c r="J69" s="84"/>
      <c r="K69" s="85"/>
      <c r="L69" s="81"/>
      <c r="M69" s="81"/>
      <c r="N69" s="84"/>
      <c r="O69" s="85"/>
      <c r="P69" s="81"/>
      <c r="Q69" s="81"/>
      <c r="R69" s="84"/>
      <c r="S69" s="85"/>
      <c r="T69" s="81"/>
      <c r="U69" s="81"/>
      <c r="V69" s="84"/>
      <c r="W69" s="85"/>
      <c r="X69" s="81">
        <v>10678</v>
      </c>
      <c r="Y69" s="81">
        <v>10678</v>
      </c>
      <c r="Z69" s="84">
        <v>12354</v>
      </c>
      <c r="AA69" s="85">
        <v>12354</v>
      </c>
      <c r="AB69" s="81"/>
    </row>
    <row r="70" spans="1:29" x14ac:dyDescent="0.35">
      <c r="A70" s="43" t="s">
        <v>369</v>
      </c>
      <c r="B70" s="107">
        <v>3077</v>
      </c>
      <c r="C70" s="107">
        <v>3077</v>
      </c>
      <c r="D70" s="84"/>
      <c r="E70" s="85"/>
      <c r="F70" s="84"/>
      <c r="G70" s="85"/>
      <c r="H70" s="81"/>
      <c r="I70" s="81"/>
      <c r="J70" s="84"/>
      <c r="K70" s="85"/>
      <c r="L70" s="81"/>
      <c r="M70" s="81"/>
      <c r="N70" s="84"/>
      <c r="O70" s="85"/>
      <c r="P70" s="81"/>
      <c r="Q70" s="81"/>
      <c r="R70" s="84"/>
      <c r="S70" s="85"/>
      <c r="T70" s="81"/>
      <c r="U70" s="81"/>
      <c r="V70" s="84"/>
      <c r="W70" s="85"/>
      <c r="X70" s="81"/>
      <c r="Y70" s="81"/>
      <c r="Z70" s="84">
        <v>3077</v>
      </c>
      <c r="AA70" s="85">
        <v>3077</v>
      </c>
      <c r="AB70" s="81"/>
    </row>
    <row r="71" spans="1:29" x14ac:dyDescent="0.35">
      <c r="A71" s="42" t="s">
        <v>360</v>
      </c>
      <c r="B71" s="83">
        <v>118578</v>
      </c>
      <c r="C71" s="83">
        <v>118578</v>
      </c>
      <c r="D71" s="84"/>
      <c r="E71" s="85"/>
      <c r="F71" s="84"/>
      <c r="G71" s="85"/>
      <c r="H71" s="81"/>
      <c r="I71" s="81"/>
      <c r="J71" s="84"/>
      <c r="K71" s="85"/>
      <c r="L71" s="81"/>
      <c r="M71" s="81"/>
      <c r="N71" s="84"/>
      <c r="O71" s="85"/>
      <c r="P71" s="81"/>
      <c r="Q71" s="81"/>
      <c r="R71" s="84"/>
      <c r="S71" s="85"/>
      <c r="T71" s="81"/>
      <c r="U71" s="81"/>
      <c r="V71" s="84"/>
      <c r="W71" s="85"/>
      <c r="X71" s="81"/>
      <c r="Y71" s="81"/>
      <c r="Z71" s="84">
        <v>45274</v>
      </c>
      <c r="AA71" s="85">
        <v>45274</v>
      </c>
      <c r="AB71" s="87" t="s">
        <v>153</v>
      </c>
    </row>
    <row r="72" spans="1:29" x14ac:dyDescent="0.35">
      <c r="A72" s="88" t="s">
        <v>155</v>
      </c>
      <c r="B72" s="89">
        <f>SUM(B3:B71)</f>
        <v>1385005.46</v>
      </c>
      <c r="C72" s="89">
        <f>SUM(C3:C71)</f>
        <v>2036375.64</v>
      </c>
      <c r="D72" s="89">
        <f>SUM(D3:D71)</f>
        <v>26802</v>
      </c>
      <c r="E72" s="89"/>
      <c r="F72" s="89">
        <f>SUM(F3:F71)</f>
        <v>48461</v>
      </c>
      <c r="G72" s="89"/>
      <c r="H72" s="89">
        <f>SUM(H3:H71)</f>
        <v>65002</v>
      </c>
      <c r="I72" s="89"/>
      <c r="J72" s="89">
        <f>SUM(J3:J71)</f>
        <v>107172.34</v>
      </c>
      <c r="K72" s="89"/>
      <c r="L72" s="89">
        <f>SUM(L3:L71)</f>
        <v>10172</v>
      </c>
      <c r="M72" s="89"/>
      <c r="N72" s="89">
        <f>SUM(N3:N71)</f>
        <v>131569.47</v>
      </c>
      <c r="O72" s="89"/>
      <c r="P72" s="89">
        <f>SUM(P3:P71)</f>
        <v>120665</v>
      </c>
      <c r="Q72" s="89"/>
      <c r="R72" s="89">
        <f>SUM(R3:R71)</f>
        <v>62022.400000000001</v>
      </c>
      <c r="S72" s="89"/>
      <c r="T72" s="89">
        <f>SUM(T3:T71)</f>
        <v>115231.47</v>
      </c>
      <c r="U72" s="89"/>
      <c r="V72" s="89">
        <f>SUM(V3:V71)</f>
        <v>98006</v>
      </c>
      <c r="W72" s="89"/>
      <c r="X72" s="89">
        <f>SUM(X3:X71)</f>
        <v>62661</v>
      </c>
      <c r="Y72" s="89"/>
      <c r="Z72" s="89">
        <f>SUM(Z3:Z71)</f>
        <v>141436.9</v>
      </c>
      <c r="AA72" s="90"/>
      <c r="AB72" s="91">
        <f>SUM(D72:AA72)</f>
        <v>989201.58</v>
      </c>
      <c r="AC72" s="69" t="s">
        <v>150</v>
      </c>
    </row>
    <row r="73" spans="1:29" x14ac:dyDescent="0.35">
      <c r="A73" s="92" t="s">
        <v>226</v>
      </c>
      <c r="B73" s="93"/>
      <c r="C73" s="93"/>
      <c r="D73" s="93"/>
      <c r="E73" s="93">
        <f>SUM(E3:E72)</f>
        <v>26802</v>
      </c>
      <c r="F73" s="93"/>
      <c r="G73" s="93">
        <f>SUM(G3:G72)</f>
        <v>48461</v>
      </c>
      <c r="H73" s="93"/>
      <c r="I73" s="93">
        <f>SUM(I3:I72)</f>
        <v>65002</v>
      </c>
      <c r="J73" s="93"/>
      <c r="K73" s="93">
        <f>SUM(K3:K72)</f>
        <v>107173</v>
      </c>
      <c r="L73" s="93"/>
      <c r="M73" s="93">
        <f>SUM(M3:M72)</f>
        <v>10172</v>
      </c>
      <c r="N73" s="93"/>
      <c r="O73" s="93">
        <f>SUM(O3:O72)</f>
        <v>131569</v>
      </c>
      <c r="P73" s="93"/>
      <c r="Q73" s="93">
        <f>SUM(Q3:Q72)</f>
        <v>120665</v>
      </c>
      <c r="R73" s="93"/>
      <c r="S73" s="93">
        <f>SUM(S3:S72)</f>
        <v>62022</v>
      </c>
      <c r="T73" s="93"/>
      <c r="U73" s="93">
        <f>SUM(U3:U72)</f>
        <v>115231</v>
      </c>
      <c r="V73" s="93"/>
      <c r="W73" s="93">
        <f>SUM(W3:W72)</f>
        <v>98006</v>
      </c>
      <c r="X73" s="93"/>
      <c r="Y73" s="93">
        <f>SUM(Y3:Y72)</f>
        <v>62661</v>
      </c>
      <c r="Z73" s="93"/>
      <c r="AA73" s="93">
        <f>SUM(AA3:AA72)</f>
        <v>141437</v>
      </c>
      <c r="AB73" s="91">
        <f>SUM(D73:AA73)</f>
        <v>989201</v>
      </c>
      <c r="AC73" s="69" t="s">
        <v>151</v>
      </c>
    </row>
    <row r="74" spans="1:29" x14ac:dyDescent="0.35">
      <c r="A74" s="72" t="s">
        <v>225</v>
      </c>
      <c r="B74" s="94"/>
      <c r="C74" s="94"/>
      <c r="D74" s="94">
        <f>D72</f>
        <v>26802</v>
      </c>
      <c r="E74" s="94"/>
      <c r="F74" s="94">
        <f>F72+D74</f>
        <v>75263</v>
      </c>
      <c r="G74" s="94"/>
      <c r="H74" s="94">
        <f>H72+F74</f>
        <v>140265</v>
      </c>
      <c r="I74" s="94"/>
      <c r="J74" s="94">
        <f>J72+H74</f>
        <v>247437.34</v>
      </c>
      <c r="K74" s="94"/>
      <c r="L74" s="94">
        <f>L72+J74</f>
        <v>257609.34</v>
      </c>
      <c r="M74" s="94"/>
      <c r="N74" s="94">
        <f>N72+L74</f>
        <v>389178.81</v>
      </c>
      <c r="O74" s="94"/>
      <c r="P74" s="94">
        <f>P72+N74</f>
        <v>509843.81</v>
      </c>
      <c r="Q74" s="94"/>
      <c r="R74" s="94">
        <f>R72+P74</f>
        <v>571866.21</v>
      </c>
      <c r="S74" s="94"/>
      <c r="T74" s="94">
        <f>T72+R74</f>
        <v>687097.67999999993</v>
      </c>
      <c r="U74" s="94"/>
      <c r="V74" s="94">
        <f>V72+T74</f>
        <v>785103.67999999993</v>
      </c>
      <c r="W74" s="94"/>
      <c r="X74" s="94">
        <f>X72+V74</f>
        <v>847764.67999999993</v>
      </c>
      <c r="Y74" s="94"/>
      <c r="Z74" s="94">
        <f>Z72+X74</f>
        <v>989201.58</v>
      </c>
      <c r="AA74" s="94"/>
      <c r="AB74" s="91"/>
    </row>
    <row r="75" spans="1:29" x14ac:dyDescent="0.35">
      <c r="A75" s="95" t="s">
        <v>156</v>
      </c>
      <c r="B75" s="96"/>
      <c r="C75" s="96"/>
      <c r="D75" s="96"/>
      <c r="E75" s="96">
        <f>E73</f>
        <v>26802</v>
      </c>
      <c r="F75" s="96"/>
      <c r="G75" s="96">
        <f>G73+E75</f>
        <v>75263</v>
      </c>
      <c r="H75" s="96"/>
      <c r="I75" s="96">
        <f>I73+G75</f>
        <v>140265</v>
      </c>
      <c r="J75" s="96"/>
      <c r="K75" s="96">
        <f>K73+I75</f>
        <v>247438</v>
      </c>
      <c r="L75" s="96"/>
      <c r="M75" s="96">
        <f>M73+K75</f>
        <v>257610</v>
      </c>
      <c r="N75" s="96"/>
      <c r="O75" s="96">
        <f>O73+M75</f>
        <v>389179</v>
      </c>
      <c r="P75" s="96"/>
      <c r="Q75" s="96">
        <f>Q73+O75</f>
        <v>509844</v>
      </c>
      <c r="R75" s="96"/>
      <c r="S75" s="96">
        <f>S73+Q75</f>
        <v>571866</v>
      </c>
      <c r="T75" s="96"/>
      <c r="U75" s="96">
        <f>U73+S75</f>
        <v>687097</v>
      </c>
      <c r="V75" s="96"/>
      <c r="W75" s="96">
        <f>W73+U75</f>
        <v>785103</v>
      </c>
      <c r="X75" s="96"/>
      <c r="Y75" s="96">
        <f>Y73+W75</f>
        <v>847764</v>
      </c>
      <c r="Z75" s="96"/>
      <c r="AA75" s="97">
        <f>AA73+Y75</f>
        <v>989201</v>
      </c>
      <c r="AB75" s="81"/>
    </row>
    <row r="76" spans="1:29" x14ac:dyDescent="0.35"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</row>
    <row r="77" spans="1:29" x14ac:dyDescent="0.35"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</row>
    <row r="78" spans="1:29" x14ac:dyDescent="0.35"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</row>
    <row r="79" spans="1:29" x14ac:dyDescent="0.35">
      <c r="A79" s="60" t="s">
        <v>304</v>
      </c>
      <c r="B79" s="98"/>
      <c r="C79" s="98"/>
      <c r="D79" s="98"/>
      <c r="E79" s="98">
        <f>'2017-18'!E76</f>
        <v>111463</v>
      </c>
      <c r="F79" s="98"/>
      <c r="G79" s="98">
        <f>'2017-18'!G76</f>
        <v>208926.18</v>
      </c>
      <c r="H79" s="98"/>
      <c r="I79" s="98">
        <f>'2017-18'!I76</f>
        <v>355070.18</v>
      </c>
      <c r="J79" s="98"/>
      <c r="K79" s="98">
        <f>'2017-18'!K76</f>
        <v>363091.18</v>
      </c>
      <c r="L79" s="98"/>
      <c r="M79" s="98">
        <f>'2017-18'!M76</f>
        <v>476992.18</v>
      </c>
      <c r="N79" s="98"/>
      <c r="O79" s="98">
        <f>'2017-18'!O76</f>
        <v>561427.17999999993</v>
      </c>
      <c r="P79" s="98"/>
      <c r="Q79" s="98">
        <f>'2017-18'!Q76</f>
        <v>657549.27999999991</v>
      </c>
      <c r="R79" s="98"/>
      <c r="S79" s="98">
        <f>'2017-18'!S76</f>
        <v>771563.27999999991</v>
      </c>
      <c r="T79" s="98"/>
      <c r="U79" s="98">
        <f>'2017-18'!U76</f>
        <v>888586.27999999991</v>
      </c>
      <c r="V79" s="98"/>
      <c r="W79" s="98">
        <f>'2017-18'!W76</f>
        <v>995143.32</v>
      </c>
      <c r="X79" s="98"/>
      <c r="Y79" s="98">
        <v>1000486</v>
      </c>
      <c r="Z79" s="98"/>
      <c r="AA79" s="99">
        <v>1106623</v>
      </c>
      <c r="AB79" s="81"/>
    </row>
    <row r="80" spans="1:29" x14ac:dyDescent="0.35">
      <c r="A80" s="29" t="s">
        <v>352</v>
      </c>
      <c r="B80" s="96"/>
      <c r="C80" s="96"/>
      <c r="D80" s="96"/>
      <c r="E80" s="96">
        <f>E75</f>
        <v>26802</v>
      </c>
      <c r="F80" s="96"/>
      <c r="G80" s="96">
        <f>G75</f>
        <v>75263</v>
      </c>
      <c r="H80" s="96"/>
      <c r="I80" s="96">
        <f>I75</f>
        <v>140265</v>
      </c>
      <c r="J80" s="96"/>
      <c r="K80" s="96">
        <f>K75</f>
        <v>247438</v>
      </c>
      <c r="L80" s="96"/>
      <c r="M80" s="96">
        <f>M75</f>
        <v>257610</v>
      </c>
      <c r="N80" s="96"/>
      <c r="O80" s="96">
        <f>O75</f>
        <v>389179</v>
      </c>
      <c r="P80" s="96"/>
      <c r="Q80" s="96">
        <f>Q75</f>
        <v>509844</v>
      </c>
      <c r="R80" s="96"/>
      <c r="S80" s="96">
        <f>S75</f>
        <v>571866</v>
      </c>
      <c r="T80" s="96"/>
      <c r="U80" s="96">
        <f>U75</f>
        <v>687097</v>
      </c>
      <c r="V80" s="96"/>
      <c r="W80" s="96">
        <f>W75</f>
        <v>785103</v>
      </c>
      <c r="X80" s="96"/>
      <c r="Y80" s="96">
        <f>Y75</f>
        <v>847764</v>
      </c>
      <c r="Z80" s="96"/>
      <c r="AA80" s="97">
        <f>AA75</f>
        <v>989201</v>
      </c>
      <c r="AB80" s="81"/>
    </row>
    <row r="81" spans="1:28" x14ac:dyDescent="0.35">
      <c r="A81" s="69" t="s">
        <v>160</v>
      </c>
      <c r="AA81" s="146">
        <f>AA79/AA80</f>
        <v>1.1187038832350553</v>
      </c>
      <c r="AB81" s="145">
        <f>AA8-12%</f>
        <v>-0.12</v>
      </c>
    </row>
  </sheetData>
  <mergeCells count="12"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1"/>
  <pageMargins left="0.25" right="0.25" top="0.75" bottom="0.75" header="0.3" footer="0.3"/>
  <pageSetup paperSize="8" scale="6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4"/>
  <sheetViews>
    <sheetView topLeftCell="A8" zoomScaleNormal="100" workbookViewId="0">
      <selection activeCell="B11" sqref="B11"/>
    </sheetView>
  </sheetViews>
  <sheetFormatPr baseColWidth="10" defaultColWidth="11" defaultRowHeight="13.5" x14ac:dyDescent="0.35"/>
  <cols>
    <col min="1" max="1" width="25.5" style="69" customWidth="1"/>
    <col min="2" max="2" width="3.125" style="69" customWidth="1"/>
    <col min="3" max="4" width="10.625" style="69" customWidth="1"/>
    <col min="5" max="22" width="8.125" style="69" customWidth="1"/>
    <col min="23" max="23" width="8.625" style="69" customWidth="1"/>
    <col min="24" max="24" width="8.125" style="69" customWidth="1"/>
    <col min="25" max="25" width="8.625" style="69" customWidth="1"/>
    <col min="26" max="26" width="8.125" style="69" customWidth="1"/>
    <col min="27" max="27" width="8.875" style="69" customWidth="1"/>
    <col min="28" max="28" width="10" style="69" customWidth="1"/>
    <col min="29" max="16384" width="11" style="69"/>
  </cols>
  <sheetData>
    <row r="1" spans="1:29" x14ac:dyDescent="0.35">
      <c r="A1" s="67"/>
      <c r="B1" s="68"/>
      <c r="C1" s="68"/>
      <c r="D1" s="68"/>
      <c r="E1" s="438" t="s">
        <v>142</v>
      </c>
      <c r="F1" s="439"/>
      <c r="G1" s="438" t="s">
        <v>143</v>
      </c>
      <c r="H1" s="439"/>
      <c r="I1" s="437" t="s">
        <v>144</v>
      </c>
      <c r="J1" s="437"/>
      <c r="K1" s="440" t="s">
        <v>138</v>
      </c>
      <c r="L1" s="439"/>
      <c r="M1" s="437" t="s">
        <v>139</v>
      </c>
      <c r="N1" s="437"/>
      <c r="O1" s="438" t="s">
        <v>140</v>
      </c>
      <c r="P1" s="439"/>
      <c r="Q1" s="437" t="s">
        <v>141</v>
      </c>
      <c r="R1" s="437"/>
      <c r="S1" s="438" t="s">
        <v>145</v>
      </c>
      <c r="T1" s="439"/>
      <c r="U1" s="437" t="s">
        <v>146</v>
      </c>
      <c r="V1" s="437"/>
      <c r="W1" s="438" t="s">
        <v>147</v>
      </c>
      <c r="X1" s="439"/>
      <c r="Y1" s="437" t="s">
        <v>148</v>
      </c>
      <c r="Z1" s="437"/>
      <c r="AA1" s="438" t="s">
        <v>149</v>
      </c>
      <c r="AB1" s="439"/>
    </row>
    <row r="2" spans="1:29" ht="15" x14ac:dyDescent="0.4">
      <c r="A2" s="70" t="s">
        <v>137</v>
      </c>
      <c r="B2" s="155"/>
      <c r="C2" s="71" t="s">
        <v>152</v>
      </c>
      <c r="D2" s="71" t="s">
        <v>268</v>
      </c>
      <c r="E2" s="72" t="s">
        <v>150</v>
      </c>
      <c r="F2" s="73" t="s">
        <v>151</v>
      </c>
      <c r="G2" s="72" t="s">
        <v>150</v>
      </c>
      <c r="H2" s="74" t="s">
        <v>151</v>
      </c>
      <c r="I2" s="75" t="s">
        <v>150</v>
      </c>
      <c r="J2" s="76" t="s">
        <v>151</v>
      </c>
      <c r="K2" s="72" t="s">
        <v>150</v>
      </c>
      <c r="L2" s="74" t="s">
        <v>151</v>
      </c>
      <c r="M2" s="75" t="s">
        <v>150</v>
      </c>
      <c r="N2" s="76" t="s">
        <v>151</v>
      </c>
      <c r="O2" s="72" t="s">
        <v>150</v>
      </c>
      <c r="P2" s="74" t="s">
        <v>151</v>
      </c>
      <c r="Q2" s="75" t="s">
        <v>150</v>
      </c>
      <c r="R2" s="76" t="s">
        <v>151</v>
      </c>
      <c r="S2" s="72" t="s">
        <v>150</v>
      </c>
      <c r="T2" s="74" t="s">
        <v>151</v>
      </c>
      <c r="U2" s="75" t="s">
        <v>150</v>
      </c>
      <c r="V2" s="76" t="s">
        <v>151</v>
      </c>
      <c r="W2" s="72" t="s">
        <v>150</v>
      </c>
      <c r="X2" s="74" t="s">
        <v>151</v>
      </c>
      <c r="Y2" s="75" t="s">
        <v>150</v>
      </c>
      <c r="Z2" s="76" t="s">
        <v>151</v>
      </c>
      <c r="AA2" s="72" t="s">
        <v>150</v>
      </c>
      <c r="AB2" s="74" t="s">
        <v>151</v>
      </c>
    </row>
    <row r="3" spans="1:29" x14ac:dyDescent="0.35">
      <c r="A3" s="36" t="s">
        <v>400</v>
      </c>
      <c r="B3" s="165"/>
      <c r="C3" s="77">
        <f>882+300+1211</f>
        <v>2393</v>
      </c>
      <c r="D3" s="166">
        <f>882+300+1211</f>
        <v>2393</v>
      </c>
      <c r="E3" s="78"/>
      <c r="F3" s="79"/>
      <c r="G3" s="45">
        <f>423+459</f>
        <v>882</v>
      </c>
      <c r="H3" s="79">
        <v>882</v>
      </c>
      <c r="I3" s="78"/>
      <c r="J3" s="80"/>
      <c r="K3" s="154">
        <v>300</v>
      </c>
      <c r="L3" s="79">
        <v>300</v>
      </c>
      <c r="M3" s="78">
        <v>1211.0999999999999</v>
      </c>
      <c r="N3" s="80">
        <v>1211.0999999999999</v>
      </c>
      <c r="O3" s="78"/>
      <c r="P3" s="79"/>
      <c r="Q3" s="84">
        <v>715.41</v>
      </c>
      <c r="R3" s="80">
        <v>715.41</v>
      </c>
      <c r="S3" s="78"/>
      <c r="T3" s="79"/>
      <c r="U3" s="78">
        <f>276.26+1078.87</f>
        <v>1355.1299999999999</v>
      </c>
      <c r="V3" s="79">
        <v>1355</v>
      </c>
      <c r="W3" s="78"/>
      <c r="X3" s="79"/>
      <c r="Y3" s="78"/>
      <c r="Z3" s="79"/>
      <c r="AA3" s="78">
        <v>1334.3</v>
      </c>
      <c r="AB3" s="79">
        <v>1334.3</v>
      </c>
      <c r="AC3" s="81"/>
    </row>
    <row r="4" spans="1:29" x14ac:dyDescent="0.35">
      <c r="A4" s="66" t="s">
        <v>347</v>
      </c>
      <c r="B4" s="167"/>
      <c r="C4" s="49">
        <f>1231+1000+564</f>
        <v>2795</v>
      </c>
      <c r="D4" s="168">
        <v>2795</v>
      </c>
      <c r="E4" s="84"/>
      <c r="F4" s="85"/>
      <c r="G4" s="84"/>
      <c r="H4" s="85"/>
      <c r="I4" s="84">
        <v>1000</v>
      </c>
      <c r="J4" s="81">
        <v>1000</v>
      </c>
      <c r="K4" s="84">
        <v>1230.8699999999999</v>
      </c>
      <c r="L4" s="85">
        <v>1230.8699999999999</v>
      </c>
      <c r="M4" s="84">
        <v>564.03</v>
      </c>
      <c r="N4" s="81">
        <v>564.03</v>
      </c>
      <c r="O4" s="84"/>
      <c r="P4" s="85"/>
      <c r="Q4" s="84">
        <f>988.4+183.02</f>
        <v>1171.42</v>
      </c>
      <c r="R4" s="81">
        <v>1171</v>
      </c>
      <c r="S4" s="84">
        <f>132.5+262.38</f>
        <v>394.88</v>
      </c>
      <c r="T4" s="85">
        <v>395</v>
      </c>
      <c r="U4" s="84"/>
      <c r="V4" s="85"/>
      <c r="W4" s="84">
        <v>934</v>
      </c>
      <c r="X4" s="85">
        <v>934</v>
      </c>
      <c r="Y4" s="84"/>
      <c r="Z4" s="85"/>
      <c r="AA4" s="84"/>
      <c r="AB4" s="85"/>
      <c r="AC4" s="81"/>
    </row>
    <row r="5" spans="1:29" x14ac:dyDescent="0.35">
      <c r="A5" s="82"/>
      <c r="B5" s="169"/>
      <c r="C5" s="83"/>
      <c r="D5" s="168"/>
      <c r="E5" s="84"/>
      <c r="F5" s="85"/>
      <c r="G5" s="84"/>
      <c r="H5" s="85"/>
      <c r="I5" s="84"/>
      <c r="J5" s="81"/>
      <c r="K5" s="84"/>
      <c r="L5" s="85"/>
      <c r="M5" s="84"/>
      <c r="N5" s="81"/>
      <c r="O5" s="84"/>
      <c r="P5" s="85"/>
      <c r="Q5" s="84"/>
      <c r="R5" s="81"/>
      <c r="S5" s="84"/>
      <c r="T5" s="85"/>
      <c r="U5" s="84"/>
      <c r="V5" s="85"/>
      <c r="W5" s="84"/>
      <c r="X5" s="85"/>
      <c r="Y5" s="84"/>
      <c r="Z5" s="85"/>
      <c r="AA5" s="84"/>
      <c r="AB5" s="85"/>
      <c r="AC5" s="81"/>
    </row>
    <row r="6" spans="1:29" x14ac:dyDescent="0.35">
      <c r="A6" s="149" t="s">
        <v>415</v>
      </c>
      <c r="B6" s="180"/>
      <c r="C6" s="83"/>
      <c r="D6" s="175">
        <v>97245</v>
      </c>
      <c r="E6" s="163"/>
      <c r="F6" s="85"/>
      <c r="G6" s="84"/>
      <c r="H6" s="85"/>
      <c r="I6" s="50"/>
      <c r="J6" s="81"/>
      <c r="K6" s="84"/>
      <c r="L6" s="85"/>
      <c r="M6" s="84"/>
      <c r="N6" s="81"/>
      <c r="O6" s="84"/>
      <c r="P6" s="85"/>
      <c r="Q6" s="84"/>
      <c r="R6" s="81"/>
      <c r="S6" s="84"/>
      <c r="T6" s="85"/>
      <c r="U6" s="84"/>
      <c r="V6" s="85"/>
      <c r="W6" s="84"/>
      <c r="X6" s="85"/>
      <c r="Y6" s="84"/>
      <c r="Z6" s="85"/>
      <c r="AA6" s="84"/>
      <c r="AB6" s="85"/>
      <c r="AC6" s="162">
        <f t="shared" ref="AC6:AC37" si="0">D6-U6-W6-Y6-AA6</f>
        <v>97245</v>
      </c>
    </row>
    <row r="7" spans="1:29" x14ac:dyDescent="0.35">
      <c r="A7" s="149" t="s">
        <v>418</v>
      </c>
      <c r="B7" s="180"/>
      <c r="C7" s="83"/>
      <c r="D7" s="175">
        <v>137101</v>
      </c>
      <c r="E7" s="163"/>
      <c r="F7" s="85"/>
      <c r="G7" s="84"/>
      <c r="H7" s="85"/>
      <c r="I7" s="50"/>
      <c r="J7" s="81"/>
      <c r="K7" s="84"/>
      <c r="L7" s="85"/>
      <c r="M7" s="84"/>
      <c r="N7" s="81"/>
      <c r="O7" s="84"/>
      <c r="P7" s="85"/>
      <c r="Q7" s="84"/>
      <c r="R7" s="81"/>
      <c r="S7" s="84"/>
      <c r="T7" s="85"/>
      <c r="U7" s="84"/>
      <c r="V7" s="85"/>
      <c r="W7" s="84"/>
      <c r="X7" s="85"/>
      <c r="Y7" s="84"/>
      <c r="Z7" s="85"/>
      <c r="AA7" s="84"/>
      <c r="AB7" s="85"/>
      <c r="AC7" s="162">
        <f t="shared" si="0"/>
        <v>137101</v>
      </c>
    </row>
    <row r="8" spans="1:29" x14ac:dyDescent="0.35">
      <c r="A8" s="159" t="s">
        <v>403</v>
      </c>
      <c r="B8" s="170"/>
      <c r="C8" s="63"/>
      <c r="D8" s="176">
        <v>46977</v>
      </c>
      <c r="E8" s="84"/>
      <c r="F8" s="85"/>
      <c r="G8" s="84"/>
      <c r="H8" s="85"/>
      <c r="I8" s="84"/>
      <c r="J8" s="81"/>
      <c r="K8" s="84"/>
      <c r="L8" s="85"/>
      <c r="M8" s="84"/>
      <c r="N8" s="81"/>
      <c r="O8" s="84"/>
      <c r="P8" s="85"/>
      <c r="Q8" s="84"/>
      <c r="R8" s="81"/>
      <c r="S8" s="84"/>
      <c r="T8" s="85"/>
      <c r="U8" s="84"/>
      <c r="V8" s="85"/>
      <c r="W8" s="84"/>
      <c r="X8" s="85"/>
      <c r="Y8" s="84"/>
      <c r="Z8" s="85"/>
      <c r="AA8" s="84"/>
      <c r="AB8" s="85"/>
      <c r="AC8" s="162">
        <f t="shared" si="0"/>
        <v>46977</v>
      </c>
    </row>
    <row r="9" spans="1:29" x14ac:dyDescent="0.35">
      <c r="A9" s="159" t="s">
        <v>404</v>
      </c>
      <c r="B9" s="170"/>
      <c r="C9" s="63"/>
      <c r="D9" s="175">
        <v>45339</v>
      </c>
      <c r="E9" s="84"/>
      <c r="F9" s="85"/>
      <c r="G9" s="84"/>
      <c r="H9" s="85"/>
      <c r="I9" s="84"/>
      <c r="J9" s="81"/>
      <c r="K9" s="84"/>
      <c r="L9" s="85"/>
      <c r="M9" s="84"/>
      <c r="N9" s="81"/>
      <c r="O9" s="84"/>
      <c r="P9" s="85"/>
      <c r="Q9" s="84"/>
      <c r="R9" s="81"/>
      <c r="S9" s="84"/>
      <c r="T9" s="85"/>
      <c r="U9" s="84"/>
      <c r="V9" s="85"/>
      <c r="W9" s="84"/>
      <c r="X9" s="85"/>
      <c r="Y9" s="84"/>
      <c r="Z9" s="85"/>
      <c r="AA9" s="84"/>
      <c r="AB9" s="85"/>
      <c r="AC9" s="162">
        <f t="shared" si="0"/>
        <v>45339</v>
      </c>
    </row>
    <row r="10" spans="1:29" x14ac:dyDescent="0.35">
      <c r="A10" s="160" t="s">
        <v>383</v>
      </c>
      <c r="B10" s="180"/>
      <c r="C10" s="178">
        <v>43205</v>
      </c>
      <c r="D10" s="175">
        <v>43205</v>
      </c>
      <c r="E10" s="163"/>
      <c r="F10" s="85"/>
      <c r="G10" s="84"/>
      <c r="H10" s="85"/>
      <c r="I10" s="50" t="s">
        <v>91</v>
      </c>
      <c r="J10" s="81"/>
      <c r="K10" s="84"/>
      <c r="L10" s="85"/>
      <c r="M10" s="84"/>
      <c r="N10" s="81"/>
      <c r="O10" s="84"/>
      <c r="P10" s="85"/>
      <c r="Q10" s="84"/>
      <c r="R10" s="81"/>
      <c r="S10" s="84"/>
      <c r="T10" s="85"/>
      <c r="U10" s="84"/>
      <c r="V10" s="85"/>
      <c r="W10" s="84"/>
      <c r="X10" s="85"/>
      <c r="Y10" s="84"/>
      <c r="Z10" s="85"/>
      <c r="AA10" s="84"/>
      <c r="AB10" s="85"/>
      <c r="AC10" s="162">
        <f>D10-U10-W10-Y10-AA10</f>
        <v>43205</v>
      </c>
    </row>
    <row r="11" spans="1:29" x14ac:dyDescent="0.35">
      <c r="A11" s="159" t="s">
        <v>416</v>
      </c>
      <c r="B11" s="180"/>
      <c r="C11" s="178">
        <v>23403</v>
      </c>
      <c r="D11" s="175">
        <v>23403</v>
      </c>
      <c r="E11" s="163"/>
      <c r="F11" s="85"/>
      <c r="G11" s="84"/>
      <c r="H11" s="85"/>
      <c r="I11" s="50"/>
      <c r="J11" s="81"/>
      <c r="K11" s="84"/>
      <c r="L11" s="85"/>
      <c r="M11" s="84"/>
      <c r="N11" s="81"/>
      <c r="O11" s="84"/>
      <c r="P11" s="85"/>
      <c r="Q11" s="84"/>
      <c r="R11" s="81"/>
      <c r="S11" s="84"/>
      <c r="T11" s="85"/>
      <c r="U11" s="84"/>
      <c r="V11" s="85"/>
      <c r="W11" s="84"/>
      <c r="X11" s="85"/>
      <c r="Y11" s="84"/>
      <c r="Z11" s="85"/>
      <c r="AA11" s="84"/>
      <c r="AB11" s="85"/>
      <c r="AC11" s="162">
        <f>D11-U11-W11-Y11-AA11</f>
        <v>23403</v>
      </c>
    </row>
    <row r="12" spans="1:29" x14ac:dyDescent="0.35">
      <c r="A12" s="160" t="s">
        <v>423</v>
      </c>
      <c r="B12" s="180"/>
      <c r="C12" s="83">
        <v>51345</v>
      </c>
      <c r="D12" s="175">
        <v>51345</v>
      </c>
      <c r="E12" s="163"/>
      <c r="F12" s="85"/>
      <c r="G12" s="84"/>
      <c r="H12" s="85"/>
      <c r="I12" s="50"/>
      <c r="J12" s="81"/>
      <c r="K12" s="84"/>
      <c r="L12" s="85"/>
      <c r="M12" s="84"/>
      <c r="N12" s="81"/>
      <c r="O12" s="84"/>
      <c r="P12" s="85"/>
      <c r="Q12" s="84"/>
      <c r="R12" s="81"/>
      <c r="S12" s="84"/>
      <c r="T12" s="85"/>
      <c r="U12" s="84"/>
      <c r="V12" s="85"/>
      <c r="W12" s="84"/>
      <c r="X12" s="85"/>
      <c r="Y12" s="84"/>
      <c r="Z12" s="85"/>
      <c r="AA12" s="84"/>
      <c r="AB12" s="85"/>
      <c r="AC12" s="162">
        <f>D12-U12-W12-Y12-AA12</f>
        <v>51345</v>
      </c>
    </row>
    <row r="13" spans="1:29" x14ac:dyDescent="0.35">
      <c r="A13" s="159" t="s">
        <v>405</v>
      </c>
      <c r="B13" s="170"/>
      <c r="C13" s="63">
        <v>70682</v>
      </c>
      <c r="D13" s="175">
        <v>70682</v>
      </c>
      <c r="E13" s="84"/>
      <c r="F13" s="85"/>
      <c r="G13" s="84"/>
      <c r="H13" s="85"/>
      <c r="I13" s="84"/>
      <c r="J13" s="81"/>
      <c r="K13" s="84"/>
      <c r="L13" s="85"/>
      <c r="M13" s="84"/>
      <c r="N13" s="81"/>
      <c r="O13" s="84"/>
      <c r="P13" s="85"/>
      <c r="Q13" s="84"/>
      <c r="R13" s="81"/>
      <c r="S13" s="84"/>
      <c r="T13" s="85"/>
      <c r="U13" s="84"/>
      <c r="V13" s="85"/>
      <c r="W13" s="84"/>
      <c r="X13" s="85"/>
      <c r="Y13" s="84"/>
      <c r="Z13" s="85"/>
      <c r="AA13" s="84"/>
      <c r="AB13" s="85"/>
      <c r="AC13" s="162">
        <f t="shared" si="0"/>
        <v>70682</v>
      </c>
    </row>
    <row r="14" spans="1:29" x14ac:dyDescent="0.35">
      <c r="A14" s="159" t="s">
        <v>382</v>
      </c>
      <c r="B14" s="170"/>
      <c r="C14" s="63">
        <v>35372</v>
      </c>
      <c r="D14" s="175">
        <v>35372.239999999998</v>
      </c>
      <c r="E14" s="84"/>
      <c r="F14" s="85"/>
      <c r="G14" s="84"/>
      <c r="H14" s="85"/>
      <c r="I14" s="84"/>
      <c r="J14" s="81"/>
      <c r="K14" s="84"/>
      <c r="L14" s="85"/>
      <c r="M14" s="84"/>
      <c r="N14" s="81"/>
      <c r="O14" s="84"/>
      <c r="P14" s="85"/>
      <c r="Q14" s="84"/>
      <c r="R14" s="81"/>
      <c r="S14" s="84"/>
      <c r="T14" s="85"/>
      <c r="U14" s="84"/>
      <c r="V14" s="85"/>
      <c r="W14" s="84"/>
      <c r="X14" s="85"/>
      <c r="Y14" s="84"/>
      <c r="Z14" s="85"/>
      <c r="AA14" s="84"/>
      <c r="AB14" s="85"/>
      <c r="AC14" s="162">
        <f t="shared" si="0"/>
        <v>35372.239999999998</v>
      </c>
    </row>
    <row r="15" spans="1:29" x14ac:dyDescent="0.35">
      <c r="A15" s="149" t="s">
        <v>395</v>
      </c>
      <c r="B15" s="170"/>
      <c r="C15" s="178"/>
      <c r="D15" s="175">
        <v>68020</v>
      </c>
      <c r="E15" s="84"/>
      <c r="F15" s="85"/>
      <c r="G15" s="84"/>
      <c r="H15" s="85"/>
      <c r="I15" s="84"/>
      <c r="J15" s="81"/>
      <c r="K15" s="84"/>
      <c r="L15" s="85"/>
      <c r="M15" s="84"/>
      <c r="N15" s="81"/>
      <c r="O15" s="84"/>
      <c r="P15" s="85"/>
      <c r="Q15" s="84"/>
      <c r="R15" s="81"/>
      <c r="S15" s="84"/>
      <c r="T15" s="85"/>
      <c r="U15" s="84"/>
      <c r="V15" s="85"/>
      <c r="W15" s="84"/>
      <c r="X15" s="85"/>
      <c r="Y15" s="84"/>
      <c r="Z15" s="85"/>
      <c r="AA15" s="84"/>
      <c r="AB15" s="85"/>
      <c r="AC15" s="162">
        <f t="shared" si="0"/>
        <v>68020</v>
      </c>
    </row>
    <row r="16" spans="1:29" x14ac:dyDescent="0.35">
      <c r="A16" s="160" t="s">
        <v>422</v>
      </c>
      <c r="B16" s="170"/>
      <c r="C16" s="178">
        <v>4865.8</v>
      </c>
      <c r="D16" s="175">
        <v>4865.8</v>
      </c>
      <c r="E16" s="84"/>
      <c r="F16" s="85"/>
      <c r="G16" s="84"/>
      <c r="H16" s="85"/>
      <c r="I16" s="84"/>
      <c r="J16" s="81"/>
      <c r="K16" s="84"/>
      <c r="L16" s="85"/>
      <c r="M16" s="84"/>
      <c r="N16" s="81"/>
      <c r="O16" s="84"/>
      <c r="P16" s="85"/>
      <c r="Q16" s="84"/>
      <c r="R16" s="81"/>
      <c r="S16" s="84"/>
      <c r="T16" s="85"/>
      <c r="U16" s="84"/>
      <c r="V16" s="85"/>
      <c r="W16" s="84"/>
      <c r="X16" s="85"/>
      <c r="Y16" s="84"/>
      <c r="Z16" s="85"/>
      <c r="AA16" s="84"/>
      <c r="AB16" s="85"/>
      <c r="AC16" s="162">
        <v>4865.8</v>
      </c>
    </row>
    <row r="17" spans="1:29" x14ac:dyDescent="0.35">
      <c r="A17" s="160" t="s">
        <v>424</v>
      </c>
      <c r="B17" s="170"/>
      <c r="C17" s="178">
        <v>1913</v>
      </c>
      <c r="D17" s="175">
        <v>1913</v>
      </c>
      <c r="E17" s="84"/>
      <c r="F17" s="85"/>
      <c r="G17" s="84"/>
      <c r="H17" s="85"/>
      <c r="I17" s="84"/>
      <c r="J17" s="81"/>
      <c r="K17" s="84"/>
      <c r="L17" s="85"/>
      <c r="M17" s="84"/>
      <c r="N17" s="81"/>
      <c r="O17" s="84"/>
      <c r="P17" s="85"/>
      <c r="Q17" s="84"/>
      <c r="R17" s="81"/>
      <c r="S17" s="84"/>
      <c r="T17" s="85"/>
      <c r="U17" s="84"/>
      <c r="V17" s="85"/>
      <c r="W17" s="84"/>
      <c r="X17" s="85"/>
      <c r="Y17" s="84"/>
      <c r="Z17" s="85"/>
      <c r="AA17" s="84"/>
      <c r="AB17" s="85"/>
      <c r="AC17" s="162">
        <v>1913.88</v>
      </c>
    </row>
    <row r="18" spans="1:29" x14ac:dyDescent="0.35">
      <c r="A18" s="151" t="s">
        <v>421</v>
      </c>
      <c r="B18" s="170"/>
      <c r="C18" s="178">
        <v>11993.73</v>
      </c>
      <c r="D18" s="175">
        <v>11993.73</v>
      </c>
      <c r="E18" s="84"/>
      <c r="F18" s="85"/>
      <c r="G18" s="84"/>
      <c r="H18" s="85"/>
      <c r="I18" s="84"/>
      <c r="J18" s="81"/>
      <c r="K18" s="84"/>
      <c r="L18" s="85"/>
      <c r="M18" s="84"/>
      <c r="N18" s="81"/>
      <c r="O18" s="84"/>
      <c r="P18" s="85"/>
      <c r="Q18" s="84"/>
      <c r="R18" s="81"/>
      <c r="S18" s="84"/>
      <c r="T18" s="85"/>
      <c r="U18" s="84"/>
      <c r="V18" s="85"/>
      <c r="W18" s="84"/>
      <c r="X18" s="85"/>
      <c r="Y18" s="84"/>
      <c r="Z18" s="85"/>
      <c r="AA18" s="84"/>
      <c r="AB18" s="85"/>
      <c r="AC18" s="162">
        <f t="shared" si="0"/>
        <v>11993.73</v>
      </c>
    </row>
    <row r="19" spans="1:29" x14ac:dyDescent="0.35">
      <c r="A19" s="159" t="s">
        <v>410</v>
      </c>
      <c r="B19" s="180"/>
      <c r="C19" s="178">
        <v>13428</v>
      </c>
      <c r="D19" s="175">
        <v>13428</v>
      </c>
      <c r="E19" s="163"/>
      <c r="F19" s="85"/>
      <c r="G19" s="84"/>
      <c r="H19" s="85"/>
      <c r="I19" s="50"/>
      <c r="J19" s="81"/>
      <c r="K19" s="84"/>
      <c r="L19" s="85"/>
      <c r="M19" s="84"/>
      <c r="N19" s="81"/>
      <c r="O19" s="84"/>
      <c r="P19" s="85"/>
      <c r="Q19" s="84"/>
      <c r="R19" s="81"/>
      <c r="S19" s="84"/>
      <c r="T19" s="85"/>
      <c r="U19" s="84"/>
      <c r="V19" s="85"/>
      <c r="W19" s="84"/>
      <c r="X19" s="85"/>
      <c r="Y19" s="84"/>
      <c r="Z19" s="85"/>
      <c r="AA19" s="84"/>
      <c r="AB19" s="85"/>
      <c r="AC19" s="162">
        <f t="shared" si="0"/>
        <v>13428</v>
      </c>
    </row>
    <row r="20" spans="1:29" x14ac:dyDescent="0.35">
      <c r="A20" s="159" t="s">
        <v>399</v>
      </c>
      <c r="B20" s="170"/>
      <c r="C20" s="63">
        <v>22297</v>
      </c>
      <c r="D20" s="175">
        <v>22297</v>
      </c>
      <c r="E20" s="84"/>
      <c r="F20" s="85"/>
      <c r="G20" s="84"/>
      <c r="H20" s="85"/>
      <c r="I20" s="84"/>
      <c r="J20" s="81"/>
      <c r="K20" s="84"/>
      <c r="L20" s="85"/>
      <c r="M20" s="84"/>
      <c r="N20" s="81"/>
      <c r="O20" s="84"/>
      <c r="P20" s="85"/>
      <c r="Q20" s="84"/>
      <c r="R20" s="81"/>
      <c r="S20" s="84"/>
      <c r="T20" s="85"/>
      <c r="U20" s="84"/>
      <c r="V20" s="85"/>
      <c r="W20" s="84"/>
      <c r="X20" s="85"/>
      <c r="Y20" s="84"/>
      <c r="Z20" s="85"/>
      <c r="AA20" s="84"/>
      <c r="AB20" s="85"/>
      <c r="AC20" s="162">
        <f>D20-U20-W20-Y20-AA20</f>
        <v>22297</v>
      </c>
    </row>
    <row r="21" spans="1:29" x14ac:dyDescent="0.35">
      <c r="A21" s="66" t="s">
        <v>309</v>
      </c>
      <c r="B21" s="170"/>
      <c r="C21" s="107">
        <v>2019</v>
      </c>
      <c r="D21" s="171">
        <v>2019</v>
      </c>
      <c r="E21" s="84"/>
      <c r="F21" s="85"/>
      <c r="G21" s="84"/>
      <c r="H21" s="85"/>
      <c r="I21" s="84"/>
      <c r="J21" s="81"/>
      <c r="K21" s="84"/>
      <c r="L21" s="85"/>
      <c r="M21" s="84"/>
      <c r="N21" s="81"/>
      <c r="O21" s="84"/>
      <c r="P21" s="85"/>
      <c r="Q21" s="84"/>
      <c r="R21" s="81"/>
      <c r="S21" s="84"/>
      <c r="T21" s="85"/>
      <c r="U21" s="84"/>
      <c r="V21" s="85"/>
      <c r="W21" s="84"/>
      <c r="X21" s="85"/>
      <c r="Y21" s="84"/>
      <c r="Z21" s="85"/>
      <c r="AA21" s="84"/>
      <c r="AB21" s="85"/>
      <c r="AC21" s="162">
        <f>D21-U21-W21-Y21-AA21</f>
        <v>2019</v>
      </c>
    </row>
    <row r="22" spans="1:29" x14ac:dyDescent="0.35">
      <c r="A22" s="149" t="s">
        <v>396</v>
      </c>
      <c r="B22" s="170"/>
      <c r="C22" s="105">
        <v>86048</v>
      </c>
      <c r="D22" s="186">
        <v>86048</v>
      </c>
      <c r="E22" s="84"/>
      <c r="F22" s="85"/>
      <c r="G22" s="84"/>
      <c r="H22" s="85"/>
      <c r="I22" s="84"/>
      <c r="J22" s="81"/>
      <c r="K22" s="84"/>
      <c r="L22" s="85"/>
      <c r="M22" s="84"/>
      <c r="N22" s="81"/>
      <c r="O22" s="84"/>
      <c r="P22" s="85"/>
      <c r="Q22" s="84"/>
      <c r="R22" s="81"/>
      <c r="S22" s="84"/>
      <c r="T22" s="85"/>
      <c r="U22" s="84"/>
      <c r="V22" s="85"/>
      <c r="W22" s="84"/>
      <c r="X22" s="85"/>
      <c r="Y22" s="84">
        <v>14221.6</v>
      </c>
      <c r="Z22" s="85">
        <v>14222</v>
      </c>
      <c r="AA22" s="84"/>
      <c r="AB22" s="85"/>
      <c r="AC22" s="162">
        <f>D22-U22-W22-Y22-AA22</f>
        <v>71826.399999999994</v>
      </c>
    </row>
    <row r="23" spans="1:29" x14ac:dyDescent="0.35">
      <c r="A23" s="160" t="s">
        <v>381</v>
      </c>
      <c r="B23" s="174"/>
      <c r="C23" s="107">
        <v>12911</v>
      </c>
      <c r="D23" s="168">
        <v>12911</v>
      </c>
      <c r="E23" s="163"/>
      <c r="F23" s="85"/>
      <c r="G23" s="84"/>
      <c r="H23" s="85"/>
      <c r="I23" s="84"/>
      <c r="J23" s="81"/>
      <c r="K23" s="84"/>
      <c r="L23" s="85"/>
      <c r="M23" s="84"/>
      <c r="N23" s="81"/>
      <c r="O23" s="84">
        <v>6053.31</v>
      </c>
      <c r="P23" s="85">
        <v>6053.31</v>
      </c>
      <c r="Q23" s="84"/>
      <c r="R23" s="81"/>
      <c r="S23" s="84">
        <v>2073</v>
      </c>
      <c r="T23" s="85">
        <v>2073</v>
      </c>
      <c r="U23" s="84"/>
      <c r="V23" s="85"/>
      <c r="W23" s="84"/>
      <c r="X23" s="85"/>
      <c r="Y23" s="84"/>
      <c r="Z23" s="85"/>
      <c r="AA23" s="84"/>
      <c r="AB23" s="85"/>
      <c r="AC23" s="162">
        <f>D23-O23-S23-U23-W23-Y23-AA23</f>
        <v>4784.6899999999996</v>
      </c>
    </row>
    <row r="24" spans="1:29" x14ac:dyDescent="0.35">
      <c r="A24" s="161" t="s">
        <v>397</v>
      </c>
      <c r="B24" s="177"/>
      <c r="C24" s="156">
        <v>35629</v>
      </c>
      <c r="D24" s="171">
        <v>35629.01</v>
      </c>
      <c r="E24" s="84"/>
      <c r="F24" s="85"/>
      <c r="G24" s="84"/>
      <c r="H24" s="85"/>
      <c r="I24" s="84"/>
      <c r="J24" s="81"/>
      <c r="K24" s="84"/>
      <c r="L24" s="85"/>
      <c r="M24" s="84"/>
      <c r="N24" s="81"/>
      <c r="O24" s="84"/>
      <c r="P24" s="85"/>
      <c r="Q24" s="84"/>
      <c r="R24" s="81"/>
      <c r="S24" s="84"/>
      <c r="T24" s="85"/>
      <c r="U24" s="84"/>
      <c r="V24" s="85"/>
      <c r="W24" s="84">
        <v>9593.8700000000008</v>
      </c>
      <c r="X24" s="85">
        <v>9593.8700000000008</v>
      </c>
      <c r="Y24" s="84"/>
      <c r="Z24" s="85"/>
      <c r="AA24" s="84"/>
      <c r="AB24" s="85"/>
      <c r="AC24" s="162">
        <f>D24-U24-W24-Y24-AA24</f>
        <v>26035.14</v>
      </c>
    </row>
    <row r="25" spans="1:29" x14ac:dyDescent="0.35">
      <c r="A25" s="161" t="s">
        <v>414</v>
      </c>
      <c r="B25" s="177"/>
      <c r="C25" s="156">
        <v>16424.62</v>
      </c>
      <c r="D25" s="107">
        <v>16424.62</v>
      </c>
      <c r="E25" s="84"/>
      <c r="F25" s="85"/>
      <c r="G25" s="84"/>
      <c r="H25" s="85"/>
      <c r="I25" s="84"/>
      <c r="J25" s="81"/>
      <c r="K25" s="84"/>
      <c r="L25" s="85"/>
      <c r="M25" s="84"/>
      <c r="N25" s="81"/>
      <c r="O25" s="84"/>
      <c r="P25" s="85"/>
      <c r="Q25" s="84"/>
      <c r="R25" s="81"/>
      <c r="S25" s="84"/>
      <c r="T25" s="85"/>
      <c r="U25" s="84"/>
      <c r="V25" s="85"/>
      <c r="W25" s="84">
        <v>3012.79</v>
      </c>
      <c r="X25" s="85">
        <v>3012.79</v>
      </c>
      <c r="Y25" s="84"/>
      <c r="Z25" s="85"/>
      <c r="AA25" s="84"/>
      <c r="AB25" s="85"/>
      <c r="AC25" s="162">
        <f>D25-U25-W25-Y25-AA25</f>
        <v>13411.829999999998</v>
      </c>
    </row>
    <row r="26" spans="1:29" x14ac:dyDescent="0.35">
      <c r="A26" s="161" t="s">
        <v>355</v>
      </c>
      <c r="B26" s="177"/>
      <c r="C26" s="156">
        <f>56621.6+90</f>
        <v>56711.6</v>
      </c>
      <c r="D26" s="156">
        <f>56621.6+90</f>
        <v>56711.6</v>
      </c>
      <c r="E26" s="84"/>
      <c r="F26" s="85"/>
      <c r="G26" s="84"/>
      <c r="H26" s="85"/>
      <c r="I26" s="84">
        <f>27727.11+2871.46</f>
        <v>30598.57</v>
      </c>
      <c r="J26" s="81">
        <v>30599</v>
      </c>
      <c r="K26" s="84">
        <f>5116.74+1825.21</f>
        <v>6941.95</v>
      </c>
      <c r="L26" s="85">
        <v>6942</v>
      </c>
      <c r="M26" s="84">
        <v>14328.36</v>
      </c>
      <c r="N26" s="81">
        <v>14328</v>
      </c>
      <c r="O26" s="84"/>
      <c r="P26" s="85"/>
      <c r="Q26" s="84"/>
      <c r="R26" s="81"/>
      <c r="S26" s="84"/>
      <c r="T26" s="85"/>
      <c r="U26" s="84"/>
      <c r="V26" s="85"/>
      <c r="W26" s="84">
        <f>1260+3582.72</f>
        <v>4842.7199999999993</v>
      </c>
      <c r="X26" s="85">
        <v>4843</v>
      </c>
      <c r="Y26" s="84"/>
      <c r="Z26" s="85"/>
      <c r="AA26" s="84"/>
      <c r="AB26" s="85"/>
      <c r="AC26" s="162">
        <f>D26-I26-K26-M26-U26-W26-Y26-AA26</f>
        <v>-1.8189894035458565E-12</v>
      </c>
    </row>
    <row r="27" spans="1:29" x14ac:dyDescent="0.35">
      <c r="A27" s="41" t="s">
        <v>349</v>
      </c>
      <c r="B27" s="170"/>
      <c r="C27" s="105">
        <v>60469</v>
      </c>
      <c r="D27" s="186">
        <v>60469</v>
      </c>
      <c r="E27" s="84"/>
      <c r="F27" s="85"/>
      <c r="G27" s="84"/>
      <c r="H27" s="85"/>
      <c r="I27" s="84"/>
      <c r="J27" s="81"/>
      <c r="K27" s="84"/>
      <c r="L27" s="85"/>
      <c r="M27" s="84"/>
      <c r="N27" s="81"/>
      <c r="O27" s="84"/>
      <c r="P27" s="85"/>
      <c r="Q27" s="84"/>
      <c r="R27" s="81"/>
      <c r="S27" s="84"/>
      <c r="T27" s="85"/>
      <c r="U27" s="84"/>
      <c r="V27" s="85"/>
      <c r="W27" s="84">
        <v>18141.349999999999</v>
      </c>
      <c r="X27" s="85">
        <v>18141.349999999999</v>
      </c>
      <c r="Y27" s="84"/>
      <c r="Z27" s="85"/>
      <c r="AA27" s="84"/>
      <c r="AB27" s="85"/>
      <c r="AC27" s="162">
        <f>D27-U27-W27-Y27-AA27</f>
        <v>42327.65</v>
      </c>
    </row>
    <row r="28" spans="1:29" x14ac:dyDescent="0.35">
      <c r="A28" s="159" t="s">
        <v>387</v>
      </c>
      <c r="B28" s="170"/>
      <c r="C28" s="105">
        <v>20274</v>
      </c>
      <c r="D28" s="186">
        <v>20274</v>
      </c>
      <c r="E28" s="84"/>
      <c r="F28" s="85"/>
      <c r="G28" s="84"/>
      <c r="H28" s="85"/>
      <c r="I28" s="84"/>
      <c r="J28" s="81"/>
      <c r="K28" s="84"/>
      <c r="L28" s="85"/>
      <c r="M28" s="84"/>
      <c r="N28" s="81"/>
      <c r="O28" s="84"/>
      <c r="P28" s="85"/>
      <c r="Q28" s="84"/>
      <c r="R28" s="81"/>
      <c r="S28" s="84"/>
      <c r="T28" s="85"/>
      <c r="U28" s="84"/>
      <c r="V28" s="85"/>
      <c r="W28" s="84">
        <v>5109.75</v>
      </c>
      <c r="X28" s="85">
        <v>5109.75</v>
      </c>
      <c r="Y28" s="84"/>
      <c r="Z28" s="85"/>
      <c r="AA28" s="84"/>
      <c r="AB28" s="85"/>
      <c r="AC28" s="162">
        <f>D28-U28-W28-Y28-AA28</f>
        <v>15164.25</v>
      </c>
    </row>
    <row r="29" spans="1:29" x14ac:dyDescent="0.35">
      <c r="A29" s="43" t="s">
        <v>375</v>
      </c>
      <c r="B29" s="174"/>
      <c r="C29" s="107">
        <f>1700+2657</f>
        <v>4357</v>
      </c>
      <c r="D29" s="171">
        <v>4357</v>
      </c>
      <c r="E29" s="84"/>
      <c r="F29" s="85"/>
      <c r="G29" s="84"/>
      <c r="H29" s="85"/>
      <c r="I29" s="84"/>
      <c r="J29" s="81"/>
      <c r="K29" s="84"/>
      <c r="L29" s="85"/>
      <c r="M29" s="84"/>
      <c r="N29" s="81"/>
      <c r="O29" s="84"/>
      <c r="P29" s="85"/>
      <c r="Q29" s="84"/>
      <c r="R29" s="81"/>
      <c r="S29" s="84">
        <v>2657.57</v>
      </c>
      <c r="T29" s="85">
        <v>2658</v>
      </c>
      <c r="U29" s="84"/>
      <c r="V29" s="85"/>
      <c r="W29" s="84"/>
      <c r="X29" s="85"/>
      <c r="Y29" s="84"/>
      <c r="Z29" s="85"/>
      <c r="AA29" s="84"/>
      <c r="AB29" s="85"/>
      <c r="AC29" s="162">
        <f>D29-S29-U29-W29-Y29-AA29</f>
        <v>1699.4299999999998</v>
      </c>
    </row>
    <row r="30" spans="1:29" x14ac:dyDescent="0.35">
      <c r="A30" s="159" t="s">
        <v>402</v>
      </c>
      <c r="B30" s="170"/>
      <c r="C30" s="107">
        <v>27757</v>
      </c>
      <c r="D30" s="171">
        <v>27757</v>
      </c>
      <c r="E30" s="84"/>
      <c r="F30" s="85"/>
      <c r="G30" s="84"/>
      <c r="H30" s="85"/>
      <c r="I30" s="84"/>
      <c r="J30" s="81"/>
      <c r="K30" s="84"/>
      <c r="L30" s="85"/>
      <c r="M30" s="84"/>
      <c r="N30" s="81"/>
      <c r="O30" s="84"/>
      <c r="P30" s="85"/>
      <c r="Q30" s="84"/>
      <c r="R30" s="81"/>
      <c r="S30" s="84"/>
      <c r="T30" s="85"/>
      <c r="U30" s="84"/>
      <c r="V30" s="85"/>
      <c r="W30" s="84"/>
      <c r="X30" s="85"/>
      <c r="Y30" s="84">
        <v>6161.14</v>
      </c>
      <c r="Z30" s="85">
        <v>6161.14</v>
      </c>
      <c r="AA30" s="84">
        <v>7658.33</v>
      </c>
      <c r="AB30" s="85">
        <v>7658.06</v>
      </c>
      <c r="AC30" s="162">
        <f t="shared" si="0"/>
        <v>13937.53</v>
      </c>
    </row>
    <row r="31" spans="1:29" x14ac:dyDescent="0.35">
      <c r="A31" s="100" t="s">
        <v>363</v>
      </c>
      <c r="B31" s="172"/>
      <c r="C31" s="107">
        <v>21815.39</v>
      </c>
      <c r="D31" s="171">
        <v>21815.39</v>
      </c>
      <c r="E31" s="84"/>
      <c r="F31" s="85"/>
      <c r="G31" s="84"/>
      <c r="H31" s="85"/>
      <c r="I31" s="84"/>
      <c r="J31" s="81"/>
      <c r="K31" s="84"/>
      <c r="L31" s="85"/>
      <c r="M31" s="84"/>
      <c r="N31" s="81"/>
      <c r="O31" s="84"/>
      <c r="P31" s="85"/>
      <c r="Q31" s="84"/>
      <c r="R31" s="81"/>
      <c r="S31" s="84"/>
      <c r="T31" s="85"/>
      <c r="U31" s="84"/>
      <c r="V31" s="85"/>
      <c r="W31" s="84"/>
      <c r="X31" s="85"/>
      <c r="Y31" s="84"/>
      <c r="Z31" s="85"/>
      <c r="AA31" s="84">
        <v>5291.09</v>
      </c>
      <c r="AB31" s="85">
        <v>5291.09</v>
      </c>
      <c r="AC31" s="162">
        <f t="shared" si="0"/>
        <v>16524.3</v>
      </c>
    </row>
    <row r="32" spans="1:29" x14ac:dyDescent="0.35">
      <c r="A32" s="41" t="s">
        <v>221</v>
      </c>
      <c r="B32" s="170"/>
      <c r="C32" s="107">
        <v>77453</v>
      </c>
      <c r="D32" s="171">
        <v>77453</v>
      </c>
      <c r="E32" s="84"/>
      <c r="F32" s="85"/>
      <c r="G32" s="84"/>
      <c r="H32" s="85"/>
      <c r="I32" s="84"/>
      <c r="J32" s="81"/>
      <c r="K32" s="84"/>
      <c r="L32" s="85"/>
      <c r="M32" s="84"/>
      <c r="N32" s="81"/>
      <c r="O32" s="84"/>
      <c r="P32" s="85"/>
      <c r="Q32" s="84"/>
      <c r="R32" s="81"/>
      <c r="S32" s="84"/>
      <c r="T32" s="85"/>
      <c r="U32" s="84"/>
      <c r="V32" s="85"/>
      <c r="W32" s="84"/>
      <c r="X32" s="85"/>
      <c r="Y32" s="84">
        <v>15033.91</v>
      </c>
      <c r="Z32" s="85">
        <v>15034</v>
      </c>
      <c r="AA32" s="84">
        <v>18933.43</v>
      </c>
      <c r="AB32" s="85">
        <v>18933.43</v>
      </c>
      <c r="AC32" s="162">
        <f t="shared" si="0"/>
        <v>43485.659999999996</v>
      </c>
    </row>
    <row r="33" spans="1:30" x14ac:dyDescent="0.35">
      <c r="A33" s="187" t="s">
        <v>408</v>
      </c>
      <c r="B33" s="170"/>
      <c r="C33" s="107">
        <v>36413</v>
      </c>
      <c r="D33" s="171">
        <v>36413</v>
      </c>
      <c r="E33" s="84"/>
      <c r="F33" s="85"/>
      <c r="G33" s="84"/>
      <c r="H33" s="85"/>
      <c r="I33" s="84"/>
      <c r="J33" s="81"/>
      <c r="K33" s="84"/>
      <c r="L33" s="85"/>
      <c r="M33" s="84"/>
      <c r="N33" s="81"/>
      <c r="O33" s="84"/>
      <c r="P33" s="85"/>
      <c r="Q33" s="84"/>
      <c r="R33" s="81"/>
      <c r="S33" s="84"/>
      <c r="T33" s="85"/>
      <c r="U33" s="84"/>
      <c r="V33" s="85"/>
      <c r="W33" s="84"/>
      <c r="X33" s="85"/>
      <c r="Y33" s="84"/>
      <c r="Z33" s="85"/>
      <c r="AA33" s="84">
        <f>18113.56+11560.07</f>
        <v>29673.63</v>
      </c>
      <c r="AB33" s="51">
        <f>11560.07+18113.56</f>
        <v>29673.63</v>
      </c>
      <c r="AC33" s="162">
        <f t="shared" si="0"/>
        <v>6739.369999999999</v>
      </c>
    </row>
    <row r="34" spans="1:30" x14ac:dyDescent="0.35">
      <c r="A34" s="100" t="s">
        <v>356</v>
      </c>
      <c r="B34" s="172"/>
      <c r="C34" s="107">
        <f>32007+368.45</f>
        <v>32375.45</v>
      </c>
      <c r="D34" s="171">
        <v>32375</v>
      </c>
      <c r="E34" s="84"/>
      <c r="F34" s="85"/>
      <c r="G34" s="84"/>
      <c r="H34" s="85"/>
      <c r="I34" s="84"/>
      <c r="J34" s="81"/>
      <c r="K34" s="84"/>
      <c r="L34" s="85"/>
      <c r="M34" s="84"/>
      <c r="N34" s="81"/>
      <c r="O34" s="84"/>
      <c r="P34" s="85"/>
      <c r="Q34" s="84"/>
      <c r="R34" s="81"/>
      <c r="S34" s="84">
        <v>5652.23</v>
      </c>
      <c r="T34" s="85">
        <v>5652</v>
      </c>
      <c r="U34" s="84"/>
      <c r="V34" s="85"/>
      <c r="W34" s="84">
        <v>7196.88</v>
      </c>
      <c r="X34" s="85">
        <v>7197</v>
      </c>
      <c r="Y34" s="84">
        <v>5944.21</v>
      </c>
      <c r="Z34" s="85">
        <v>5944.21</v>
      </c>
      <c r="AA34" s="84">
        <f>6194.32+368.45</f>
        <v>6562.7699999999995</v>
      </c>
      <c r="AB34" s="85">
        <v>6563</v>
      </c>
      <c r="AC34" s="162">
        <f>D34-S34-U34-W34-Y34-AA34</f>
        <v>7018.9100000000008</v>
      </c>
    </row>
    <row r="35" spans="1:30" x14ac:dyDescent="0.35">
      <c r="A35" s="41" t="s">
        <v>331</v>
      </c>
      <c r="B35" s="170"/>
      <c r="C35" s="196">
        <f>88130-2411.28+1388.91</f>
        <v>87107.63</v>
      </c>
      <c r="D35" s="171">
        <f>88130+1388.91-2411.28</f>
        <v>87107.63</v>
      </c>
      <c r="E35" s="84"/>
      <c r="F35" s="85"/>
      <c r="G35" s="84">
        <v>9456</v>
      </c>
      <c r="H35" s="85">
        <v>9456</v>
      </c>
      <c r="I35" s="84">
        <v>18664</v>
      </c>
      <c r="J35" s="81">
        <v>18664</v>
      </c>
      <c r="K35" s="84">
        <v>16738</v>
      </c>
      <c r="L35" s="85">
        <v>16737.55</v>
      </c>
      <c r="M35" s="84">
        <v>12574.17</v>
      </c>
      <c r="N35" s="81">
        <v>12574.17</v>
      </c>
      <c r="O35" s="84">
        <v>5332.53</v>
      </c>
      <c r="P35" s="85">
        <v>5332.53</v>
      </c>
      <c r="Q35" s="84"/>
      <c r="R35" s="81"/>
      <c r="S35" s="84"/>
      <c r="T35" s="85"/>
      <c r="U35" s="84">
        <v>18992</v>
      </c>
      <c r="V35" s="85">
        <v>18992</v>
      </c>
      <c r="W35" s="84">
        <v>3425</v>
      </c>
      <c r="X35" s="85">
        <v>3425</v>
      </c>
      <c r="Y35" s="84"/>
      <c r="Z35" s="85"/>
      <c r="AA35" s="84">
        <f>D35-X35-V35-P35-N35-L35-J35-H35</f>
        <v>1926.3800000000083</v>
      </c>
      <c r="AB35" s="85">
        <v>1926</v>
      </c>
      <c r="AC35" s="162">
        <f>D35-G35-I35-K35-M35-O35-Q35-S35-U35-W35-Y35-AA35</f>
        <v>-0.4500000000007276</v>
      </c>
    </row>
    <row r="36" spans="1:30" x14ac:dyDescent="0.35">
      <c r="A36" s="100" t="s">
        <v>361</v>
      </c>
      <c r="B36" s="172"/>
      <c r="C36" s="107">
        <v>28887</v>
      </c>
      <c r="D36" s="171">
        <v>28887</v>
      </c>
      <c r="E36" s="84"/>
      <c r="F36" s="85"/>
      <c r="G36" s="84"/>
      <c r="H36" s="85"/>
      <c r="I36" s="84"/>
      <c r="J36" s="81"/>
      <c r="K36" s="84"/>
      <c r="L36" s="85"/>
      <c r="M36" s="84"/>
      <c r="N36" s="81"/>
      <c r="O36" s="84"/>
      <c r="P36" s="85"/>
      <c r="Q36" s="84"/>
      <c r="R36" s="81"/>
      <c r="S36" s="84">
        <v>7157.29</v>
      </c>
      <c r="T36" s="85">
        <v>7157</v>
      </c>
      <c r="U36" s="84">
        <v>4298</v>
      </c>
      <c r="V36" s="85">
        <v>4298</v>
      </c>
      <c r="W36" s="84">
        <v>4501.84</v>
      </c>
      <c r="X36" s="85">
        <v>4502</v>
      </c>
      <c r="Y36" s="84"/>
      <c r="Z36" s="85"/>
      <c r="AA36" s="84">
        <v>12930</v>
      </c>
      <c r="AB36" s="85">
        <v>12930</v>
      </c>
      <c r="AC36" s="162">
        <f>D36-S36-U36-W36-Y36-AA36</f>
        <v>-0.13000000000101863</v>
      </c>
    </row>
    <row r="37" spans="1:30" x14ac:dyDescent="0.35">
      <c r="A37" s="42" t="s">
        <v>348</v>
      </c>
      <c r="B37" s="173"/>
      <c r="C37" s="196">
        <f>17182+2877.27</f>
        <v>20059.27</v>
      </c>
      <c r="D37" s="171">
        <f>17182+2877.27</f>
        <v>20059.27</v>
      </c>
      <c r="E37" s="84"/>
      <c r="F37" s="85"/>
      <c r="G37" s="84"/>
      <c r="H37" s="85"/>
      <c r="I37" s="84"/>
      <c r="J37" s="81"/>
      <c r="K37" s="84"/>
      <c r="L37" s="85"/>
      <c r="M37" s="84"/>
      <c r="N37" s="81"/>
      <c r="O37" s="84"/>
      <c r="P37" s="85"/>
      <c r="Q37" s="84"/>
      <c r="R37" s="81"/>
      <c r="S37" s="84"/>
      <c r="T37" s="85"/>
      <c r="U37" s="84">
        <v>9488</v>
      </c>
      <c r="V37" s="85">
        <v>9488</v>
      </c>
      <c r="W37" s="84">
        <f>14102.37-U37</f>
        <v>4614.3700000000008</v>
      </c>
      <c r="X37" s="85">
        <v>4614</v>
      </c>
      <c r="Y37" s="84"/>
      <c r="Z37" s="85"/>
      <c r="AA37" s="84">
        <f>3080+2877.27</f>
        <v>5957.27</v>
      </c>
      <c r="AB37" s="85">
        <v>5957</v>
      </c>
      <c r="AC37" s="162">
        <f t="shared" si="0"/>
        <v>-0.37000000000080036</v>
      </c>
    </row>
    <row r="38" spans="1:30" x14ac:dyDescent="0.35">
      <c r="A38" s="149" t="s">
        <v>379</v>
      </c>
      <c r="B38" s="170"/>
      <c r="C38" s="107">
        <f>106191.06+1844.06</f>
        <v>108035.12</v>
      </c>
      <c r="D38" s="171">
        <v>108035</v>
      </c>
      <c r="E38" s="163"/>
      <c r="F38" s="85"/>
      <c r="G38" s="84"/>
      <c r="H38" s="85"/>
      <c r="I38" s="84"/>
      <c r="J38" s="81"/>
      <c r="K38" s="84"/>
      <c r="L38" s="85"/>
      <c r="M38" s="84"/>
      <c r="N38" s="81"/>
      <c r="O38" s="84"/>
      <c r="P38" s="85"/>
      <c r="Q38" s="84"/>
      <c r="R38" s="81"/>
      <c r="S38" s="84">
        <v>31760.01</v>
      </c>
      <c r="T38" s="85">
        <v>31760</v>
      </c>
      <c r="U38" s="84">
        <v>31208</v>
      </c>
      <c r="V38" s="85">
        <v>31208</v>
      </c>
      <c r="W38" s="84">
        <v>40428.81</v>
      </c>
      <c r="X38" s="85">
        <v>40429</v>
      </c>
      <c r="Y38" s="84"/>
      <c r="Z38" s="85"/>
      <c r="AA38" s="84">
        <f>D38-T38-V38-X38</f>
        <v>4638</v>
      </c>
      <c r="AB38" s="85">
        <v>4638</v>
      </c>
      <c r="AC38" s="162">
        <f>D38-S38-U38-W38-Y38-AA38</f>
        <v>0.180000000007567</v>
      </c>
    </row>
    <row r="39" spans="1:30" x14ac:dyDescent="0.35">
      <c r="A39" s="42" t="s">
        <v>360</v>
      </c>
      <c r="B39" s="173"/>
      <c r="C39" s="195">
        <f>68578+4726</f>
        <v>73304</v>
      </c>
      <c r="D39" s="168">
        <v>73304</v>
      </c>
      <c r="E39" s="84"/>
      <c r="F39" s="85"/>
      <c r="G39" s="84">
        <v>8735.2099999999991</v>
      </c>
      <c r="H39" s="85">
        <v>8735</v>
      </c>
      <c r="I39" s="84">
        <v>12421</v>
      </c>
      <c r="J39" s="81">
        <v>12421</v>
      </c>
      <c r="K39" s="84">
        <v>4746</v>
      </c>
      <c r="L39" s="85">
        <v>4746.41</v>
      </c>
      <c r="M39" s="84">
        <v>40465</v>
      </c>
      <c r="N39" s="81">
        <v>40465</v>
      </c>
      <c r="O39" s="84"/>
      <c r="P39" s="85"/>
      <c r="Q39" s="84"/>
      <c r="R39" s="81"/>
      <c r="S39" s="50" t="s">
        <v>401</v>
      </c>
      <c r="T39" s="85"/>
      <c r="U39" s="84"/>
      <c r="V39" s="85"/>
      <c r="W39" s="84">
        <f>6937-9618.45</f>
        <v>-2681.4500000000007</v>
      </c>
      <c r="X39" s="85">
        <v>-2681</v>
      </c>
      <c r="Y39" s="84"/>
      <c r="Z39" s="85"/>
      <c r="AA39" s="84">
        <f>2964+1029.91</f>
        <v>3993.91</v>
      </c>
      <c r="AB39" s="51">
        <v>3994</v>
      </c>
      <c r="AC39" s="198" t="s">
        <v>420</v>
      </c>
      <c r="AD39">
        <v>11500</v>
      </c>
    </row>
    <row r="40" spans="1:30" x14ac:dyDescent="0.35">
      <c r="A40" s="66" t="s">
        <v>427</v>
      </c>
      <c r="B40" s="173"/>
      <c r="C40" s="81">
        <v>458.33</v>
      </c>
      <c r="D40" s="168">
        <v>458.33</v>
      </c>
      <c r="E40" s="84"/>
      <c r="F40" s="85"/>
      <c r="G40" s="84"/>
      <c r="H40" s="85"/>
      <c r="I40" s="84"/>
      <c r="J40" s="81"/>
      <c r="K40" s="84"/>
      <c r="L40" s="85"/>
      <c r="M40" s="84"/>
      <c r="N40" s="81"/>
      <c r="O40" s="84"/>
      <c r="P40" s="85"/>
      <c r="Q40" s="84"/>
      <c r="R40" s="81"/>
      <c r="S40" s="50"/>
      <c r="T40" s="85"/>
      <c r="U40" s="84"/>
      <c r="V40" s="85"/>
      <c r="W40" s="84"/>
      <c r="X40" s="85"/>
      <c r="Y40" s="84"/>
      <c r="Z40" s="85"/>
      <c r="AA40" s="84">
        <v>458</v>
      </c>
      <c r="AB40" s="51">
        <v>458</v>
      </c>
      <c r="AC40" s="198"/>
      <c r="AD40"/>
    </row>
    <row r="41" spans="1:30" x14ac:dyDescent="0.35">
      <c r="A41" s="66" t="s">
        <v>426</v>
      </c>
      <c r="B41" s="173"/>
      <c r="C41" s="81">
        <v>1500</v>
      </c>
      <c r="D41" s="168">
        <v>1500</v>
      </c>
      <c r="E41" s="84"/>
      <c r="F41" s="85"/>
      <c r="G41" s="84"/>
      <c r="H41" s="85"/>
      <c r="I41" s="84"/>
      <c r="J41" s="81"/>
      <c r="K41" s="84"/>
      <c r="L41" s="85"/>
      <c r="M41" s="84"/>
      <c r="N41" s="81"/>
      <c r="O41" s="84"/>
      <c r="P41" s="85"/>
      <c r="Q41" s="84"/>
      <c r="R41" s="81"/>
      <c r="S41" s="50"/>
      <c r="T41" s="85"/>
      <c r="U41" s="84"/>
      <c r="V41" s="85"/>
      <c r="W41" s="84"/>
      <c r="X41" s="85"/>
      <c r="Y41" s="84"/>
      <c r="Z41" s="85"/>
      <c r="AA41" s="84">
        <v>1500</v>
      </c>
      <c r="AB41" s="51">
        <v>1500</v>
      </c>
      <c r="AC41" s="198"/>
      <c r="AD41"/>
    </row>
    <row r="42" spans="1:30" x14ac:dyDescent="0.35">
      <c r="A42" s="66" t="s">
        <v>425</v>
      </c>
      <c r="B42" s="173"/>
      <c r="C42" s="81">
        <v>2250</v>
      </c>
      <c r="D42" s="168">
        <v>2250</v>
      </c>
      <c r="E42" s="84"/>
      <c r="F42" s="85"/>
      <c r="G42" s="84"/>
      <c r="H42" s="85"/>
      <c r="I42" s="84"/>
      <c r="J42" s="81"/>
      <c r="K42" s="84"/>
      <c r="L42" s="85"/>
      <c r="M42" s="84"/>
      <c r="N42" s="81"/>
      <c r="O42" s="84"/>
      <c r="P42" s="85"/>
      <c r="Q42" s="84"/>
      <c r="R42" s="81"/>
      <c r="S42" s="50"/>
      <c r="T42" s="85"/>
      <c r="U42" s="84"/>
      <c r="V42" s="85"/>
      <c r="W42" s="84"/>
      <c r="X42" s="85"/>
      <c r="Y42" s="84"/>
      <c r="Z42" s="85"/>
      <c r="AA42" s="84">
        <v>2250</v>
      </c>
      <c r="AB42" s="51">
        <v>2250</v>
      </c>
      <c r="AC42" s="198"/>
      <c r="AD42"/>
    </row>
    <row r="43" spans="1:30" x14ac:dyDescent="0.35">
      <c r="A43" s="66" t="s">
        <v>171</v>
      </c>
      <c r="B43" s="170"/>
      <c r="C43" s="107">
        <v>4198</v>
      </c>
      <c r="D43" s="171">
        <v>4198</v>
      </c>
      <c r="E43" s="84"/>
      <c r="F43" s="85"/>
      <c r="G43" s="84"/>
      <c r="H43" s="85"/>
      <c r="I43" s="84"/>
      <c r="J43" s="81"/>
      <c r="K43" s="84"/>
      <c r="L43" s="85"/>
      <c r="M43" s="84"/>
      <c r="N43" s="81"/>
      <c r="O43" s="84"/>
      <c r="P43" s="85"/>
      <c r="Q43" s="84"/>
      <c r="R43" s="81"/>
      <c r="S43" s="84"/>
      <c r="T43" s="85"/>
      <c r="U43" s="84"/>
      <c r="V43" s="85"/>
      <c r="W43" s="84"/>
      <c r="X43" s="85"/>
      <c r="Y43" s="84">
        <v>4198</v>
      </c>
      <c r="Z43" s="85">
        <v>4198</v>
      </c>
      <c r="AA43" s="84"/>
      <c r="AB43" s="85"/>
      <c r="AC43" s="162">
        <f>D43-U43-W43-Y43-AA43</f>
        <v>0</v>
      </c>
    </row>
    <row r="44" spans="1:30" x14ac:dyDescent="0.35">
      <c r="A44" s="66" t="s">
        <v>406</v>
      </c>
      <c r="B44" s="170"/>
      <c r="C44" s="107">
        <v>2835.36</v>
      </c>
      <c r="D44" s="171">
        <v>2835.36</v>
      </c>
      <c r="E44" s="84"/>
      <c r="F44" s="85"/>
      <c r="G44" s="84"/>
      <c r="H44" s="85"/>
      <c r="I44" s="84"/>
      <c r="J44" s="81"/>
      <c r="K44" s="84"/>
      <c r="L44" s="85"/>
      <c r="M44" s="84"/>
      <c r="N44" s="81"/>
      <c r="O44" s="84"/>
      <c r="P44" s="85"/>
      <c r="Q44" s="84"/>
      <c r="R44" s="81"/>
      <c r="S44" s="84"/>
      <c r="T44" s="85"/>
      <c r="U44" s="84"/>
      <c r="V44" s="85"/>
      <c r="W44" s="84"/>
      <c r="X44" s="85"/>
      <c r="Y44" s="84">
        <v>2835</v>
      </c>
      <c r="Z44" s="85">
        <v>2835</v>
      </c>
      <c r="AA44" s="84"/>
      <c r="AB44" s="85"/>
      <c r="AC44" s="162">
        <f>D44-U44-W44-Y44-AA44</f>
        <v>0.36000000000012733</v>
      </c>
    </row>
    <row r="45" spans="1:30" x14ac:dyDescent="0.35">
      <c r="A45" s="151" t="s">
        <v>419</v>
      </c>
      <c r="B45" s="173"/>
      <c r="C45" s="81">
        <v>878</v>
      </c>
      <c r="D45" s="168">
        <v>878</v>
      </c>
      <c r="E45" s="84"/>
      <c r="F45" s="85"/>
      <c r="G45" s="84"/>
      <c r="H45" s="85"/>
      <c r="I45" s="84"/>
      <c r="J45" s="81"/>
      <c r="K45" s="84"/>
      <c r="L45" s="85"/>
      <c r="M45" s="84"/>
      <c r="N45" s="81"/>
      <c r="O45" s="84"/>
      <c r="P45" s="85"/>
      <c r="Q45" s="84"/>
      <c r="R45" s="81"/>
      <c r="S45" s="50"/>
      <c r="T45" s="85"/>
      <c r="U45" s="84"/>
      <c r="V45" s="85"/>
      <c r="W45" s="84"/>
      <c r="X45" s="85"/>
      <c r="Y45" s="84">
        <v>878</v>
      </c>
      <c r="Z45" s="85">
        <v>878</v>
      </c>
      <c r="AA45" s="84"/>
      <c r="AB45" s="51"/>
      <c r="AC45" s="162"/>
    </row>
    <row r="46" spans="1:30" x14ac:dyDescent="0.35">
      <c r="A46" s="66" t="s">
        <v>413</v>
      </c>
      <c r="B46" s="170"/>
      <c r="C46" s="107">
        <v>255</v>
      </c>
      <c r="D46" s="171">
        <v>255</v>
      </c>
      <c r="E46" s="84"/>
      <c r="F46" s="85"/>
      <c r="G46" s="84"/>
      <c r="H46" s="85"/>
      <c r="I46" s="84"/>
      <c r="J46" s="81"/>
      <c r="K46" s="84"/>
      <c r="L46" s="85"/>
      <c r="M46" s="84"/>
      <c r="N46" s="81"/>
      <c r="O46" s="84"/>
      <c r="P46" s="85"/>
      <c r="Q46" s="84"/>
      <c r="R46" s="81"/>
      <c r="S46" s="84"/>
      <c r="T46" s="85"/>
      <c r="U46" s="84"/>
      <c r="V46" s="85"/>
      <c r="W46" s="84">
        <v>255</v>
      </c>
      <c r="X46" s="85">
        <v>255</v>
      </c>
      <c r="Y46" s="84"/>
      <c r="Z46" s="85"/>
      <c r="AA46" s="84"/>
      <c r="AB46" s="85"/>
      <c r="AC46" s="162">
        <f>D46-U46-W46-Y46-AA46</f>
        <v>0</v>
      </c>
    </row>
    <row r="47" spans="1:30" x14ac:dyDescent="0.35">
      <c r="A47" s="159" t="s">
        <v>398</v>
      </c>
      <c r="B47" s="170"/>
      <c r="C47" s="197">
        <v>5023</v>
      </c>
      <c r="D47" s="186">
        <v>5023</v>
      </c>
      <c r="E47" s="84"/>
      <c r="F47" s="85"/>
      <c r="G47" s="84"/>
      <c r="H47" s="85"/>
      <c r="I47" s="84"/>
      <c r="J47" s="81"/>
      <c r="K47" s="84"/>
      <c r="L47" s="85"/>
      <c r="M47" s="84"/>
      <c r="N47" s="81"/>
      <c r="O47" s="84"/>
      <c r="P47" s="85"/>
      <c r="Q47" s="84"/>
      <c r="R47" s="81"/>
      <c r="S47" s="84"/>
      <c r="T47" s="85"/>
      <c r="U47" s="84"/>
      <c r="V47" s="85"/>
      <c r="W47" s="84">
        <v>5023</v>
      </c>
      <c r="X47" s="85">
        <v>5023</v>
      </c>
      <c r="Y47" s="84"/>
      <c r="Z47" s="85"/>
      <c r="AA47" s="84"/>
      <c r="AB47" s="85"/>
      <c r="AC47" s="81"/>
    </row>
    <row r="48" spans="1:30" x14ac:dyDescent="0.35">
      <c r="A48" s="151" t="s">
        <v>407</v>
      </c>
      <c r="B48" s="170"/>
      <c r="C48" s="107">
        <f>1945+1152+906</f>
        <v>4003</v>
      </c>
      <c r="D48" s="171">
        <f>3097+906</f>
        <v>4003</v>
      </c>
      <c r="E48" s="84"/>
      <c r="F48" s="85"/>
      <c r="G48" s="84"/>
      <c r="H48" s="85"/>
      <c r="I48" s="84"/>
      <c r="J48" s="81"/>
      <c r="K48" s="84"/>
      <c r="L48" s="85"/>
      <c r="M48" s="84"/>
      <c r="N48" s="81"/>
      <c r="O48" s="84"/>
      <c r="P48" s="85"/>
      <c r="Q48" s="84"/>
      <c r="R48" s="81"/>
      <c r="S48" s="84"/>
      <c r="T48" s="85"/>
      <c r="U48" s="84">
        <f>576+1945</f>
        <v>2521</v>
      </c>
      <c r="V48" s="85">
        <v>2521</v>
      </c>
      <c r="W48" s="84">
        <f>3097-U48+906</f>
        <v>1482</v>
      </c>
      <c r="X48" s="85">
        <v>1482</v>
      </c>
      <c r="Y48" s="84"/>
      <c r="Z48" s="85"/>
      <c r="AA48" s="84"/>
      <c r="AB48" s="85"/>
      <c r="AC48" s="81"/>
    </row>
    <row r="49" spans="1:29" x14ac:dyDescent="0.35">
      <c r="A49" s="41" t="s">
        <v>372</v>
      </c>
      <c r="B49" s="170"/>
      <c r="C49" s="107">
        <v>52582.92</v>
      </c>
      <c r="D49" s="171">
        <v>52582.92</v>
      </c>
      <c r="E49" s="84"/>
      <c r="F49" s="85"/>
      <c r="G49" s="84"/>
      <c r="H49" s="85"/>
      <c r="I49" s="84"/>
      <c r="J49" s="81"/>
      <c r="K49" s="84"/>
      <c r="L49" s="85"/>
      <c r="M49" s="84"/>
      <c r="N49" s="81"/>
      <c r="O49" s="84"/>
      <c r="P49" s="85"/>
      <c r="Q49" s="84">
        <v>12848</v>
      </c>
      <c r="R49" s="81">
        <v>12848</v>
      </c>
      <c r="S49" s="84"/>
      <c r="T49" s="85"/>
      <c r="U49" s="84">
        <v>26066</v>
      </c>
      <c r="V49" s="85">
        <v>26066</v>
      </c>
      <c r="W49" s="84">
        <f>D49-Q49-S49-U49</f>
        <v>13668.919999999998</v>
      </c>
      <c r="X49" s="85">
        <v>13669</v>
      </c>
      <c r="Y49" s="84"/>
      <c r="Z49" s="85"/>
      <c r="AA49" s="84"/>
      <c r="AB49" s="85"/>
      <c r="AC49" s="81"/>
    </row>
    <row r="50" spans="1:29" x14ac:dyDescent="0.35">
      <c r="A50" s="100" t="s">
        <v>378</v>
      </c>
      <c r="B50" s="172"/>
      <c r="C50" s="196">
        <f>22311+5643</f>
        <v>27954</v>
      </c>
      <c r="D50" s="171">
        <v>27954</v>
      </c>
      <c r="E50" s="50"/>
      <c r="F50" s="85"/>
      <c r="G50" s="84"/>
      <c r="H50" s="85"/>
      <c r="I50" s="84"/>
      <c r="J50" s="81"/>
      <c r="K50" s="84"/>
      <c r="L50" s="85"/>
      <c r="M50" s="84"/>
      <c r="N50" s="81"/>
      <c r="O50" s="84">
        <f>2803.36+1797</f>
        <v>4600.3600000000006</v>
      </c>
      <c r="P50" s="85">
        <f>2803.36+1797</f>
        <v>4600.3600000000006</v>
      </c>
      <c r="Q50" s="84"/>
      <c r="R50" s="81"/>
      <c r="S50" s="84">
        <f>6580.7+3131.41</f>
        <v>9712.11</v>
      </c>
      <c r="T50" s="85">
        <v>9712</v>
      </c>
      <c r="U50" s="84">
        <f>12150+715.48</f>
        <v>12865.48</v>
      </c>
      <c r="V50" s="85">
        <v>12865</v>
      </c>
      <c r="W50" s="84">
        <f>13642-U50</f>
        <v>776.52000000000044</v>
      </c>
      <c r="X50" s="85">
        <v>777</v>
      </c>
      <c r="Y50" s="84"/>
      <c r="Z50" s="85"/>
      <c r="AA50" s="84"/>
      <c r="AB50" s="85"/>
      <c r="AC50" s="162"/>
    </row>
    <row r="51" spans="1:29" x14ac:dyDescent="0.35">
      <c r="A51" s="159" t="s">
        <v>409</v>
      </c>
      <c r="B51" s="172"/>
      <c r="C51" s="107">
        <v>330</v>
      </c>
      <c r="D51" s="171">
        <v>330</v>
      </c>
      <c r="E51" s="50"/>
      <c r="F51" s="85"/>
      <c r="G51" s="84"/>
      <c r="H51" s="85"/>
      <c r="I51" s="84"/>
      <c r="J51" s="81"/>
      <c r="K51" s="84"/>
      <c r="L51" s="85"/>
      <c r="M51" s="84"/>
      <c r="N51" s="81"/>
      <c r="O51" s="84"/>
      <c r="P51" s="85"/>
      <c r="Q51" s="84"/>
      <c r="R51" s="81"/>
      <c r="S51" s="84"/>
      <c r="T51" s="85"/>
      <c r="U51" s="84"/>
      <c r="V51" s="85"/>
      <c r="W51" s="84">
        <v>330</v>
      </c>
      <c r="X51" s="85">
        <v>330</v>
      </c>
      <c r="Y51" s="84"/>
      <c r="Z51" s="85"/>
      <c r="AA51" s="84"/>
      <c r="AB51" s="85"/>
      <c r="AC51" s="162"/>
    </row>
    <row r="52" spans="1:29" x14ac:dyDescent="0.35">
      <c r="A52" s="42" t="s">
        <v>373</v>
      </c>
      <c r="B52" s="173"/>
      <c r="C52" s="196">
        <f>32080+5039</f>
        <v>37119</v>
      </c>
      <c r="D52" s="171">
        <v>37119</v>
      </c>
      <c r="E52" s="50"/>
      <c r="F52" s="85"/>
      <c r="G52" s="84"/>
      <c r="H52" s="85"/>
      <c r="I52" s="84"/>
      <c r="J52" s="81"/>
      <c r="K52" s="84"/>
      <c r="L52" s="85"/>
      <c r="M52" s="84"/>
      <c r="N52" s="81"/>
      <c r="O52" s="84">
        <v>11136.12</v>
      </c>
      <c r="P52" s="85">
        <v>11136.12</v>
      </c>
      <c r="Q52" s="84">
        <v>7185.75</v>
      </c>
      <c r="R52" s="81">
        <v>7185.75</v>
      </c>
      <c r="S52" s="84">
        <f>9988.44+3527.63</f>
        <v>13516.07</v>
      </c>
      <c r="T52" s="85">
        <v>13516</v>
      </c>
      <c r="U52" s="84"/>
      <c r="V52" s="85"/>
      <c r="W52" s="84">
        <v>5282</v>
      </c>
      <c r="X52" s="85">
        <v>5282</v>
      </c>
      <c r="Y52" s="84"/>
      <c r="Z52" s="85"/>
      <c r="AA52" s="84"/>
      <c r="AB52" s="85"/>
      <c r="AC52" s="162"/>
    </row>
    <row r="53" spans="1:29" x14ac:dyDescent="0.35">
      <c r="A53" s="66" t="s">
        <v>365</v>
      </c>
      <c r="B53" s="167"/>
      <c r="C53" s="107">
        <v>4050</v>
      </c>
      <c r="D53" s="171">
        <v>4050</v>
      </c>
      <c r="E53" s="84"/>
      <c r="F53" s="85"/>
      <c r="G53" s="84"/>
      <c r="H53" s="85"/>
      <c r="I53" s="84"/>
      <c r="J53" s="81"/>
      <c r="K53" s="84"/>
      <c r="L53" s="85"/>
      <c r="M53" s="84"/>
      <c r="N53" s="81"/>
      <c r="O53" s="84"/>
      <c r="P53" s="85"/>
      <c r="Q53" s="84"/>
      <c r="R53" s="81"/>
      <c r="S53" s="84">
        <v>1128.9000000000001</v>
      </c>
      <c r="T53" s="85">
        <v>1128.9000000000001</v>
      </c>
      <c r="U53" s="84">
        <v>2921</v>
      </c>
      <c r="V53" s="85">
        <v>2921</v>
      </c>
      <c r="W53" s="84"/>
      <c r="X53" s="85"/>
      <c r="Y53" s="84"/>
      <c r="Z53" s="85"/>
      <c r="AA53" s="84"/>
      <c r="AB53" s="85"/>
      <c r="AC53" s="81"/>
    </row>
    <row r="54" spans="1:29" x14ac:dyDescent="0.35">
      <c r="A54" s="159" t="s">
        <v>384</v>
      </c>
      <c r="B54" s="172"/>
      <c r="C54" s="83">
        <v>18311</v>
      </c>
      <c r="D54" s="171">
        <f>17291+1143.46-123.29</f>
        <v>18311.169999999998</v>
      </c>
      <c r="E54" s="163"/>
      <c r="F54" s="85"/>
      <c r="G54" s="84"/>
      <c r="H54" s="85"/>
      <c r="I54" s="84"/>
      <c r="J54" s="81"/>
      <c r="K54" s="84"/>
      <c r="L54" s="85"/>
      <c r="M54" s="84"/>
      <c r="N54" s="81"/>
      <c r="O54" s="84"/>
      <c r="P54" s="85"/>
      <c r="Q54" s="84">
        <v>2573.4499999999998</v>
      </c>
      <c r="R54" s="81">
        <v>2573.4499999999998</v>
      </c>
      <c r="S54" s="84">
        <v>7397.45</v>
      </c>
      <c r="T54" s="85">
        <v>7397</v>
      </c>
      <c r="U54" s="84">
        <f>7320.53+1143.46-123.29</f>
        <v>8340.6999999999989</v>
      </c>
      <c r="V54" s="85">
        <v>8341</v>
      </c>
      <c r="W54" s="84"/>
      <c r="X54" s="85"/>
      <c r="Y54" s="84"/>
      <c r="Z54" s="85"/>
      <c r="AA54" s="84"/>
      <c r="AB54" s="85"/>
      <c r="AC54" s="162"/>
    </row>
    <row r="55" spans="1:29" x14ac:dyDescent="0.35">
      <c r="A55" s="100" t="s">
        <v>359</v>
      </c>
      <c r="B55" s="172"/>
      <c r="C55" s="107">
        <v>16094</v>
      </c>
      <c r="D55" s="171">
        <v>16094</v>
      </c>
      <c r="E55" s="84"/>
      <c r="F55" s="85"/>
      <c r="G55" s="84"/>
      <c r="H55" s="85"/>
      <c r="I55" s="84"/>
      <c r="J55" s="81"/>
      <c r="K55" s="84"/>
      <c r="L55" s="85"/>
      <c r="M55" s="84"/>
      <c r="N55" s="81"/>
      <c r="O55" s="84">
        <v>4828.21</v>
      </c>
      <c r="P55" s="85">
        <v>4828.21</v>
      </c>
      <c r="Q55" s="84">
        <v>6905.12</v>
      </c>
      <c r="R55" s="81">
        <v>6905.12</v>
      </c>
      <c r="S55" s="84">
        <v>2048.38</v>
      </c>
      <c r="T55" s="85">
        <v>2048</v>
      </c>
      <c r="U55" s="84">
        <f>C55-O55-Q55-S55</f>
        <v>2312.2900000000009</v>
      </c>
      <c r="V55" s="85">
        <v>2312</v>
      </c>
      <c r="W55" s="84"/>
      <c r="X55" s="85"/>
      <c r="Y55" s="84"/>
      <c r="Z55" s="85"/>
      <c r="AA55" s="84"/>
      <c r="AB55" s="85"/>
      <c r="AC55" s="81"/>
    </row>
    <row r="56" spans="1:29" x14ac:dyDescent="0.35">
      <c r="A56" s="41" t="s">
        <v>328</v>
      </c>
      <c r="B56" s="170"/>
      <c r="C56" s="196">
        <f>51048-2700</f>
        <v>48348</v>
      </c>
      <c r="D56" s="171">
        <f>51048-2700</f>
        <v>48348</v>
      </c>
      <c r="E56" s="84">
        <v>15605</v>
      </c>
      <c r="F56" s="85">
        <v>15604.9</v>
      </c>
      <c r="G56" s="84">
        <v>7359.96</v>
      </c>
      <c r="H56" s="85">
        <v>7360</v>
      </c>
      <c r="I56" s="84">
        <v>10221</v>
      </c>
      <c r="J56" s="81">
        <v>10221</v>
      </c>
      <c r="K56" s="84">
        <v>2111.1999999999998</v>
      </c>
      <c r="L56" s="85">
        <v>2111.1999999999998</v>
      </c>
      <c r="M56" s="84"/>
      <c r="N56" s="81"/>
      <c r="O56" s="84">
        <v>8285.81</v>
      </c>
      <c r="P56" s="85">
        <v>8285.81</v>
      </c>
      <c r="Q56" s="84"/>
      <c r="R56" s="81"/>
      <c r="S56" s="84">
        <v>-442</v>
      </c>
      <c r="T56" s="85">
        <v>-442</v>
      </c>
      <c r="U56" s="84"/>
      <c r="V56" s="85"/>
      <c r="W56" s="84"/>
      <c r="X56" s="85"/>
      <c r="Y56" s="84"/>
      <c r="Z56" s="85"/>
      <c r="AA56" s="84"/>
      <c r="AB56" s="85"/>
      <c r="AC56" s="81"/>
    </row>
    <row r="57" spans="1:29" x14ac:dyDescent="0.35">
      <c r="A57" s="160" t="s">
        <v>386</v>
      </c>
      <c r="B57" s="177"/>
      <c r="C57" s="83">
        <f>8400+450</f>
        <v>8850</v>
      </c>
      <c r="D57" s="171">
        <v>8850</v>
      </c>
      <c r="E57" s="163"/>
      <c r="F57" s="85"/>
      <c r="G57" s="84"/>
      <c r="H57" s="85"/>
      <c r="I57" s="84"/>
      <c r="J57" s="81"/>
      <c r="K57" s="84"/>
      <c r="L57" s="85"/>
      <c r="M57" s="84"/>
      <c r="N57" s="81"/>
      <c r="O57" s="84"/>
      <c r="P57" s="85"/>
      <c r="Q57" s="84">
        <v>2520</v>
      </c>
      <c r="R57" s="81">
        <v>2520</v>
      </c>
      <c r="S57" s="84"/>
      <c r="T57" s="85"/>
      <c r="U57" s="84">
        <f>5880+450</f>
        <v>6330</v>
      </c>
      <c r="V57" s="85">
        <v>6330</v>
      </c>
      <c r="W57" s="84"/>
      <c r="X57" s="85"/>
      <c r="Y57" s="84"/>
      <c r="Z57" s="85"/>
      <c r="AA57" s="84"/>
      <c r="AB57" s="85"/>
      <c r="AC57" s="162"/>
    </row>
    <row r="58" spans="1:29" x14ac:dyDescent="0.35">
      <c r="A58" s="151" t="s">
        <v>380</v>
      </c>
      <c r="B58" s="167"/>
      <c r="C58" s="83">
        <v>5757</v>
      </c>
      <c r="D58" s="168">
        <v>5757</v>
      </c>
      <c r="E58" s="163"/>
      <c r="F58" s="85"/>
      <c r="G58" s="84"/>
      <c r="H58" s="85"/>
      <c r="I58" s="84"/>
      <c r="J58" s="81"/>
      <c r="K58" s="84"/>
      <c r="L58" s="85"/>
      <c r="M58" s="84"/>
      <c r="N58" s="81"/>
      <c r="O58" s="84">
        <v>1727.25</v>
      </c>
      <c r="P58" s="85">
        <v>1725.25</v>
      </c>
      <c r="Q58" s="84"/>
      <c r="R58" s="81"/>
      <c r="S58" s="84">
        <v>4030.17</v>
      </c>
      <c r="T58" s="85">
        <v>4030.17</v>
      </c>
      <c r="U58" s="84"/>
      <c r="V58" s="85"/>
      <c r="W58" s="84"/>
      <c r="X58" s="85"/>
      <c r="Y58" s="84"/>
      <c r="Z58" s="85"/>
      <c r="AA58" s="84"/>
      <c r="AB58" s="85"/>
      <c r="AC58" s="162"/>
    </row>
    <row r="59" spans="1:29" x14ac:dyDescent="0.35">
      <c r="A59" s="160" t="s">
        <v>385</v>
      </c>
      <c r="B59" s="177"/>
      <c r="C59" s="83">
        <v>6000</v>
      </c>
      <c r="D59" s="171">
        <v>6000</v>
      </c>
      <c r="E59" s="163"/>
      <c r="F59" s="85"/>
      <c r="G59" s="84"/>
      <c r="H59" s="85"/>
      <c r="I59" s="84"/>
      <c r="J59" s="81"/>
      <c r="K59" s="84"/>
      <c r="L59" s="85"/>
      <c r="M59" s="84"/>
      <c r="N59" s="81"/>
      <c r="O59" s="84"/>
      <c r="P59" s="85"/>
      <c r="Q59" s="84">
        <v>3120</v>
      </c>
      <c r="R59" s="81">
        <v>3120</v>
      </c>
      <c r="S59" s="84">
        <v>2880</v>
      </c>
      <c r="T59" s="85">
        <v>2880</v>
      </c>
      <c r="U59" s="84"/>
      <c r="V59" s="85"/>
      <c r="W59" s="84"/>
      <c r="X59" s="85"/>
      <c r="Y59" s="84"/>
      <c r="Z59" s="85"/>
      <c r="AA59" s="84"/>
      <c r="AB59" s="85"/>
      <c r="AC59" s="162"/>
    </row>
    <row r="60" spans="1:29" x14ac:dyDescent="0.35">
      <c r="A60" s="100" t="s">
        <v>366</v>
      </c>
      <c r="B60" s="172"/>
      <c r="C60" s="107">
        <v>6000</v>
      </c>
      <c r="D60" s="171">
        <v>6000</v>
      </c>
      <c r="E60" s="84"/>
      <c r="F60" s="85"/>
      <c r="G60" s="84"/>
      <c r="H60" s="85"/>
      <c r="I60" s="84"/>
      <c r="J60" s="81"/>
      <c r="K60" s="84"/>
      <c r="L60" s="85"/>
      <c r="M60" s="84"/>
      <c r="N60" s="81"/>
      <c r="O60" s="84"/>
      <c r="P60" s="85"/>
      <c r="Q60" s="84">
        <v>6000</v>
      </c>
      <c r="R60" s="81">
        <v>6000</v>
      </c>
      <c r="S60" s="84"/>
      <c r="T60" s="85"/>
      <c r="U60" s="84"/>
      <c r="V60" s="85"/>
      <c r="W60" s="84"/>
      <c r="X60" s="85"/>
      <c r="Y60" s="84"/>
      <c r="Z60" s="85"/>
      <c r="AA60" s="84"/>
      <c r="AB60" s="85"/>
      <c r="AC60" s="162"/>
    </row>
    <row r="61" spans="1:29" ht="16.5" customHeight="1" x14ac:dyDescent="0.35">
      <c r="A61" s="151" t="s">
        <v>388</v>
      </c>
      <c r="B61" s="177"/>
      <c r="C61" s="83">
        <v>344</v>
      </c>
      <c r="D61" s="171">
        <v>344</v>
      </c>
      <c r="E61" s="163"/>
      <c r="F61" s="85"/>
      <c r="G61" s="84"/>
      <c r="H61" s="85"/>
      <c r="I61" s="84"/>
      <c r="J61" s="81"/>
      <c r="K61" s="84"/>
      <c r="L61" s="85"/>
      <c r="M61" s="84"/>
      <c r="N61" s="81"/>
      <c r="O61" s="84"/>
      <c r="P61" s="85"/>
      <c r="Q61" s="84">
        <v>344</v>
      </c>
      <c r="R61" s="81">
        <v>344</v>
      </c>
      <c r="S61" s="84"/>
      <c r="T61" s="85"/>
      <c r="U61" s="84"/>
      <c r="V61" s="85"/>
      <c r="W61" s="84"/>
      <c r="X61" s="85"/>
      <c r="Y61" s="84"/>
      <c r="Z61" s="85"/>
      <c r="AA61" s="84"/>
      <c r="AB61" s="85"/>
      <c r="AC61" s="162"/>
    </row>
    <row r="62" spans="1:29" x14ac:dyDescent="0.35">
      <c r="A62" s="43" t="s">
        <v>340</v>
      </c>
      <c r="B62" s="174"/>
      <c r="C62" s="107">
        <v>20557</v>
      </c>
      <c r="D62" s="171">
        <v>20557</v>
      </c>
      <c r="E62" s="84"/>
      <c r="F62" s="85"/>
      <c r="G62" s="84"/>
      <c r="H62" s="85"/>
      <c r="I62" s="84"/>
      <c r="J62" s="81"/>
      <c r="K62" s="84"/>
      <c r="L62" s="85"/>
      <c r="M62" s="84"/>
      <c r="N62" s="81"/>
      <c r="O62" s="84">
        <f>5139.26+5139.26</f>
        <v>10278.52</v>
      </c>
      <c r="P62" s="85">
        <f>5139.26*2</f>
        <v>10278.52</v>
      </c>
      <c r="Q62" s="84">
        <f>20557-O62</f>
        <v>10278.48</v>
      </c>
      <c r="R62" s="81">
        <v>10278</v>
      </c>
      <c r="S62" s="84"/>
      <c r="T62" s="85"/>
      <c r="U62" s="84"/>
      <c r="V62" s="85"/>
      <c r="W62" s="84"/>
      <c r="X62" s="85"/>
      <c r="Y62" s="84"/>
      <c r="Z62" s="85"/>
      <c r="AA62" s="84"/>
      <c r="AB62" s="85"/>
      <c r="AC62" s="81"/>
    </row>
    <row r="63" spans="1:29" x14ac:dyDescent="0.35">
      <c r="A63" s="150" t="s">
        <v>382</v>
      </c>
      <c r="B63" s="173"/>
      <c r="C63" s="83">
        <v>7631</v>
      </c>
      <c r="D63" s="168">
        <v>7631</v>
      </c>
      <c r="E63" s="163"/>
      <c r="F63" s="85"/>
      <c r="G63" s="84"/>
      <c r="H63" s="85"/>
      <c r="I63" s="84">
        <v>1748</v>
      </c>
      <c r="J63" s="81">
        <v>1748</v>
      </c>
      <c r="K63" s="84"/>
      <c r="L63" s="85"/>
      <c r="M63" s="84">
        <v>1737.12</v>
      </c>
      <c r="N63" s="81">
        <v>1737.12</v>
      </c>
      <c r="O63" s="84">
        <v>4145.6000000000004</v>
      </c>
      <c r="P63" s="85">
        <v>4145.6000000000004</v>
      </c>
      <c r="Q63" s="84"/>
      <c r="R63" s="81"/>
      <c r="S63" s="84"/>
      <c r="T63" s="85"/>
      <c r="U63" s="84"/>
      <c r="V63" s="85"/>
      <c r="W63" s="84"/>
      <c r="X63" s="85"/>
      <c r="Y63" s="84"/>
      <c r="Z63" s="85"/>
      <c r="AA63" s="84"/>
      <c r="AB63" s="85"/>
      <c r="AC63" s="162"/>
    </row>
    <row r="64" spans="1:29" x14ac:dyDescent="0.35">
      <c r="A64" s="100" t="s">
        <v>341</v>
      </c>
      <c r="B64" s="172"/>
      <c r="C64" s="196">
        <f>28218+226.86</f>
        <v>28444.86</v>
      </c>
      <c r="D64" s="171">
        <f>28218+226.86</f>
        <v>28444.86</v>
      </c>
      <c r="E64" s="84"/>
      <c r="F64" s="85"/>
      <c r="G64" s="84">
        <v>17797</v>
      </c>
      <c r="H64" s="85">
        <v>17797</v>
      </c>
      <c r="I64" s="84"/>
      <c r="J64" s="81"/>
      <c r="K64" s="50">
        <v>7076.03</v>
      </c>
      <c r="L64" s="85">
        <v>7076.03</v>
      </c>
      <c r="M64" s="84">
        <v>3345</v>
      </c>
      <c r="N64" s="81">
        <v>3345</v>
      </c>
      <c r="O64" s="84"/>
      <c r="P64" s="85"/>
      <c r="Q64" s="84"/>
      <c r="R64" s="81"/>
      <c r="S64" s="84"/>
      <c r="T64" s="85"/>
      <c r="U64" s="84"/>
      <c r="V64" s="85"/>
      <c r="W64" s="84"/>
      <c r="X64" s="85"/>
      <c r="Y64" s="84"/>
      <c r="Z64" s="85"/>
      <c r="AA64" s="84">
        <v>226.86</v>
      </c>
      <c r="AB64" s="85">
        <v>226.86</v>
      </c>
      <c r="AC64" s="81"/>
    </row>
    <row r="65" spans="1:33" x14ac:dyDescent="0.35">
      <c r="A65" s="66" t="s">
        <v>377</v>
      </c>
      <c r="B65" s="167"/>
      <c r="C65" s="107">
        <v>11253</v>
      </c>
      <c r="D65" s="171">
        <v>11253</v>
      </c>
      <c r="E65" s="50"/>
      <c r="F65" s="85"/>
      <c r="G65" s="84"/>
      <c r="H65" s="85"/>
      <c r="I65" s="84"/>
      <c r="J65" s="81"/>
      <c r="K65" s="84"/>
      <c r="L65" s="85"/>
      <c r="M65" s="84">
        <v>11252.7</v>
      </c>
      <c r="N65" s="81">
        <v>11252.7</v>
      </c>
      <c r="O65" s="84"/>
      <c r="P65" s="85"/>
      <c r="Q65" s="84"/>
      <c r="R65" s="81"/>
      <c r="S65" s="84"/>
      <c r="T65" s="85"/>
      <c r="U65" s="84"/>
      <c r="V65" s="85"/>
      <c r="W65" s="84"/>
      <c r="X65" s="85"/>
      <c r="Y65" s="84"/>
      <c r="Z65" s="85"/>
      <c r="AA65" s="84"/>
      <c r="AB65" s="85"/>
      <c r="AC65" s="162"/>
    </row>
    <row r="66" spans="1:33" x14ac:dyDescent="0.35">
      <c r="A66" s="161" t="s">
        <v>353</v>
      </c>
      <c r="B66" s="174"/>
      <c r="C66" s="107">
        <v>11957</v>
      </c>
      <c r="D66" s="171">
        <v>11957</v>
      </c>
      <c r="E66" s="84">
        <v>9622</v>
      </c>
      <c r="F66" s="85">
        <v>9621.5400000000009</v>
      </c>
      <c r="G66" s="84"/>
      <c r="H66" s="85"/>
      <c r="I66" s="84"/>
      <c r="J66" s="81"/>
      <c r="K66" s="84"/>
      <c r="L66" s="85"/>
      <c r="M66" s="84">
        <v>2336.2800000000002</v>
      </c>
      <c r="N66" s="81">
        <v>2336.2800000000002</v>
      </c>
      <c r="O66" s="84"/>
      <c r="P66" s="85"/>
      <c r="Q66" s="84"/>
      <c r="R66" s="81"/>
      <c r="S66" s="84"/>
      <c r="T66" s="85"/>
      <c r="U66" s="84"/>
      <c r="V66" s="85"/>
      <c r="W66" s="84"/>
      <c r="X66" s="85"/>
      <c r="Y66" s="84"/>
      <c r="Z66" s="85"/>
      <c r="AA66" s="84"/>
      <c r="AB66" s="85"/>
      <c r="AC66" s="81"/>
    </row>
    <row r="67" spans="1:33" x14ac:dyDescent="0.35">
      <c r="A67" s="100" t="s">
        <v>329</v>
      </c>
      <c r="B67" s="172"/>
      <c r="C67" s="107">
        <v>60272</v>
      </c>
      <c r="D67" s="171">
        <v>60272</v>
      </c>
      <c r="E67" s="84"/>
      <c r="F67" s="85"/>
      <c r="G67" s="84">
        <v>27302</v>
      </c>
      <c r="H67" s="85">
        <v>27302</v>
      </c>
      <c r="I67" s="84">
        <v>8602</v>
      </c>
      <c r="J67" s="81">
        <v>8602</v>
      </c>
      <c r="K67" s="84">
        <f>3645.28+20722.96</f>
        <v>24368.239999999998</v>
      </c>
      <c r="L67" s="85">
        <f>3645.28+20722.96</f>
        <v>24368.239999999998</v>
      </c>
      <c r="M67" s="84"/>
      <c r="N67" s="81"/>
      <c r="O67" s="84"/>
      <c r="P67" s="85"/>
      <c r="Q67" s="84"/>
      <c r="R67" s="81"/>
      <c r="S67" s="84"/>
      <c r="T67" s="85"/>
      <c r="U67" s="84"/>
      <c r="V67" s="85"/>
      <c r="W67" s="84"/>
      <c r="X67" s="85"/>
      <c r="Y67" s="84"/>
      <c r="Z67" s="85"/>
      <c r="AA67" s="84"/>
      <c r="AB67" s="85"/>
      <c r="AC67" s="81"/>
    </row>
    <row r="68" spans="1:33" x14ac:dyDescent="0.35">
      <c r="A68" s="41" t="s">
        <v>327</v>
      </c>
      <c r="B68" s="170"/>
      <c r="C68" s="107">
        <v>36749</v>
      </c>
      <c r="D68" s="171">
        <v>36749</v>
      </c>
      <c r="E68" s="84"/>
      <c r="F68" s="85"/>
      <c r="G68" s="84">
        <v>18576</v>
      </c>
      <c r="H68" s="85">
        <v>18576</v>
      </c>
      <c r="I68" s="84">
        <v>11252</v>
      </c>
      <c r="J68" s="81">
        <v>11252</v>
      </c>
      <c r="K68" s="84">
        <v>6920</v>
      </c>
      <c r="L68" s="85">
        <v>6920</v>
      </c>
      <c r="M68" s="84"/>
      <c r="N68" s="81"/>
      <c r="O68" s="84"/>
      <c r="P68" s="85"/>
      <c r="Q68" s="84"/>
      <c r="R68" s="81"/>
      <c r="S68" s="84"/>
      <c r="T68" s="85"/>
      <c r="U68" s="84"/>
      <c r="V68" s="85"/>
      <c r="W68" s="84"/>
      <c r="X68" s="85"/>
      <c r="Y68" s="84"/>
      <c r="Z68" s="85"/>
      <c r="AA68" s="84"/>
      <c r="AB68" s="85"/>
      <c r="AC68" s="81"/>
    </row>
    <row r="69" spans="1:33" x14ac:dyDescent="0.35">
      <c r="A69" s="42" t="s">
        <v>362</v>
      </c>
      <c r="B69" s="173"/>
      <c r="C69" s="107">
        <v>38516</v>
      </c>
      <c r="D69" s="171">
        <v>38516</v>
      </c>
      <c r="E69" s="84"/>
      <c r="F69" s="85"/>
      <c r="G69" s="84">
        <v>19610</v>
      </c>
      <c r="H69" s="85">
        <v>19610</v>
      </c>
      <c r="I69" s="84">
        <v>4011</v>
      </c>
      <c r="J69" s="81">
        <v>4011</v>
      </c>
      <c r="K69" s="84">
        <f>10224.61+4679.97</f>
        <v>14904.580000000002</v>
      </c>
      <c r="L69" s="85">
        <v>14905</v>
      </c>
      <c r="M69" s="84"/>
      <c r="N69" s="81"/>
      <c r="O69" s="84"/>
      <c r="P69" s="85"/>
      <c r="Q69" s="84"/>
      <c r="R69" s="81"/>
      <c r="S69" s="84"/>
      <c r="T69" s="85"/>
      <c r="U69" s="84"/>
      <c r="V69" s="85"/>
      <c r="W69" s="84"/>
      <c r="X69" s="85"/>
      <c r="Y69" s="84"/>
      <c r="Z69" s="85"/>
      <c r="AA69" s="84"/>
      <c r="AB69" s="85"/>
      <c r="AC69" s="81"/>
    </row>
    <row r="70" spans="1:33" x14ac:dyDescent="0.35">
      <c r="A70" s="41" t="s">
        <v>321</v>
      </c>
      <c r="B70" s="170"/>
      <c r="C70" s="107">
        <v>1783</v>
      </c>
      <c r="D70" s="171">
        <v>1783</v>
      </c>
      <c r="E70" s="84"/>
      <c r="F70" s="85"/>
      <c r="G70" s="84"/>
      <c r="H70" s="85"/>
      <c r="I70" s="84"/>
      <c r="J70" s="81"/>
      <c r="K70" s="84">
        <v>1781.5</v>
      </c>
      <c r="L70" s="85">
        <v>1781.5</v>
      </c>
      <c r="M70" s="84"/>
      <c r="N70" s="81"/>
      <c r="O70" s="84"/>
      <c r="P70" s="85"/>
      <c r="Q70" s="84"/>
      <c r="R70" s="81"/>
      <c r="S70" s="84"/>
      <c r="T70" s="85"/>
      <c r="U70" s="84"/>
      <c r="V70" s="85"/>
      <c r="W70" s="84"/>
      <c r="X70" s="85"/>
      <c r="Y70" s="84"/>
      <c r="Z70" s="85"/>
      <c r="AA70" s="84"/>
      <c r="AB70" s="85"/>
      <c r="AC70" s="81"/>
    </row>
    <row r="71" spans="1:33" x14ac:dyDescent="0.35">
      <c r="A71" s="42" t="s">
        <v>370</v>
      </c>
      <c r="B71" s="173"/>
      <c r="C71" s="195">
        <v>27209</v>
      </c>
      <c r="D71" s="168">
        <v>27209</v>
      </c>
      <c r="E71" s="84"/>
      <c r="F71" s="85"/>
      <c r="G71" s="84">
        <v>11759</v>
      </c>
      <c r="H71" s="85">
        <v>11759</v>
      </c>
      <c r="I71" s="84">
        <v>15450</v>
      </c>
      <c r="J71" s="81">
        <v>15450</v>
      </c>
      <c r="K71" s="84"/>
      <c r="L71" s="85"/>
      <c r="M71" s="84"/>
      <c r="N71" s="81"/>
      <c r="O71" s="84"/>
      <c r="P71" s="85"/>
      <c r="Q71" s="84"/>
      <c r="R71" s="81"/>
      <c r="S71" s="84"/>
      <c r="T71" s="85"/>
      <c r="U71" s="84"/>
      <c r="V71" s="85"/>
      <c r="W71" s="84"/>
      <c r="X71" s="85"/>
      <c r="Y71" s="84"/>
      <c r="Z71" s="85"/>
      <c r="AA71" s="84"/>
      <c r="AB71" s="85"/>
      <c r="AC71" s="162"/>
    </row>
    <row r="72" spans="1:33" x14ac:dyDescent="0.35">
      <c r="A72" s="150" t="s">
        <v>364</v>
      </c>
      <c r="B72" s="173"/>
      <c r="C72" s="195">
        <v>13034</v>
      </c>
      <c r="D72" s="168">
        <v>13034</v>
      </c>
      <c r="E72" s="163">
        <v>6812</v>
      </c>
      <c r="F72" s="85">
        <v>6812</v>
      </c>
      <c r="G72" s="84"/>
      <c r="H72" s="85"/>
      <c r="I72" s="84">
        <v>6222</v>
      </c>
      <c r="J72" s="81">
        <v>6222</v>
      </c>
      <c r="K72" s="84"/>
      <c r="L72" s="85"/>
      <c r="M72" s="84"/>
      <c r="N72" s="81"/>
      <c r="O72" s="84"/>
      <c r="P72" s="85"/>
      <c r="Q72" s="84"/>
      <c r="R72" s="81"/>
      <c r="S72" s="84"/>
      <c r="T72" s="85"/>
      <c r="U72" s="84"/>
      <c r="V72" s="85"/>
      <c r="W72" s="84"/>
      <c r="X72" s="85"/>
      <c r="Y72" s="84"/>
      <c r="Z72" s="85"/>
      <c r="AA72" s="84"/>
      <c r="AB72" s="85"/>
      <c r="AC72" s="162"/>
    </row>
    <row r="73" spans="1:33" x14ac:dyDescent="0.35">
      <c r="A73" s="42" t="s">
        <v>374</v>
      </c>
      <c r="B73" s="173"/>
      <c r="C73" s="195">
        <v>3887</v>
      </c>
      <c r="D73" s="168">
        <v>3887</v>
      </c>
      <c r="E73" s="50" t="s">
        <v>91</v>
      </c>
      <c r="F73" s="85"/>
      <c r="G73" s="84"/>
      <c r="H73" s="85"/>
      <c r="I73" s="84">
        <v>3887</v>
      </c>
      <c r="J73" s="81">
        <v>3887</v>
      </c>
      <c r="K73" s="84"/>
      <c r="L73" s="85"/>
      <c r="M73" s="84"/>
      <c r="N73" s="81"/>
      <c r="O73" s="84"/>
      <c r="P73" s="85"/>
      <c r="Q73" s="84"/>
      <c r="R73" s="81"/>
      <c r="S73" s="84"/>
      <c r="T73" s="85"/>
      <c r="U73" s="84"/>
      <c r="V73" s="85"/>
      <c r="W73" s="84"/>
      <c r="X73" s="85"/>
      <c r="Y73" s="84"/>
      <c r="Z73" s="85"/>
      <c r="AA73" s="84"/>
      <c r="AB73" s="85"/>
      <c r="AC73" s="162"/>
    </row>
    <row r="74" spans="1:33" x14ac:dyDescent="0.35">
      <c r="A74" s="100" t="s">
        <v>339</v>
      </c>
      <c r="B74" s="172"/>
      <c r="C74" s="107">
        <f>15000+4649</f>
        <v>19649</v>
      </c>
      <c r="D74" s="171">
        <v>19649</v>
      </c>
      <c r="E74" s="84">
        <v>8114</v>
      </c>
      <c r="F74" s="85">
        <v>8114.37</v>
      </c>
      <c r="G74" s="84"/>
      <c r="H74" s="85"/>
      <c r="I74" s="84">
        <v>11533</v>
      </c>
      <c r="J74" s="81">
        <v>11533</v>
      </c>
      <c r="K74" s="84"/>
      <c r="L74" s="85"/>
      <c r="M74" s="84"/>
      <c r="N74" s="81"/>
      <c r="O74" s="84"/>
      <c r="P74" s="85"/>
      <c r="Q74" s="84"/>
      <c r="R74" s="81"/>
      <c r="S74" s="84"/>
      <c r="T74" s="85"/>
      <c r="U74" s="84"/>
      <c r="V74" s="85"/>
      <c r="W74" s="50" t="s">
        <v>91</v>
      </c>
      <c r="X74" s="85"/>
      <c r="Y74" s="84"/>
      <c r="Z74" s="85"/>
      <c r="AA74" s="84"/>
      <c r="AB74" s="85"/>
      <c r="AC74" s="81"/>
    </row>
    <row r="75" spans="1:33" x14ac:dyDescent="0.35">
      <c r="A75" s="100" t="s">
        <v>343</v>
      </c>
      <c r="B75" s="172"/>
      <c r="C75" s="107">
        <f>5476-1286</f>
        <v>4190</v>
      </c>
      <c r="D75" s="171">
        <v>4190</v>
      </c>
      <c r="E75" s="84">
        <v>3115</v>
      </c>
      <c r="F75" s="85">
        <v>3114.52</v>
      </c>
      <c r="G75" s="84">
        <v>1075</v>
      </c>
      <c r="H75" s="85">
        <v>1075</v>
      </c>
      <c r="I75" s="84"/>
      <c r="J75" s="81"/>
      <c r="K75" s="84"/>
      <c r="L75" s="85"/>
      <c r="M75" s="84"/>
      <c r="N75" s="81"/>
      <c r="O75" s="84"/>
      <c r="P75" s="85"/>
      <c r="Q75" s="84"/>
      <c r="R75" s="81"/>
      <c r="S75" s="84"/>
      <c r="T75" s="85"/>
      <c r="U75" s="84"/>
      <c r="V75" s="85"/>
      <c r="W75" s="84"/>
      <c r="X75" s="85"/>
      <c r="Y75" s="84"/>
      <c r="Z75" s="85"/>
      <c r="AA75" s="84"/>
      <c r="AB75" s="85"/>
      <c r="AC75" s="81"/>
    </row>
    <row r="76" spans="1:33" x14ac:dyDescent="0.35">
      <c r="A76" s="42" t="s">
        <v>367</v>
      </c>
      <c r="B76" s="173"/>
      <c r="C76" s="83">
        <v>4299</v>
      </c>
      <c r="D76" s="168">
        <v>4299</v>
      </c>
      <c r="E76" s="163"/>
      <c r="F76" s="85"/>
      <c r="G76" s="84">
        <v>4299</v>
      </c>
      <c r="H76" s="85">
        <v>4299</v>
      </c>
      <c r="I76" s="84"/>
      <c r="J76" s="81"/>
      <c r="K76" s="84"/>
      <c r="L76" s="85"/>
      <c r="M76" s="84"/>
      <c r="N76" s="81"/>
      <c r="O76" s="84"/>
      <c r="P76" s="85"/>
      <c r="Q76" s="84"/>
      <c r="R76" s="81"/>
      <c r="S76" s="84"/>
      <c r="T76" s="85"/>
      <c r="U76" s="84"/>
      <c r="V76" s="85"/>
      <c r="W76" s="84"/>
      <c r="X76" s="85"/>
      <c r="Y76" s="84"/>
      <c r="Z76" s="85"/>
      <c r="AA76" s="84"/>
      <c r="AB76" s="85"/>
      <c r="AC76" s="162"/>
    </row>
    <row r="77" spans="1:33" x14ac:dyDescent="0.35">
      <c r="A77" s="161" t="s">
        <v>354</v>
      </c>
      <c r="B77" s="174"/>
      <c r="C77" s="107">
        <v>5165</v>
      </c>
      <c r="D77" s="171">
        <v>5165</v>
      </c>
      <c r="E77" s="84"/>
      <c r="F77" s="85"/>
      <c r="G77" s="84">
        <v>5165</v>
      </c>
      <c r="H77" s="85">
        <v>5165</v>
      </c>
      <c r="I77" s="84"/>
      <c r="J77" s="81"/>
      <c r="K77" s="84"/>
      <c r="L77" s="85"/>
      <c r="M77" s="84"/>
      <c r="N77" s="81"/>
      <c r="O77" s="84"/>
      <c r="P77" s="85"/>
      <c r="Q77" s="84"/>
      <c r="R77" s="81"/>
      <c r="S77" s="84"/>
      <c r="T77" s="85"/>
      <c r="U77" s="84"/>
      <c r="V77" s="85"/>
      <c r="W77" s="84"/>
      <c r="X77" s="85"/>
      <c r="Y77" s="84"/>
      <c r="Z77" s="85"/>
      <c r="AA77" s="84"/>
      <c r="AB77" s="85"/>
      <c r="AC77" s="81"/>
    </row>
    <row r="78" spans="1:33" x14ac:dyDescent="0.35">
      <c r="A78" s="41" t="s">
        <v>371</v>
      </c>
      <c r="B78" s="170"/>
      <c r="C78" s="83">
        <v>556</v>
      </c>
      <c r="D78" s="168">
        <v>556</v>
      </c>
      <c r="E78" s="84">
        <v>556</v>
      </c>
      <c r="F78" s="85">
        <v>556</v>
      </c>
      <c r="G78" s="84"/>
      <c r="H78" s="85"/>
      <c r="I78" s="84"/>
      <c r="J78" s="81"/>
      <c r="K78" s="84"/>
      <c r="L78" s="85"/>
      <c r="M78" s="84"/>
      <c r="N78" s="81"/>
      <c r="O78" s="84"/>
      <c r="P78" s="85"/>
      <c r="Q78" s="50" t="s">
        <v>401</v>
      </c>
      <c r="R78" s="81"/>
      <c r="S78" s="84"/>
      <c r="T78" s="85"/>
      <c r="U78" s="84"/>
      <c r="V78" s="85"/>
      <c r="W78" s="84"/>
      <c r="X78" s="85"/>
      <c r="Y78" s="84"/>
      <c r="Z78" s="85"/>
      <c r="AA78" s="84"/>
      <c r="AB78" s="85"/>
      <c r="AC78" s="162"/>
    </row>
    <row r="79" spans="1:33" x14ac:dyDescent="0.35">
      <c r="A79" s="148" t="s">
        <v>376</v>
      </c>
      <c r="B79" s="179"/>
      <c r="C79" s="83">
        <v>500</v>
      </c>
      <c r="D79" s="168">
        <v>500</v>
      </c>
      <c r="E79" s="50">
        <v>500</v>
      </c>
      <c r="F79" s="85">
        <v>500</v>
      </c>
      <c r="G79" s="84"/>
      <c r="H79" s="85"/>
      <c r="I79" s="84"/>
      <c r="J79" s="81"/>
      <c r="K79" s="84"/>
      <c r="L79" s="85"/>
      <c r="M79" s="84"/>
      <c r="N79" s="81"/>
      <c r="O79" s="84"/>
      <c r="P79" s="85"/>
      <c r="Q79" s="84"/>
      <c r="R79" s="81"/>
      <c r="S79" s="84"/>
      <c r="T79" s="85"/>
      <c r="U79" s="84"/>
      <c r="V79" s="85"/>
      <c r="W79" s="84"/>
      <c r="X79" s="85"/>
      <c r="Y79" s="84"/>
      <c r="Z79" s="85"/>
      <c r="AA79" s="84"/>
      <c r="AB79" s="85"/>
      <c r="AC79" s="162"/>
    </row>
    <row r="80" spans="1:33" x14ac:dyDescent="0.35">
      <c r="A80" s="161" t="s">
        <v>368</v>
      </c>
      <c r="B80" s="174"/>
      <c r="C80" s="83">
        <v>1990</v>
      </c>
      <c r="D80" s="168">
        <v>1990</v>
      </c>
      <c r="E80" s="84">
        <v>1990</v>
      </c>
      <c r="F80" s="85">
        <v>1990.11</v>
      </c>
      <c r="G80" s="84"/>
      <c r="H80" s="85"/>
      <c r="I80" s="84"/>
      <c r="J80" s="81"/>
      <c r="K80" s="84"/>
      <c r="L80" s="85"/>
      <c r="M80" s="84"/>
      <c r="N80" s="81"/>
      <c r="O80" s="84"/>
      <c r="P80" s="85"/>
      <c r="Q80" s="84"/>
      <c r="R80" s="81"/>
      <c r="S80" s="84"/>
      <c r="T80" s="85"/>
      <c r="U80" s="84"/>
      <c r="V80" s="85"/>
      <c r="W80" s="84"/>
      <c r="X80" s="85"/>
      <c r="Y80" s="84"/>
      <c r="Z80" s="85"/>
      <c r="AA80" s="84"/>
      <c r="AB80" s="85"/>
      <c r="AC80" s="162"/>
      <c r="AG80" t="s">
        <v>91</v>
      </c>
    </row>
    <row r="81" spans="1:31" x14ac:dyDescent="0.35">
      <c r="A81" s="159"/>
      <c r="B81" s="173"/>
      <c r="C81" s="83"/>
      <c r="D81" s="168"/>
      <c r="E81" s="163"/>
      <c r="F81" s="85"/>
      <c r="G81" s="84"/>
      <c r="H81" s="85"/>
      <c r="I81" s="84"/>
      <c r="J81" s="81"/>
      <c r="K81" s="84"/>
      <c r="L81" s="85"/>
      <c r="M81" s="84"/>
      <c r="N81" s="81"/>
      <c r="O81" s="84"/>
      <c r="P81" s="85"/>
      <c r="Q81" s="84"/>
      <c r="R81" s="81"/>
      <c r="S81" s="84"/>
      <c r="T81" s="85"/>
      <c r="U81" s="84"/>
      <c r="V81" s="85"/>
      <c r="W81" s="84"/>
      <c r="X81" s="85"/>
      <c r="Y81" s="84"/>
      <c r="Z81" s="85"/>
      <c r="AA81" s="84"/>
      <c r="AB81" s="85"/>
      <c r="AC81" s="162"/>
    </row>
    <row r="82" spans="1:31" x14ac:dyDescent="0.35">
      <c r="A82" s="159"/>
      <c r="B82" s="181"/>
      <c r="C82" s="182"/>
      <c r="D82" s="183"/>
      <c r="E82" s="164"/>
      <c r="F82" s="152"/>
      <c r="G82" s="153"/>
      <c r="H82" s="144"/>
      <c r="I82" s="153"/>
      <c r="J82" s="147"/>
      <c r="K82" s="153"/>
      <c r="L82" s="144"/>
      <c r="M82" s="153"/>
      <c r="N82" s="147"/>
      <c r="O82" s="153"/>
      <c r="P82" s="144"/>
      <c r="Q82" s="153"/>
      <c r="R82" s="147"/>
      <c r="S82" s="153"/>
      <c r="T82" s="144"/>
      <c r="U82" s="153"/>
      <c r="V82" s="144"/>
      <c r="W82" s="153"/>
      <c r="X82" s="144"/>
      <c r="Y82" s="153"/>
      <c r="Z82" s="144"/>
      <c r="AA82" s="153"/>
      <c r="AB82" s="144"/>
      <c r="AC82" s="162">
        <f>SUM(AC6:AC81)</f>
        <v>938161.40000000026</v>
      </c>
      <c r="AD82" s="69">
        <v>394000</v>
      </c>
      <c r="AE82" s="81">
        <f>AC82-AD82</f>
        <v>544161.40000000026</v>
      </c>
    </row>
    <row r="83" spans="1:31" x14ac:dyDescent="0.35">
      <c r="A83" s="188"/>
      <c r="B83" s="189"/>
      <c r="C83" s="190"/>
      <c r="D83" s="190"/>
      <c r="F83" s="48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5"/>
      <c r="AC83" s="162"/>
    </row>
    <row r="84" spans="1:31" x14ac:dyDescent="0.35">
      <c r="A84" s="88" t="s">
        <v>155</v>
      </c>
      <c r="B84" s="184"/>
      <c r="C84" s="89">
        <f>SUM(C3:C82)</f>
        <v>1642525.08</v>
      </c>
      <c r="D84" s="89">
        <f>SUM(D3:D82)</f>
        <v>2037206.9300000002</v>
      </c>
      <c r="E84" s="53">
        <f>SUM(E3:E81)</f>
        <v>46314</v>
      </c>
      <c r="F84" s="53"/>
      <c r="G84" s="53">
        <f>SUM(G3:G81)</f>
        <v>132016.16999999998</v>
      </c>
      <c r="H84" s="53"/>
      <c r="I84" s="53">
        <f>SUM(I3:I81)</f>
        <v>135609.57</v>
      </c>
      <c r="J84" s="53"/>
      <c r="K84" s="53">
        <f>SUM(K3:K81)</f>
        <v>87118.37000000001</v>
      </c>
      <c r="L84" s="53"/>
      <c r="M84" s="53">
        <f>SUM(M3:M81)</f>
        <v>87813.759999999995</v>
      </c>
      <c r="N84" s="53"/>
      <c r="O84" s="53">
        <f>SUM(O3:O81)</f>
        <v>56387.71</v>
      </c>
      <c r="P84" s="53"/>
      <c r="Q84" s="53">
        <f>SUM(Q3:Q81)</f>
        <v>53661.630000000005</v>
      </c>
      <c r="R84" s="53"/>
      <c r="S84" s="89">
        <f>SUM(S3:S63)</f>
        <v>89966.06</v>
      </c>
      <c r="T84" s="89"/>
      <c r="U84" s="89">
        <f>SUM(U3:U63)</f>
        <v>126697.60000000001</v>
      </c>
      <c r="V84" s="89"/>
      <c r="W84" s="89">
        <f>SUM(W3:W63)</f>
        <v>125937.37000000001</v>
      </c>
      <c r="X84" s="89"/>
      <c r="Y84" s="89">
        <f>SUM(Y3:Y63)</f>
        <v>49271.86</v>
      </c>
      <c r="Z84" s="89"/>
      <c r="AA84" s="89">
        <f>SUM(AA3:AA83)</f>
        <v>103333.97000000002</v>
      </c>
      <c r="AB84" s="90"/>
      <c r="AC84" s="81"/>
    </row>
    <row r="85" spans="1:31" x14ac:dyDescent="0.35">
      <c r="A85" s="92" t="s">
        <v>226</v>
      </c>
      <c r="B85" s="157"/>
      <c r="C85" s="93"/>
      <c r="D85" s="93"/>
      <c r="E85" s="93"/>
      <c r="F85" s="93">
        <f>SUM(F3:F82)</f>
        <v>46313.440000000002</v>
      </c>
      <c r="G85" s="93"/>
      <c r="H85" s="93">
        <f>SUM(H3:H82)</f>
        <v>132016</v>
      </c>
      <c r="I85" s="93"/>
      <c r="J85" s="93">
        <f>SUM(J3:J82)</f>
        <v>135610</v>
      </c>
      <c r="K85" s="93"/>
      <c r="L85" s="93">
        <f>SUM(L3:L82)</f>
        <v>87118.799999999988</v>
      </c>
      <c r="M85" s="93"/>
      <c r="N85" s="93">
        <f>SUM(N3:N82)</f>
        <v>87813.4</v>
      </c>
      <c r="O85" s="93"/>
      <c r="P85" s="93">
        <f>SUM(P3:P82)</f>
        <v>56385.71</v>
      </c>
      <c r="Q85" s="93"/>
      <c r="R85" s="93">
        <f>SUM(R3:R82)</f>
        <v>53660.729999999996</v>
      </c>
      <c r="S85" s="93"/>
      <c r="T85" s="93">
        <f>SUM(T3:T82)</f>
        <v>89965.069999999992</v>
      </c>
      <c r="U85" s="93"/>
      <c r="V85" s="93">
        <f>SUM(V3:V82)</f>
        <v>126697</v>
      </c>
      <c r="W85" s="93"/>
      <c r="X85" s="93">
        <f>SUM(X3:X82)</f>
        <v>125938.76</v>
      </c>
      <c r="Y85" s="93"/>
      <c r="Z85" s="93">
        <f>SUM(Z3:Z82)</f>
        <v>49272.35</v>
      </c>
      <c r="AA85" s="93"/>
      <c r="AB85" s="93">
        <f>SUM(AB3:AB82)</f>
        <v>103333.37000000001</v>
      </c>
      <c r="AC85" s="81"/>
    </row>
    <row r="86" spans="1:31" x14ac:dyDescent="0.35">
      <c r="A86" s="164"/>
      <c r="B86" s="76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81"/>
    </row>
    <row r="87" spans="1:31" x14ac:dyDescent="0.35">
      <c r="A87" s="72" t="s">
        <v>225</v>
      </c>
      <c r="B87" s="75"/>
      <c r="C87" s="94"/>
      <c r="D87" s="94"/>
      <c r="E87" s="94">
        <f>E84</f>
        <v>46314</v>
      </c>
      <c r="F87" s="94"/>
      <c r="G87" s="94">
        <f>G84+E87</f>
        <v>178330.16999999998</v>
      </c>
      <c r="H87" s="94"/>
      <c r="I87" s="94">
        <f>I84+G87</f>
        <v>313939.74</v>
      </c>
      <c r="J87" s="94"/>
      <c r="K87" s="94">
        <f>K84+I87</f>
        <v>401058.11</v>
      </c>
      <c r="L87" s="94"/>
      <c r="M87" s="94">
        <f>M84+K87</f>
        <v>488871.87</v>
      </c>
      <c r="N87" s="94"/>
      <c r="O87" s="94">
        <f>O84+M87</f>
        <v>545259.57999999996</v>
      </c>
      <c r="P87" s="94"/>
      <c r="Q87" s="94">
        <f>Q84+O87</f>
        <v>598921.21</v>
      </c>
      <c r="R87" s="94"/>
      <c r="S87" s="94">
        <f>S84+Q87</f>
        <v>688887.27</v>
      </c>
      <c r="T87" s="94"/>
      <c r="U87" s="94">
        <f>U84+S87</f>
        <v>815584.87</v>
      </c>
      <c r="V87" s="94"/>
      <c r="W87" s="94">
        <f>W84+U87</f>
        <v>941522.24</v>
      </c>
      <c r="X87" s="94"/>
      <c r="Y87" s="94">
        <f>Y84+W87</f>
        <v>990794.1</v>
      </c>
      <c r="Z87" s="94"/>
      <c r="AA87" s="94">
        <f>AA84+Y87</f>
        <v>1094128.07</v>
      </c>
      <c r="AB87" s="90"/>
      <c r="AC87" s="81"/>
    </row>
    <row r="88" spans="1:31" x14ac:dyDescent="0.35">
      <c r="A88" s="29" t="s">
        <v>411</v>
      </c>
      <c r="B88" s="158"/>
      <c r="C88" s="96"/>
      <c r="D88" s="96"/>
      <c r="E88" s="96"/>
      <c r="F88" s="96">
        <f>F85</f>
        <v>46313.440000000002</v>
      </c>
      <c r="G88" s="96"/>
      <c r="H88" s="96">
        <f>H85+F88</f>
        <v>178329.44</v>
      </c>
      <c r="I88" s="96"/>
      <c r="J88" s="96">
        <f>J85+H88</f>
        <v>313939.44</v>
      </c>
      <c r="K88" s="96"/>
      <c r="L88" s="96">
        <f>L85+J88</f>
        <v>401058.24</v>
      </c>
      <c r="M88" s="96"/>
      <c r="N88" s="96">
        <f>N85+L88</f>
        <v>488871.64</v>
      </c>
      <c r="O88" s="96"/>
      <c r="P88" s="96">
        <f>P85+N88</f>
        <v>545257.35</v>
      </c>
      <c r="Q88" s="96"/>
      <c r="R88" s="96">
        <f>R85+P88</f>
        <v>598918.07999999996</v>
      </c>
      <c r="S88" s="96"/>
      <c r="T88" s="96">
        <f>T85+R88</f>
        <v>688883.14999999991</v>
      </c>
      <c r="U88" s="96"/>
      <c r="V88" s="96">
        <f>V85+T88</f>
        <v>815580.14999999991</v>
      </c>
      <c r="W88" s="96"/>
      <c r="X88" s="96">
        <f>X85+V88</f>
        <v>941518.90999999992</v>
      </c>
      <c r="Y88" s="96"/>
      <c r="Z88" s="96">
        <f>Z85+X88</f>
        <v>990791.25999999989</v>
      </c>
      <c r="AA88" s="96"/>
      <c r="AB88" s="97">
        <f>AB85+Z88</f>
        <v>1094124.6299999999</v>
      </c>
      <c r="AC88" s="81"/>
    </row>
    <row r="89" spans="1:31" x14ac:dyDescent="0.35"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48"/>
    </row>
    <row r="90" spans="1:31" x14ac:dyDescent="0.35">
      <c r="A90" s="191" t="s">
        <v>412</v>
      </c>
      <c r="B90" s="192"/>
      <c r="C90" s="193"/>
      <c r="D90" s="193"/>
      <c r="E90" s="193"/>
      <c r="F90" s="193">
        <v>26802</v>
      </c>
      <c r="G90" s="193"/>
      <c r="H90" s="193">
        <v>75263</v>
      </c>
      <c r="I90" s="193"/>
      <c r="J90" s="193">
        <v>140265</v>
      </c>
      <c r="K90" s="193"/>
      <c r="L90" s="193">
        <v>247438</v>
      </c>
      <c r="M90" s="193"/>
      <c r="N90" s="193">
        <v>257610</v>
      </c>
      <c r="O90" s="193"/>
      <c r="P90" s="193">
        <v>389179</v>
      </c>
      <c r="Q90" s="193"/>
      <c r="R90" s="193">
        <v>509844</v>
      </c>
      <c r="S90" s="193"/>
      <c r="T90" s="193">
        <v>571886</v>
      </c>
      <c r="U90" s="193"/>
      <c r="V90" s="193">
        <v>687097</v>
      </c>
      <c r="W90" s="193"/>
      <c r="X90" s="193">
        <v>785109</v>
      </c>
      <c r="Y90" s="193"/>
      <c r="Z90" s="193">
        <v>848665</v>
      </c>
      <c r="AA90" s="193"/>
      <c r="AB90" s="194">
        <v>990681</v>
      </c>
      <c r="AC90" s="81"/>
    </row>
    <row r="91" spans="1:31" s="145" customFormat="1" x14ac:dyDescent="0.35">
      <c r="A91" s="145" t="s">
        <v>160</v>
      </c>
      <c r="F91" s="145">
        <f>(F88-F90)/F90</f>
        <v>0.72798447877024108</v>
      </c>
      <c r="H91" s="145">
        <f t="shared" ref="H91:AB91" si="1">(H88-H90)/H90</f>
        <v>1.3694171106652671</v>
      </c>
      <c r="J91" s="145">
        <f t="shared" si="1"/>
        <v>1.2381880012832853</v>
      </c>
      <c r="L91" s="145">
        <f t="shared" si="1"/>
        <v>0.62084336278178776</v>
      </c>
      <c r="N91" s="145">
        <f t="shared" si="1"/>
        <v>0.89771996428710066</v>
      </c>
      <c r="P91" s="145">
        <f t="shared" si="1"/>
        <v>0.40104514889035631</v>
      </c>
      <c r="R91" s="145">
        <f t="shared" si="1"/>
        <v>0.17470849907030378</v>
      </c>
      <c r="T91" s="145">
        <f t="shared" si="1"/>
        <v>0.20458124521320667</v>
      </c>
      <c r="V91" s="145">
        <f t="shared" si="1"/>
        <v>0.18699419441505336</v>
      </c>
      <c r="X91" s="145">
        <f t="shared" si="1"/>
        <v>0.19922063051117733</v>
      </c>
      <c r="Z91" s="145">
        <f t="shared" si="1"/>
        <v>0.16747039173289802</v>
      </c>
      <c r="AB91" s="145">
        <f t="shared" si="1"/>
        <v>0.10441668912596476</v>
      </c>
    </row>
    <row r="94" spans="1:31" x14ac:dyDescent="0.35">
      <c r="N94"/>
    </row>
  </sheetData>
  <mergeCells count="12">
    <mergeCell ref="AA1:AB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rintOptions headings="1"/>
  <pageMargins left="0.25" right="0.25" top="0.75" bottom="0.75" header="0.3" footer="0.3"/>
  <pageSetup paperSize="8" scale="6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S100"/>
  <sheetViews>
    <sheetView zoomScale="85" zoomScaleNormal="85" workbookViewId="0">
      <pane xSplit="4" ySplit="5" topLeftCell="E53" activePane="bottomRight" state="frozen"/>
      <selection pane="topRight" activeCell="E1" sqref="E1"/>
      <selection pane="bottomLeft" activeCell="A3" sqref="A3"/>
      <selection pane="bottomRight" activeCell="E20" sqref="E20"/>
    </sheetView>
  </sheetViews>
  <sheetFormatPr baseColWidth="10" defaultColWidth="11" defaultRowHeight="13.5" x14ac:dyDescent="0.35"/>
  <cols>
    <col min="1" max="1" width="23.125" style="69" customWidth="1"/>
    <col min="2" max="2" width="2" style="69" customWidth="1"/>
    <col min="3" max="5" width="10.625" style="69" customWidth="1"/>
    <col min="6" max="6" width="8.625" style="69" customWidth="1"/>
    <col min="7" max="7" width="5.625" style="69" customWidth="1"/>
    <col min="8" max="8" width="8.625" style="69" customWidth="1"/>
    <col min="9" max="9" width="5.625" style="69" customWidth="1"/>
    <col min="10" max="10" width="8.625" style="69" customWidth="1"/>
    <col min="11" max="11" width="5.625" style="69" customWidth="1"/>
    <col min="12" max="12" width="8.625" style="69" customWidth="1"/>
    <col min="13" max="13" width="5.625" style="69" customWidth="1"/>
    <col min="14" max="14" width="8.625" style="69" customWidth="1"/>
    <col min="15" max="15" width="5.625" style="69" customWidth="1"/>
    <col min="16" max="16" width="8.625" style="69" customWidth="1"/>
    <col min="17" max="17" width="5.625" style="69" customWidth="1"/>
    <col min="18" max="18" width="8.625" style="69" customWidth="1"/>
    <col min="19" max="19" width="5.625" style="69" customWidth="1"/>
    <col min="20" max="28" width="8.125" style="69" customWidth="1"/>
    <col min="29" max="29" width="8.625" style="69" customWidth="1"/>
    <col min="30" max="30" width="8.125" style="69" customWidth="1"/>
    <col min="31" max="31" width="9" style="69" customWidth="1"/>
    <col min="32" max="32" width="8.125" style="69" customWidth="1"/>
    <col min="33" max="33" width="9" style="69" customWidth="1"/>
    <col min="34" max="34" width="8.125" style="69" customWidth="1"/>
    <col min="35" max="35" width="10.625" style="69" customWidth="1"/>
    <col min="36" max="36" width="8.125" style="69" customWidth="1"/>
    <col min="37" max="37" width="9.375" style="69" customWidth="1"/>
    <col min="38" max="42" width="9.625" style="69" bestFit="1" customWidth="1"/>
    <col min="43" max="44" width="9.625" style="69" customWidth="1"/>
    <col min="45" max="16384" width="11" style="69"/>
  </cols>
  <sheetData>
    <row r="3" spans="1:45" ht="13.9" thickBot="1" x14ac:dyDescent="0.4"/>
    <row r="4" spans="1:45" ht="13.9" thickTop="1" x14ac:dyDescent="0.35">
      <c r="A4" s="67"/>
      <c r="B4" s="68"/>
      <c r="C4" s="68"/>
      <c r="D4" s="68"/>
      <c r="E4" s="296"/>
      <c r="F4" s="297" t="s">
        <v>538</v>
      </c>
      <c r="G4" s="297" t="s">
        <v>540</v>
      </c>
      <c r="H4" s="297" t="s">
        <v>542</v>
      </c>
      <c r="I4" s="297" t="s">
        <v>543</v>
      </c>
      <c r="J4" s="297" t="s">
        <v>544</v>
      </c>
      <c r="K4" s="297" t="s">
        <v>546</v>
      </c>
      <c r="L4" s="297" t="s">
        <v>505</v>
      </c>
      <c r="M4" s="297" t="s">
        <v>547</v>
      </c>
      <c r="N4" s="297" t="s">
        <v>548</v>
      </c>
      <c r="O4" s="297" t="s">
        <v>550</v>
      </c>
      <c r="P4" s="297" t="s">
        <v>551</v>
      </c>
      <c r="Q4" s="297" t="s">
        <v>552</v>
      </c>
      <c r="R4" s="297" t="s">
        <v>507</v>
      </c>
      <c r="S4" s="297" t="s">
        <v>553</v>
      </c>
      <c r="T4" s="317"/>
      <c r="U4" s="437" t="s">
        <v>142</v>
      </c>
      <c r="V4" s="439"/>
      <c r="W4" s="438" t="s">
        <v>143</v>
      </c>
      <c r="X4" s="439"/>
      <c r="Y4" s="437" t="s">
        <v>144</v>
      </c>
      <c r="Z4" s="437"/>
      <c r="AA4" s="440" t="s">
        <v>138</v>
      </c>
      <c r="AB4" s="439"/>
      <c r="AC4" s="437" t="s">
        <v>139</v>
      </c>
      <c r="AD4" s="437"/>
      <c r="AE4" s="438" t="s">
        <v>140</v>
      </c>
      <c r="AF4" s="439"/>
      <c r="AG4" s="437" t="s">
        <v>141</v>
      </c>
      <c r="AH4" s="437"/>
      <c r="AI4" s="438" t="s">
        <v>145</v>
      </c>
      <c r="AJ4" s="439"/>
      <c r="AK4" s="437" t="s">
        <v>146</v>
      </c>
      <c r="AL4" s="437"/>
      <c r="AM4" s="438" t="s">
        <v>147</v>
      </c>
      <c r="AN4" s="439"/>
      <c r="AO4" s="437" t="s">
        <v>148</v>
      </c>
      <c r="AP4" s="437"/>
      <c r="AQ4" s="438" t="s">
        <v>149</v>
      </c>
      <c r="AR4" s="439"/>
    </row>
    <row r="5" spans="1:45" ht="15" x14ac:dyDescent="0.4">
      <c r="A5" s="70" t="s">
        <v>137</v>
      </c>
      <c r="B5" s="155"/>
      <c r="C5" s="35" t="s">
        <v>268</v>
      </c>
      <c r="D5" s="35" t="s">
        <v>152</v>
      </c>
      <c r="E5" s="298"/>
      <c r="F5" s="282" t="s">
        <v>539</v>
      </c>
      <c r="G5" s="282" t="s">
        <v>541</v>
      </c>
      <c r="H5" s="282" t="s">
        <v>539</v>
      </c>
      <c r="I5" s="282" t="s">
        <v>541</v>
      </c>
      <c r="J5" s="282" t="s">
        <v>554</v>
      </c>
      <c r="K5" s="282" t="s">
        <v>541</v>
      </c>
      <c r="L5" s="282" t="s">
        <v>545</v>
      </c>
      <c r="M5" s="282" t="s">
        <v>541</v>
      </c>
      <c r="N5" s="282" t="s">
        <v>549</v>
      </c>
      <c r="O5" s="282" t="s">
        <v>541</v>
      </c>
      <c r="P5" s="282" t="s">
        <v>555</v>
      </c>
      <c r="Q5" s="282" t="s">
        <v>541</v>
      </c>
      <c r="R5" s="282"/>
      <c r="S5" s="282" t="s">
        <v>541</v>
      </c>
      <c r="T5" s="318"/>
      <c r="U5" s="75" t="s">
        <v>150</v>
      </c>
      <c r="V5" s="73" t="s">
        <v>151</v>
      </c>
      <c r="W5" s="72" t="s">
        <v>150</v>
      </c>
      <c r="X5" s="74" t="s">
        <v>151</v>
      </c>
      <c r="Y5" s="75" t="s">
        <v>150</v>
      </c>
      <c r="Z5" s="76" t="s">
        <v>151</v>
      </c>
      <c r="AA5" s="72" t="s">
        <v>150</v>
      </c>
      <c r="AB5" s="74" t="s">
        <v>151</v>
      </c>
      <c r="AC5" s="75" t="s">
        <v>150</v>
      </c>
      <c r="AD5" s="76" t="s">
        <v>151</v>
      </c>
      <c r="AE5" s="72" t="s">
        <v>150</v>
      </c>
      <c r="AF5" s="74" t="s">
        <v>151</v>
      </c>
      <c r="AG5" s="75" t="s">
        <v>150</v>
      </c>
      <c r="AH5" s="76" t="s">
        <v>151</v>
      </c>
      <c r="AI5" s="72" t="s">
        <v>150</v>
      </c>
      <c r="AJ5" s="74" t="s">
        <v>151</v>
      </c>
      <c r="AK5" s="75" t="s">
        <v>150</v>
      </c>
      <c r="AL5" s="76" t="s">
        <v>151</v>
      </c>
      <c r="AM5" s="72" t="s">
        <v>150</v>
      </c>
      <c r="AN5" s="74" t="s">
        <v>151</v>
      </c>
      <c r="AO5" s="75" t="s">
        <v>150</v>
      </c>
      <c r="AP5" s="76" t="s">
        <v>151</v>
      </c>
      <c r="AQ5" s="72" t="s">
        <v>150</v>
      </c>
      <c r="AR5" s="74" t="s">
        <v>151</v>
      </c>
      <c r="AS5" s="216" t="s">
        <v>447</v>
      </c>
    </row>
    <row r="6" spans="1:45" ht="15.4" thickBot="1" x14ac:dyDescent="0.45">
      <c r="A6" s="217"/>
      <c r="B6" s="218"/>
      <c r="C6"/>
      <c r="D6"/>
      <c r="E6" s="299"/>
      <c r="F6"/>
      <c r="G6"/>
      <c r="H6"/>
      <c r="I6"/>
      <c r="J6"/>
      <c r="K6"/>
      <c r="L6"/>
      <c r="M6"/>
      <c r="N6"/>
      <c r="O6"/>
      <c r="P6"/>
      <c r="Q6"/>
      <c r="R6"/>
      <c r="S6"/>
      <c r="T6" s="319"/>
      <c r="V6" s="219"/>
      <c r="W6" s="163"/>
      <c r="X6" s="219"/>
      <c r="AA6" s="163"/>
      <c r="AB6" s="219"/>
      <c r="AE6" s="163"/>
      <c r="AF6" s="219"/>
      <c r="AI6" s="163"/>
      <c r="AJ6" s="219"/>
      <c r="AM6" s="163"/>
      <c r="AN6" s="219"/>
      <c r="AQ6" s="163"/>
      <c r="AS6"/>
    </row>
    <row r="7" spans="1:45" x14ac:dyDescent="0.35">
      <c r="A7" s="36" t="s">
        <v>400</v>
      </c>
      <c r="B7" s="165"/>
      <c r="C7" s="77"/>
      <c r="D7" s="77"/>
      <c r="E7" s="300"/>
      <c r="F7" s="283"/>
      <c r="G7" s="283"/>
      <c r="H7" s="284"/>
      <c r="I7" s="284"/>
      <c r="J7" s="283"/>
      <c r="K7" s="283"/>
      <c r="L7" s="284"/>
      <c r="M7" s="284"/>
      <c r="N7" s="283"/>
      <c r="O7" s="283"/>
      <c r="P7" s="284"/>
      <c r="Q7" s="284"/>
      <c r="R7" s="283"/>
      <c r="S7" s="311"/>
      <c r="T7" s="320"/>
      <c r="U7" s="80"/>
      <c r="V7" s="80"/>
      <c r="W7" s="45"/>
      <c r="X7" s="79"/>
      <c r="Y7" s="80">
        <f>1520.96</f>
        <v>1520.96</v>
      </c>
      <c r="Z7" s="80">
        <f>1520.96</f>
        <v>1520.96</v>
      </c>
      <c r="AA7" s="154"/>
      <c r="AB7" s="79"/>
      <c r="AC7" s="78"/>
      <c r="AD7" s="80"/>
      <c r="AE7" s="78"/>
      <c r="AF7" s="79"/>
      <c r="AG7" s="78"/>
      <c r="AH7" s="79"/>
      <c r="AI7" s="233">
        <v>-608.70000000000005</v>
      </c>
      <c r="AJ7" s="234">
        <v>-608.70000000000005</v>
      </c>
      <c r="AK7" s="78"/>
      <c r="AL7" s="79"/>
      <c r="AM7" s="78"/>
      <c r="AN7" s="79"/>
      <c r="AO7" s="78"/>
      <c r="AP7" s="79"/>
      <c r="AQ7" s="78"/>
      <c r="AR7" s="80"/>
      <c r="AS7" s="212"/>
    </row>
    <row r="8" spans="1:45" x14ac:dyDescent="0.35">
      <c r="A8" s="36" t="s">
        <v>400</v>
      </c>
      <c r="B8" s="235"/>
      <c r="C8" s="83"/>
      <c r="D8" s="83"/>
      <c r="E8" s="301"/>
      <c r="F8" s="285"/>
      <c r="G8" s="285"/>
      <c r="H8" s="286"/>
      <c r="I8" s="286"/>
      <c r="J8" s="285"/>
      <c r="K8" s="285"/>
      <c r="L8" s="286"/>
      <c r="M8" s="286"/>
      <c r="N8" s="285"/>
      <c r="O8" s="285"/>
      <c r="P8" s="286"/>
      <c r="Q8" s="286"/>
      <c r="R8" s="285"/>
      <c r="S8" s="312"/>
      <c r="T8" s="321"/>
      <c r="U8" s="81"/>
      <c r="V8" s="81"/>
      <c r="W8" s="50"/>
      <c r="X8" s="85"/>
      <c r="Y8" s="81"/>
      <c r="Z8" s="81"/>
      <c r="AA8" s="236"/>
      <c r="AB8" s="85"/>
      <c r="AC8" s="84"/>
      <c r="AD8" s="81"/>
      <c r="AE8" s="84"/>
      <c r="AF8" s="85"/>
      <c r="AG8" s="84"/>
      <c r="AH8" s="85"/>
      <c r="AI8" s="230">
        <v>-1344.3</v>
      </c>
      <c r="AJ8" s="231">
        <v>-1344</v>
      </c>
      <c r="AK8" s="84"/>
      <c r="AL8" s="85"/>
      <c r="AM8" s="84"/>
      <c r="AN8" s="85"/>
      <c r="AO8" s="84"/>
      <c r="AP8" s="85"/>
      <c r="AQ8" s="84"/>
      <c r="AR8" s="81"/>
      <c r="AS8" s="213"/>
    </row>
    <row r="9" spans="1:45" x14ac:dyDescent="0.35">
      <c r="A9" s="36" t="s">
        <v>400</v>
      </c>
      <c r="B9" s="235"/>
      <c r="C9" s="83"/>
      <c r="D9" s="83"/>
      <c r="E9" s="301"/>
      <c r="F9" s="285"/>
      <c r="G9" s="285"/>
      <c r="H9" s="286"/>
      <c r="I9" s="286"/>
      <c r="J9" s="285"/>
      <c r="K9" s="285"/>
      <c r="L9" s="286"/>
      <c r="M9" s="286"/>
      <c r="N9" s="285"/>
      <c r="O9" s="285"/>
      <c r="P9" s="286"/>
      <c r="Q9" s="286"/>
      <c r="R9" s="285"/>
      <c r="S9" s="312"/>
      <c r="T9" s="321"/>
      <c r="U9" s="81"/>
      <c r="V9" s="81"/>
      <c r="W9" s="50"/>
      <c r="X9" s="85"/>
      <c r="Y9" s="81"/>
      <c r="Z9" s="81"/>
      <c r="AA9" s="236"/>
      <c r="AB9" s="85"/>
      <c r="AC9" s="84"/>
      <c r="AD9" s="81"/>
      <c r="AE9" s="84"/>
      <c r="AF9" s="85"/>
      <c r="AG9" s="84"/>
      <c r="AH9" s="85"/>
      <c r="AI9" s="230">
        <v>855</v>
      </c>
      <c r="AJ9" s="231">
        <v>855</v>
      </c>
      <c r="AK9" s="84"/>
      <c r="AL9" s="85"/>
      <c r="AM9" s="84"/>
      <c r="AN9" s="85"/>
      <c r="AO9" s="84"/>
      <c r="AP9" s="85"/>
      <c r="AQ9" s="84"/>
      <c r="AR9" s="81"/>
      <c r="AS9" s="213"/>
    </row>
    <row r="10" spans="1:45" x14ac:dyDescent="0.35">
      <c r="A10" s="36" t="s">
        <v>400</v>
      </c>
      <c r="B10" s="235"/>
      <c r="C10" s="83"/>
      <c r="D10" s="83"/>
      <c r="E10" s="301"/>
      <c r="F10" s="285"/>
      <c r="G10" s="285"/>
      <c r="H10" s="286"/>
      <c r="I10" s="286"/>
      <c r="J10" s="285"/>
      <c r="K10" s="285"/>
      <c r="L10" s="286"/>
      <c r="M10" s="286"/>
      <c r="N10" s="285"/>
      <c r="O10" s="285"/>
      <c r="P10" s="286"/>
      <c r="Q10" s="286"/>
      <c r="R10" s="285"/>
      <c r="S10" s="312"/>
      <c r="T10" s="321"/>
      <c r="U10" s="81"/>
      <c r="V10" s="81"/>
      <c r="W10" s="50"/>
      <c r="X10" s="85"/>
      <c r="Y10" s="81"/>
      <c r="Z10" s="81"/>
      <c r="AA10" s="236"/>
      <c r="AB10" s="85"/>
      <c r="AC10" s="84"/>
      <c r="AD10" s="81"/>
      <c r="AE10" s="84"/>
      <c r="AF10" s="85"/>
      <c r="AG10" s="84"/>
      <c r="AH10" s="85"/>
      <c r="AI10" s="230">
        <v>608.70000000000005</v>
      </c>
      <c r="AJ10" s="231">
        <v>608.70000000000005</v>
      </c>
      <c r="AK10" s="84"/>
      <c r="AL10" s="85"/>
      <c r="AM10" s="84"/>
      <c r="AN10" s="85"/>
      <c r="AO10" s="84"/>
      <c r="AP10" s="85"/>
      <c r="AQ10" s="84"/>
      <c r="AR10" s="81"/>
      <c r="AS10" s="213"/>
    </row>
    <row r="11" spans="1:45" x14ac:dyDescent="0.35">
      <c r="A11" s="66" t="s">
        <v>347</v>
      </c>
      <c r="B11" s="167"/>
      <c r="C11" s="49"/>
      <c r="D11" s="83"/>
      <c r="E11" s="301"/>
      <c r="F11" s="285"/>
      <c r="G11" s="285"/>
      <c r="H11" s="286"/>
      <c r="I11" s="286"/>
      <c r="J11" s="285"/>
      <c r="K11" s="285"/>
      <c r="L11" s="286"/>
      <c r="M11" s="286"/>
      <c r="N11" s="285"/>
      <c r="O11" s="285"/>
      <c r="P11" s="286"/>
      <c r="Q11" s="286"/>
      <c r="R11" s="285"/>
      <c r="S11" s="312"/>
      <c r="T11" s="322"/>
      <c r="U11" s="81"/>
      <c r="V11" s="81"/>
      <c r="W11" s="84"/>
      <c r="X11" s="85"/>
      <c r="Y11" s="81"/>
      <c r="Z11" s="81"/>
      <c r="AA11" s="84"/>
      <c r="AB11" s="85"/>
      <c r="AC11" s="84"/>
      <c r="AD11" s="81"/>
      <c r="AE11" s="84"/>
      <c r="AF11" s="85"/>
      <c r="AG11" s="84"/>
      <c r="AH11" s="85"/>
      <c r="AI11" s="84"/>
      <c r="AJ11" s="85"/>
      <c r="AK11" s="84"/>
      <c r="AL11" s="85"/>
      <c r="AM11" s="84"/>
      <c r="AN11" s="85"/>
      <c r="AO11" s="84"/>
      <c r="AP11" s="85"/>
      <c r="AQ11" s="84"/>
      <c r="AR11" s="81"/>
      <c r="AS11" s="213"/>
    </row>
    <row r="12" spans="1:45" x14ac:dyDescent="0.35">
      <c r="A12" s="66" t="s">
        <v>478</v>
      </c>
      <c r="B12" s="169"/>
      <c r="C12" s="83"/>
      <c r="D12" s="83"/>
      <c r="E12" s="301"/>
      <c r="F12" s="285"/>
      <c r="G12" s="285"/>
      <c r="H12" s="286"/>
      <c r="I12" s="286"/>
      <c r="J12" s="285"/>
      <c r="K12" s="285"/>
      <c r="L12" s="286"/>
      <c r="M12" s="286"/>
      <c r="N12" s="285"/>
      <c r="O12" s="285"/>
      <c r="P12" s="286"/>
      <c r="Q12" s="286"/>
      <c r="R12" s="285"/>
      <c r="S12" s="312"/>
      <c r="T12" s="322"/>
      <c r="U12" s="81"/>
      <c r="V12" s="81"/>
      <c r="W12" s="84"/>
      <c r="X12" s="85"/>
      <c r="Y12" s="81"/>
      <c r="Z12" s="81"/>
      <c r="AA12" s="84"/>
      <c r="AB12" s="85"/>
      <c r="AC12" s="84"/>
      <c r="AD12" s="81"/>
      <c r="AE12" s="84"/>
      <c r="AF12" s="85"/>
      <c r="AG12" s="84"/>
      <c r="AH12" s="85"/>
      <c r="AI12" s="230">
        <v>-564</v>
      </c>
      <c r="AJ12" s="231">
        <v>-564</v>
      </c>
      <c r="AK12" s="84"/>
      <c r="AL12" s="85"/>
      <c r="AM12" s="84"/>
      <c r="AN12" s="85"/>
      <c r="AO12" s="84"/>
      <c r="AP12" s="85"/>
      <c r="AQ12" s="84"/>
      <c r="AR12" s="81"/>
      <c r="AS12" s="213"/>
    </row>
    <row r="13" spans="1:45" x14ac:dyDescent="0.35">
      <c r="A13" s="149"/>
      <c r="B13" s="180"/>
      <c r="C13" s="195"/>
      <c r="D13" s="63"/>
      <c r="E13" s="302"/>
      <c r="F13" s="287"/>
      <c r="G13" s="288" t="e">
        <f>F13/E13</f>
        <v>#DIV/0!</v>
      </c>
      <c r="H13" s="289"/>
      <c r="I13" s="290" t="e">
        <f>H13/E13</f>
        <v>#DIV/0!</v>
      </c>
      <c r="J13" s="287"/>
      <c r="K13" s="288" t="e">
        <f>J13/E13</f>
        <v>#DIV/0!</v>
      </c>
      <c r="L13" s="289"/>
      <c r="M13" s="290" t="e">
        <f>L13/E13</f>
        <v>#DIV/0!</v>
      </c>
      <c r="N13" s="287"/>
      <c r="O13" s="288" t="e">
        <f>N13/E13</f>
        <v>#DIV/0!</v>
      </c>
      <c r="P13" s="289"/>
      <c r="Q13" s="290" t="e">
        <f>P13/E13</f>
        <v>#DIV/0!</v>
      </c>
      <c r="R13" s="287"/>
      <c r="S13" s="313" t="e">
        <f>R13/E13</f>
        <v>#DIV/0!</v>
      </c>
      <c r="T13" s="323" t="e">
        <f>S13+Q13+O13+M13+K13+I13+G13</f>
        <v>#DIV/0!</v>
      </c>
      <c r="V13" s="81"/>
      <c r="W13" s="84"/>
      <c r="X13" s="85"/>
      <c r="Y13" s="48"/>
      <c r="Z13" s="81"/>
      <c r="AA13" s="84">
        <f t="shared" ref="AA13:AA15" si="0">D13-U13-W13-Y13</f>
        <v>0</v>
      </c>
      <c r="AB13" s="85"/>
      <c r="AC13" s="84">
        <f t="shared" ref="AC13:AC15" si="1">D13-U13-W13-Y13-AA13</f>
        <v>0</v>
      </c>
      <c r="AD13" s="81"/>
      <c r="AE13" s="84">
        <f t="shared" ref="AE13:AE15" si="2">D13-U13-W13-Y13-AA13-AC13</f>
        <v>0</v>
      </c>
      <c r="AF13" s="85"/>
      <c r="AG13" s="84">
        <f t="shared" ref="AG13:AG15" si="3">D13-U13-W13-Y13-AA13-AC13-AE13</f>
        <v>0</v>
      </c>
      <c r="AH13" s="85"/>
      <c r="AI13" s="84">
        <f t="shared" ref="AI13:AI15" si="4">D13-U13-W13-Y13-AA13-AC13-AE13-AG13</f>
        <v>0</v>
      </c>
      <c r="AJ13" s="85"/>
      <c r="AK13" s="84">
        <f t="shared" ref="AK13:AK15" si="5">D13-U13-W13-Y13-AA13-AC13-AE13-AG13-AI13</f>
        <v>0</v>
      </c>
      <c r="AL13" s="85"/>
      <c r="AM13" s="84">
        <f t="shared" ref="AM13:AM15" si="6">D13-U13-W13-Y13-AA13-AC13-AE13-AG13-AI13-AK13</f>
        <v>0</v>
      </c>
      <c r="AN13" s="85"/>
      <c r="AO13" s="84">
        <f t="shared" ref="AO13:AO15" si="7">D13-U13-W13-Y13-AA13-AC13-AE13-AG13-AI13-AK13-AM13</f>
        <v>0</v>
      </c>
      <c r="AP13" s="85"/>
      <c r="AQ13" s="84">
        <f t="shared" ref="AQ13:AQ15" si="8">D13-U13-W13-Y13-AA13-AC13-AE13-AG13-AI13-AK13-AM13-AO13</f>
        <v>0</v>
      </c>
      <c r="AR13" s="81"/>
      <c r="AS13" s="214">
        <f t="shared" ref="AS13:AS38" si="9">D13-U13-W13-Y13-AA13-AC13-AE13-AG13-AI13-AK13-AM13-AO13-AQ13</f>
        <v>0</v>
      </c>
    </row>
    <row r="14" spans="1:45" x14ac:dyDescent="0.35">
      <c r="A14" s="149"/>
      <c r="B14" s="180"/>
      <c r="C14" s="83"/>
      <c r="D14" s="63"/>
      <c r="E14" s="302"/>
      <c r="F14" s="287"/>
      <c r="G14" s="288" t="e">
        <f t="shared" ref="G14:G77" si="10">F14/E14</f>
        <v>#DIV/0!</v>
      </c>
      <c r="H14" s="289"/>
      <c r="I14" s="290" t="e">
        <f t="shared" ref="I14:I77" si="11">H14/E14</f>
        <v>#DIV/0!</v>
      </c>
      <c r="J14" s="287"/>
      <c r="K14" s="288" t="e">
        <f t="shared" ref="K14:K77" si="12">J14/E14</f>
        <v>#DIV/0!</v>
      </c>
      <c r="L14" s="289"/>
      <c r="M14" s="290" t="e">
        <f t="shared" ref="M14:M77" si="13">L14/E14</f>
        <v>#DIV/0!</v>
      </c>
      <c r="N14" s="287"/>
      <c r="O14" s="288" t="e">
        <f t="shared" ref="O14:O77" si="14">N14/E14</f>
        <v>#DIV/0!</v>
      </c>
      <c r="P14" s="289"/>
      <c r="Q14" s="290" t="e">
        <f t="shared" ref="Q14:Q77" si="15">P14/E14</f>
        <v>#DIV/0!</v>
      </c>
      <c r="R14" s="287"/>
      <c r="S14" s="313" t="e">
        <f t="shared" ref="S14:S77" si="16">R14/E14</f>
        <v>#DIV/0!</v>
      </c>
      <c r="T14" s="323" t="e">
        <f t="shared" ref="T14:T77" si="17">S14+Q14+O14+M14+K14+I14+G14</f>
        <v>#DIV/0!</v>
      </c>
      <c r="V14" s="81"/>
      <c r="W14" s="84"/>
      <c r="X14" s="85"/>
      <c r="Y14" s="48"/>
      <c r="Z14" s="81"/>
      <c r="AA14" s="84">
        <f t="shared" si="0"/>
        <v>0</v>
      </c>
      <c r="AB14" s="85"/>
      <c r="AC14" s="84">
        <f t="shared" si="1"/>
        <v>0</v>
      </c>
      <c r="AD14" s="81"/>
      <c r="AE14" s="84">
        <f t="shared" si="2"/>
        <v>0</v>
      </c>
      <c r="AF14" s="85"/>
      <c r="AG14" s="84">
        <f t="shared" si="3"/>
        <v>0</v>
      </c>
      <c r="AH14" s="85"/>
      <c r="AI14" s="84">
        <f t="shared" si="4"/>
        <v>0</v>
      </c>
      <c r="AJ14" s="85"/>
      <c r="AK14" s="84">
        <f t="shared" si="5"/>
        <v>0</v>
      </c>
      <c r="AL14" s="85"/>
      <c r="AM14" s="84">
        <f t="shared" si="6"/>
        <v>0</v>
      </c>
      <c r="AN14" s="85"/>
      <c r="AO14" s="84">
        <f t="shared" si="7"/>
        <v>0</v>
      </c>
      <c r="AP14" s="85"/>
      <c r="AQ14" s="84">
        <f t="shared" si="8"/>
        <v>0</v>
      </c>
      <c r="AR14" s="81"/>
      <c r="AS14" s="214">
        <f t="shared" si="9"/>
        <v>0</v>
      </c>
    </row>
    <row r="15" spans="1:45" x14ac:dyDescent="0.35">
      <c r="A15" s="149"/>
      <c r="B15" s="180"/>
      <c r="C15" s="83"/>
      <c r="D15" s="63"/>
      <c r="E15" s="302"/>
      <c r="F15" s="287"/>
      <c r="G15" s="288" t="e">
        <f t="shared" si="10"/>
        <v>#DIV/0!</v>
      </c>
      <c r="H15" s="289"/>
      <c r="I15" s="290" t="e">
        <f t="shared" si="11"/>
        <v>#DIV/0!</v>
      </c>
      <c r="J15" s="287"/>
      <c r="K15" s="288" t="e">
        <f t="shared" si="12"/>
        <v>#DIV/0!</v>
      </c>
      <c r="L15" s="289"/>
      <c r="M15" s="290" t="e">
        <f t="shared" si="13"/>
        <v>#DIV/0!</v>
      </c>
      <c r="N15" s="287"/>
      <c r="O15" s="288" t="e">
        <f t="shared" si="14"/>
        <v>#DIV/0!</v>
      </c>
      <c r="P15" s="289"/>
      <c r="Q15" s="290" t="e">
        <f t="shared" si="15"/>
        <v>#DIV/0!</v>
      </c>
      <c r="R15" s="287"/>
      <c r="S15" s="313" t="e">
        <f t="shared" si="16"/>
        <v>#DIV/0!</v>
      </c>
      <c r="T15" s="323" t="e">
        <f t="shared" si="17"/>
        <v>#DIV/0!</v>
      </c>
      <c r="V15" s="81"/>
      <c r="W15" s="84"/>
      <c r="X15" s="85"/>
      <c r="Y15" s="48"/>
      <c r="Z15" s="81"/>
      <c r="AA15" s="84">
        <f t="shared" si="0"/>
        <v>0</v>
      </c>
      <c r="AB15" s="85"/>
      <c r="AC15" s="84">
        <f t="shared" si="1"/>
        <v>0</v>
      </c>
      <c r="AD15" s="81"/>
      <c r="AE15" s="84">
        <f t="shared" si="2"/>
        <v>0</v>
      </c>
      <c r="AF15" s="85"/>
      <c r="AG15" s="84">
        <f t="shared" si="3"/>
        <v>0</v>
      </c>
      <c r="AH15" s="85"/>
      <c r="AI15" s="84">
        <f t="shared" si="4"/>
        <v>0</v>
      </c>
      <c r="AJ15" s="85"/>
      <c r="AK15" s="84">
        <f t="shared" si="5"/>
        <v>0</v>
      </c>
      <c r="AL15" s="85"/>
      <c r="AM15" s="84">
        <f t="shared" si="6"/>
        <v>0</v>
      </c>
      <c r="AN15" s="85"/>
      <c r="AO15" s="84">
        <f t="shared" si="7"/>
        <v>0</v>
      </c>
      <c r="AP15" s="85"/>
      <c r="AQ15" s="84">
        <f t="shared" si="8"/>
        <v>0</v>
      </c>
      <c r="AR15" s="81"/>
      <c r="AS15" s="214">
        <f t="shared" si="9"/>
        <v>0</v>
      </c>
    </row>
    <row r="16" spans="1:45" x14ac:dyDescent="0.35">
      <c r="A16" s="159" t="s">
        <v>558</v>
      </c>
      <c r="B16" s="180"/>
      <c r="C16" s="83">
        <v>23433.53</v>
      </c>
      <c r="D16" s="107">
        <v>23433.53</v>
      </c>
      <c r="E16" s="302"/>
      <c r="F16" s="287">
        <f>5274.01+900</f>
        <v>6174.01</v>
      </c>
      <c r="G16" s="288" t="e">
        <f t="shared" si="10"/>
        <v>#DIV/0!</v>
      </c>
      <c r="H16" s="289">
        <v>1870.13</v>
      </c>
      <c r="I16" s="290" t="e">
        <f t="shared" si="11"/>
        <v>#DIV/0!</v>
      </c>
      <c r="J16" s="287">
        <v>3332.67</v>
      </c>
      <c r="K16" s="288" t="e">
        <f t="shared" si="12"/>
        <v>#DIV/0!</v>
      </c>
      <c r="L16" s="289">
        <v>6800.94</v>
      </c>
      <c r="M16" s="290" t="e">
        <f t="shared" si="13"/>
        <v>#DIV/0!</v>
      </c>
      <c r="N16" s="287">
        <v>1406.23</v>
      </c>
      <c r="O16" s="288" t="e">
        <f t="shared" si="14"/>
        <v>#DIV/0!</v>
      </c>
      <c r="P16" s="289">
        <v>2475.19</v>
      </c>
      <c r="Q16" s="290" t="e">
        <f t="shared" si="15"/>
        <v>#DIV/0!</v>
      </c>
      <c r="R16" s="287">
        <f>976.86+397.5</f>
        <v>1374.3600000000001</v>
      </c>
      <c r="S16" s="313" t="e">
        <f t="shared" si="16"/>
        <v>#DIV/0!</v>
      </c>
      <c r="T16" s="323" t="e">
        <f t="shared" si="17"/>
        <v>#DIV/0!</v>
      </c>
      <c r="V16" s="81"/>
      <c r="W16" s="84"/>
      <c r="X16" s="85"/>
      <c r="Y16" s="48"/>
      <c r="Z16" s="81"/>
      <c r="AA16" s="84">
        <v>0</v>
      </c>
      <c r="AB16" s="85"/>
      <c r="AC16" s="84">
        <v>0</v>
      </c>
      <c r="AD16" s="81"/>
      <c r="AE16" s="84">
        <v>0</v>
      </c>
      <c r="AF16" s="85"/>
      <c r="AG16" s="84">
        <v>0</v>
      </c>
      <c r="AH16" s="85"/>
      <c r="AI16" s="84">
        <v>0</v>
      </c>
      <c r="AJ16" s="85"/>
      <c r="AK16" s="84">
        <v>0</v>
      </c>
      <c r="AL16" s="85"/>
      <c r="AM16" s="84">
        <v>0</v>
      </c>
      <c r="AN16" s="85"/>
      <c r="AO16" s="84">
        <v>0</v>
      </c>
      <c r="AP16" s="85"/>
      <c r="AQ16" s="84">
        <v>0</v>
      </c>
      <c r="AR16" s="81"/>
      <c r="AS16" s="214">
        <f t="shared" si="9"/>
        <v>23433.53</v>
      </c>
    </row>
    <row r="17" spans="1:45" x14ac:dyDescent="0.35">
      <c r="A17" s="151" t="s">
        <v>537</v>
      </c>
      <c r="B17" s="180"/>
      <c r="C17" s="83">
        <v>22356.5</v>
      </c>
      <c r="D17" s="107">
        <v>22357</v>
      </c>
      <c r="E17" s="302"/>
      <c r="F17" s="287"/>
      <c r="G17" s="288" t="e">
        <f t="shared" si="10"/>
        <v>#DIV/0!</v>
      </c>
      <c r="H17" s="289">
        <f>900+18576.5</f>
        <v>19476.5</v>
      </c>
      <c r="I17" s="290" t="e">
        <f t="shared" si="11"/>
        <v>#DIV/0!</v>
      </c>
      <c r="J17" s="287"/>
      <c r="K17" s="288" t="e">
        <f t="shared" si="12"/>
        <v>#DIV/0!</v>
      </c>
      <c r="L17" s="289"/>
      <c r="M17" s="290" t="e">
        <f t="shared" si="13"/>
        <v>#DIV/0!</v>
      </c>
      <c r="N17" s="287"/>
      <c r="O17" s="288" t="e">
        <f t="shared" si="14"/>
        <v>#DIV/0!</v>
      </c>
      <c r="P17" s="289"/>
      <c r="Q17" s="290" t="e">
        <f t="shared" si="15"/>
        <v>#DIV/0!</v>
      </c>
      <c r="R17" s="287">
        <f>1440+1440</f>
        <v>2880</v>
      </c>
      <c r="S17" s="313" t="e">
        <f t="shared" si="16"/>
        <v>#DIV/0!</v>
      </c>
      <c r="T17" s="323" t="e">
        <f t="shared" si="17"/>
        <v>#DIV/0!</v>
      </c>
      <c r="V17" s="81"/>
      <c r="W17" s="84"/>
      <c r="X17" s="85"/>
      <c r="Y17" s="48"/>
      <c r="Z17" s="81"/>
      <c r="AA17" s="84">
        <v>0</v>
      </c>
      <c r="AB17" s="85"/>
      <c r="AC17" s="84">
        <v>0</v>
      </c>
      <c r="AD17" s="81"/>
      <c r="AE17" s="84">
        <v>0</v>
      </c>
      <c r="AF17" s="85"/>
      <c r="AG17" s="84">
        <v>0</v>
      </c>
      <c r="AH17" s="85"/>
      <c r="AI17" s="84">
        <v>0</v>
      </c>
      <c r="AJ17" s="85"/>
      <c r="AK17" s="84">
        <v>0</v>
      </c>
      <c r="AL17" s="85"/>
      <c r="AM17" s="84">
        <v>0</v>
      </c>
      <c r="AN17" s="85"/>
      <c r="AO17" s="84">
        <v>0</v>
      </c>
      <c r="AP17" s="85"/>
      <c r="AQ17" s="84">
        <v>0</v>
      </c>
      <c r="AR17" s="81"/>
      <c r="AS17" s="214">
        <f t="shared" si="9"/>
        <v>22357</v>
      </c>
    </row>
    <row r="18" spans="1:45" x14ac:dyDescent="0.35">
      <c r="A18" s="159" t="s">
        <v>536</v>
      </c>
      <c r="B18" s="180"/>
      <c r="C18" s="83">
        <v>20600</v>
      </c>
      <c r="D18" s="107">
        <v>20600</v>
      </c>
      <c r="E18" s="302"/>
      <c r="F18" s="287"/>
      <c r="G18" s="288" t="e">
        <f t="shared" si="10"/>
        <v>#DIV/0!</v>
      </c>
      <c r="H18" s="289">
        <f>4263.46+857.31+744</f>
        <v>5864.77</v>
      </c>
      <c r="I18" s="290" t="e">
        <f t="shared" si="11"/>
        <v>#DIV/0!</v>
      </c>
      <c r="J18" s="287">
        <v>2638.69</v>
      </c>
      <c r="K18" s="288" t="e">
        <f t="shared" si="12"/>
        <v>#DIV/0!</v>
      </c>
      <c r="L18" s="289"/>
      <c r="M18" s="290" t="e">
        <f t="shared" si="13"/>
        <v>#DIV/0!</v>
      </c>
      <c r="N18" s="287"/>
      <c r="O18" s="288" t="e">
        <f t="shared" si="14"/>
        <v>#DIV/0!</v>
      </c>
      <c r="P18" s="289"/>
      <c r="Q18" s="290" t="e">
        <f t="shared" si="15"/>
        <v>#DIV/0!</v>
      </c>
      <c r="R18" s="287">
        <v>12602.14</v>
      </c>
      <c r="S18" s="313" t="e">
        <f t="shared" si="16"/>
        <v>#DIV/0!</v>
      </c>
      <c r="T18" s="323" t="e">
        <f t="shared" si="17"/>
        <v>#DIV/0!</v>
      </c>
      <c r="V18" s="81"/>
      <c r="W18" s="84"/>
      <c r="X18" s="85"/>
      <c r="Y18" s="48"/>
      <c r="Z18" s="81"/>
      <c r="AA18" s="84">
        <v>0</v>
      </c>
      <c r="AB18" s="85"/>
      <c r="AC18" s="84">
        <v>0</v>
      </c>
      <c r="AD18" s="81"/>
      <c r="AE18" s="84">
        <v>0</v>
      </c>
      <c r="AF18" s="85"/>
      <c r="AG18" s="84">
        <v>0</v>
      </c>
      <c r="AH18" s="85"/>
      <c r="AI18" s="84">
        <v>0</v>
      </c>
      <c r="AJ18" s="85"/>
      <c r="AK18" s="84">
        <v>0</v>
      </c>
      <c r="AL18" s="85"/>
      <c r="AM18" s="84">
        <v>0</v>
      </c>
      <c r="AN18" s="85"/>
      <c r="AO18" s="84">
        <v>0</v>
      </c>
      <c r="AP18" s="85"/>
      <c r="AQ18" s="84">
        <v>0</v>
      </c>
      <c r="AR18" s="81"/>
      <c r="AS18" s="214">
        <f t="shared" si="9"/>
        <v>20600</v>
      </c>
    </row>
    <row r="19" spans="1:45" x14ac:dyDescent="0.35">
      <c r="A19" s="159" t="s">
        <v>535</v>
      </c>
      <c r="B19" s="180"/>
      <c r="C19" s="83">
        <v>61500</v>
      </c>
      <c r="D19" s="107">
        <v>61500</v>
      </c>
      <c r="E19" s="302"/>
      <c r="F19" s="287">
        <f>900+10152.75</f>
        <v>11052.75</v>
      </c>
      <c r="G19" s="288" t="e">
        <f t="shared" si="10"/>
        <v>#DIV/0!</v>
      </c>
      <c r="H19" s="289">
        <v>11036.29</v>
      </c>
      <c r="I19" s="290" t="e">
        <f t="shared" si="11"/>
        <v>#DIV/0!</v>
      </c>
      <c r="J19" s="287">
        <v>8633.3799999999992</v>
      </c>
      <c r="K19" s="288" t="e">
        <f t="shared" si="12"/>
        <v>#DIV/0!</v>
      </c>
      <c r="L19" s="289">
        <v>12184.11</v>
      </c>
      <c r="M19" s="290" t="e">
        <f t="shared" si="13"/>
        <v>#DIV/0!</v>
      </c>
      <c r="N19" s="287">
        <v>3363.76</v>
      </c>
      <c r="O19" s="288" t="e">
        <f t="shared" si="14"/>
        <v>#DIV/0!</v>
      </c>
      <c r="P19" s="289">
        <v>15203.61</v>
      </c>
      <c r="Q19" s="290" t="e">
        <f t="shared" si="15"/>
        <v>#DIV/0!</v>
      </c>
      <c r="R19" s="287"/>
      <c r="S19" s="313" t="e">
        <f t="shared" si="16"/>
        <v>#DIV/0!</v>
      </c>
      <c r="T19" s="323" t="e">
        <f t="shared" si="17"/>
        <v>#DIV/0!</v>
      </c>
      <c r="V19" s="81"/>
      <c r="W19" s="84"/>
      <c r="X19" s="85"/>
      <c r="Y19" s="48"/>
      <c r="Z19" s="81"/>
      <c r="AA19" s="84">
        <v>0</v>
      </c>
      <c r="AB19" s="85"/>
      <c r="AC19" s="84">
        <v>0</v>
      </c>
      <c r="AD19" s="81"/>
      <c r="AE19" s="84">
        <v>0</v>
      </c>
      <c r="AF19" s="85"/>
      <c r="AG19" s="84">
        <v>0</v>
      </c>
      <c r="AH19" s="85"/>
      <c r="AI19" s="84">
        <v>0</v>
      </c>
      <c r="AJ19" s="85"/>
      <c r="AK19" s="84">
        <v>0</v>
      </c>
      <c r="AL19" s="85"/>
      <c r="AM19" s="84">
        <v>0</v>
      </c>
      <c r="AN19" s="85"/>
      <c r="AO19" s="84">
        <v>0</v>
      </c>
      <c r="AP19" s="85"/>
      <c r="AQ19" s="84">
        <v>0</v>
      </c>
      <c r="AR19" s="81"/>
      <c r="AS19" s="214">
        <f t="shared" si="9"/>
        <v>61500</v>
      </c>
    </row>
    <row r="20" spans="1:45" x14ac:dyDescent="0.35">
      <c r="A20" s="159" t="s">
        <v>405</v>
      </c>
      <c r="B20" s="170"/>
      <c r="C20" s="105">
        <v>81301.929999999993</v>
      </c>
      <c r="D20" s="107">
        <f>C20</f>
        <v>81301.929999999993</v>
      </c>
      <c r="E20" s="303">
        <v>14288.15</v>
      </c>
      <c r="F20" s="287">
        <f>11033.19+1450</f>
        <v>12483.19</v>
      </c>
      <c r="G20" s="288">
        <f t="shared" si="10"/>
        <v>0.87367433852528154</v>
      </c>
      <c r="H20" s="289">
        <v>1904.96</v>
      </c>
      <c r="I20" s="290">
        <f t="shared" si="11"/>
        <v>0.13332446817817561</v>
      </c>
      <c r="J20" s="287"/>
      <c r="K20" s="288">
        <f t="shared" si="12"/>
        <v>0</v>
      </c>
      <c r="L20" s="289"/>
      <c r="M20" s="290">
        <f t="shared" si="13"/>
        <v>0</v>
      </c>
      <c r="N20" s="287"/>
      <c r="O20" s="288">
        <f t="shared" si="14"/>
        <v>0</v>
      </c>
      <c r="P20" s="289"/>
      <c r="Q20" s="290">
        <f t="shared" si="15"/>
        <v>0</v>
      </c>
      <c r="R20" s="287"/>
      <c r="S20" s="313">
        <f t="shared" si="16"/>
        <v>0</v>
      </c>
      <c r="T20" s="323">
        <f t="shared" si="17"/>
        <v>1.0069988067034572</v>
      </c>
      <c r="U20" s="81"/>
      <c r="V20" s="81"/>
      <c r="W20" s="84"/>
      <c r="X20" s="85"/>
      <c r="Y20" s="48"/>
      <c r="Z20" s="81"/>
      <c r="AA20" s="84">
        <v>0</v>
      </c>
      <c r="AB20" s="85"/>
      <c r="AC20" s="84">
        <v>0</v>
      </c>
      <c r="AD20" s="81"/>
      <c r="AE20" s="84">
        <v>0</v>
      </c>
      <c r="AF20" s="85"/>
      <c r="AG20" s="84">
        <v>0</v>
      </c>
      <c r="AH20" s="85"/>
      <c r="AI20" s="84">
        <v>0</v>
      </c>
      <c r="AJ20" s="85"/>
      <c r="AK20" s="84">
        <v>0</v>
      </c>
      <c r="AL20" s="85"/>
      <c r="AM20" s="84">
        <v>0</v>
      </c>
      <c r="AN20" s="85"/>
      <c r="AO20" s="84">
        <v>0</v>
      </c>
      <c r="AP20" s="85"/>
      <c r="AQ20" s="230">
        <v>14288</v>
      </c>
      <c r="AR20" s="195">
        <v>14288.15</v>
      </c>
      <c r="AS20" s="214">
        <f t="shared" si="9"/>
        <v>67013.929999999993</v>
      </c>
    </row>
    <row r="21" spans="1:45" x14ac:dyDescent="0.35">
      <c r="A21" s="151" t="s">
        <v>534</v>
      </c>
      <c r="B21" s="180"/>
      <c r="C21" s="83">
        <v>42665</v>
      </c>
      <c r="D21" s="107">
        <v>42665</v>
      </c>
      <c r="E21" s="304">
        <v>42665</v>
      </c>
      <c r="F21" s="287"/>
      <c r="G21" s="288">
        <f t="shared" si="10"/>
        <v>0</v>
      </c>
      <c r="H21" s="289"/>
      <c r="I21" s="290">
        <f t="shared" si="11"/>
        <v>0</v>
      </c>
      <c r="J21" s="287">
        <v>42665</v>
      </c>
      <c r="K21" s="288">
        <f t="shared" si="12"/>
        <v>1</v>
      </c>
      <c r="L21" s="289"/>
      <c r="M21" s="290">
        <f t="shared" si="13"/>
        <v>0</v>
      </c>
      <c r="N21" s="287"/>
      <c r="O21" s="288">
        <f t="shared" si="14"/>
        <v>0</v>
      </c>
      <c r="P21" s="289"/>
      <c r="Q21" s="290">
        <f t="shared" si="15"/>
        <v>0</v>
      </c>
      <c r="R21" s="287"/>
      <c r="S21" s="313">
        <f t="shared" si="16"/>
        <v>0</v>
      </c>
      <c r="T21" s="323">
        <f t="shared" si="17"/>
        <v>1</v>
      </c>
      <c r="V21" s="81"/>
      <c r="W21" s="84"/>
      <c r="X21" s="85"/>
      <c r="Y21" s="48"/>
      <c r="Z21" s="81"/>
      <c r="AA21" s="84">
        <v>0</v>
      </c>
      <c r="AB21" s="85"/>
      <c r="AC21" s="84">
        <v>0</v>
      </c>
      <c r="AD21" s="81"/>
      <c r="AE21" s="84">
        <v>0</v>
      </c>
      <c r="AF21" s="85"/>
      <c r="AG21" s="84">
        <v>0</v>
      </c>
      <c r="AH21" s="85"/>
      <c r="AI21" s="84">
        <v>0</v>
      </c>
      <c r="AJ21" s="85"/>
      <c r="AK21" s="84">
        <v>0</v>
      </c>
      <c r="AL21" s="85"/>
      <c r="AM21" s="230">
        <v>33471</v>
      </c>
      <c r="AN21" s="231">
        <v>33471</v>
      </c>
      <c r="AO21" s="230">
        <f>D21-U21-W21-Y21-AA21-AC21-AE21-AG21-AI21-AK21-AM21</f>
        <v>9194</v>
      </c>
      <c r="AP21" s="231">
        <v>9194</v>
      </c>
      <c r="AQ21" s="84">
        <f>D21-U21-W21-Y21-AA21-AC21-AE21-AG21-AI21-AK21-AM21-AO21</f>
        <v>0</v>
      </c>
      <c r="AR21" s="81"/>
      <c r="AS21" s="214">
        <f t="shared" si="9"/>
        <v>0</v>
      </c>
    </row>
    <row r="22" spans="1:45" x14ac:dyDescent="0.35">
      <c r="A22" s="159" t="s">
        <v>531</v>
      </c>
      <c r="B22" s="180"/>
      <c r="C22" s="83">
        <v>52084</v>
      </c>
      <c r="D22" s="107">
        <v>52084</v>
      </c>
      <c r="E22" s="304">
        <v>12354.85</v>
      </c>
      <c r="F22" s="287">
        <f>900+4011.91</f>
        <v>4911.91</v>
      </c>
      <c r="G22" s="288">
        <f t="shared" si="10"/>
        <v>0.39756937558934341</v>
      </c>
      <c r="H22" s="289">
        <v>1141.8900000000001</v>
      </c>
      <c r="I22" s="290">
        <f t="shared" si="11"/>
        <v>9.2424432510309726E-2</v>
      </c>
      <c r="J22" s="287">
        <v>2216.25</v>
      </c>
      <c r="K22" s="288">
        <f t="shared" si="12"/>
        <v>0.17938299534191027</v>
      </c>
      <c r="L22" s="289">
        <v>4084.8</v>
      </c>
      <c r="M22" s="290">
        <f t="shared" si="13"/>
        <v>0.33062319655843658</v>
      </c>
      <c r="N22" s="287"/>
      <c r="O22" s="288">
        <f t="shared" si="14"/>
        <v>0</v>
      </c>
      <c r="P22" s="289"/>
      <c r="Q22" s="290">
        <f t="shared" si="15"/>
        <v>0</v>
      </c>
      <c r="R22" s="287"/>
      <c r="S22" s="313">
        <f t="shared" si="16"/>
        <v>0</v>
      </c>
      <c r="T22" s="323">
        <f t="shared" si="17"/>
        <v>1</v>
      </c>
      <c r="V22" s="81"/>
      <c r="W22" s="84"/>
      <c r="X22" s="85"/>
      <c r="Y22" s="48"/>
      <c r="Z22" s="81"/>
      <c r="AA22" s="84">
        <v>0</v>
      </c>
      <c r="AB22" s="85"/>
      <c r="AC22" s="84">
        <v>0</v>
      </c>
      <c r="AD22" s="81"/>
      <c r="AE22" s="84">
        <v>0</v>
      </c>
      <c r="AF22" s="85"/>
      <c r="AG22" s="84">
        <v>0</v>
      </c>
      <c r="AH22" s="85"/>
      <c r="AI22" s="84">
        <v>0</v>
      </c>
      <c r="AJ22" s="85"/>
      <c r="AK22" s="84">
        <v>0</v>
      </c>
      <c r="AL22" s="85"/>
      <c r="AM22" s="84">
        <v>0</v>
      </c>
      <c r="AN22" s="85"/>
      <c r="AO22" s="84"/>
      <c r="AP22" s="85"/>
      <c r="AQ22" s="230">
        <v>12355</v>
      </c>
      <c r="AR22" s="195">
        <v>12354.85</v>
      </c>
      <c r="AS22" s="214">
        <f t="shared" si="9"/>
        <v>39729</v>
      </c>
    </row>
    <row r="23" spans="1:45" x14ac:dyDescent="0.35">
      <c r="A23" s="159" t="s">
        <v>477</v>
      </c>
      <c r="B23" s="180"/>
      <c r="C23" s="83">
        <v>18000</v>
      </c>
      <c r="D23" s="107">
        <v>18000</v>
      </c>
      <c r="E23" s="304">
        <v>18000</v>
      </c>
      <c r="F23" s="287">
        <v>8184</v>
      </c>
      <c r="G23" s="288">
        <f t="shared" si="10"/>
        <v>0.45466666666666666</v>
      </c>
      <c r="H23" s="289">
        <v>1603</v>
      </c>
      <c r="I23" s="290">
        <f t="shared" si="11"/>
        <v>8.9055555555555554E-2</v>
      </c>
      <c r="J23" s="287">
        <v>2235</v>
      </c>
      <c r="K23" s="288">
        <f t="shared" si="12"/>
        <v>0.12416666666666666</v>
      </c>
      <c r="L23" s="289">
        <v>4557</v>
      </c>
      <c r="M23" s="290">
        <f t="shared" si="13"/>
        <v>0.25316666666666665</v>
      </c>
      <c r="N23" s="287">
        <v>1426</v>
      </c>
      <c r="O23" s="288">
        <f t="shared" si="14"/>
        <v>7.9222222222222222E-2</v>
      </c>
      <c r="P23" s="289"/>
      <c r="Q23" s="290">
        <f t="shared" si="15"/>
        <v>0</v>
      </c>
      <c r="R23" s="287"/>
      <c r="S23" s="313">
        <f t="shared" si="16"/>
        <v>0</v>
      </c>
      <c r="T23" s="323">
        <f t="shared" si="17"/>
        <v>1.0002777777777778</v>
      </c>
      <c r="V23" s="81"/>
      <c r="W23" s="84"/>
      <c r="X23" s="85"/>
      <c r="Y23" s="48"/>
      <c r="Z23" s="81"/>
      <c r="AA23" s="84">
        <v>0</v>
      </c>
      <c r="AB23" s="85"/>
      <c r="AC23" s="84">
        <v>0</v>
      </c>
      <c r="AD23" s="81"/>
      <c r="AE23" s="84">
        <v>0</v>
      </c>
      <c r="AF23" s="85"/>
      <c r="AG23" s="84">
        <v>0</v>
      </c>
      <c r="AH23" s="85"/>
      <c r="AI23" s="84">
        <v>0</v>
      </c>
      <c r="AJ23" s="85"/>
      <c r="AK23" s="230">
        <v>4767.92</v>
      </c>
      <c r="AL23" s="231">
        <v>4767.92</v>
      </c>
      <c r="AM23" s="230">
        <v>4849</v>
      </c>
      <c r="AN23" s="231">
        <v>4849.37</v>
      </c>
      <c r="AO23" s="84">
        <v>0</v>
      </c>
      <c r="AP23" s="85"/>
      <c r="AQ23" s="230">
        <f>D23-U23-W23-Y23-AA23-AC23-AE23-AG23-AI23-AK23-AM23-AO23</f>
        <v>8383.08</v>
      </c>
      <c r="AR23" s="195">
        <v>8382.7099999999991</v>
      </c>
      <c r="AS23" s="214">
        <f t="shared" si="9"/>
        <v>0</v>
      </c>
    </row>
    <row r="24" spans="1:45" x14ac:dyDescent="0.35">
      <c r="A24" s="159" t="s">
        <v>530</v>
      </c>
      <c r="B24" s="180"/>
      <c r="C24" s="83">
        <v>25682.67</v>
      </c>
      <c r="D24" s="107">
        <v>25682.67</v>
      </c>
      <c r="E24" s="304">
        <v>25683</v>
      </c>
      <c r="F24" s="287">
        <v>8586</v>
      </c>
      <c r="G24" s="288">
        <f t="shared" si="10"/>
        <v>0.33430673986683801</v>
      </c>
      <c r="H24" s="289">
        <v>1603</v>
      </c>
      <c r="I24" s="290">
        <f t="shared" si="11"/>
        <v>6.2414826928318345E-2</v>
      </c>
      <c r="J24" s="287">
        <v>5901</v>
      </c>
      <c r="K24" s="288">
        <v>0</v>
      </c>
      <c r="L24" s="289">
        <v>8165</v>
      </c>
      <c r="M24" s="290">
        <f t="shared" si="13"/>
        <v>0.31791457384261962</v>
      </c>
      <c r="N24" s="287">
        <v>1426</v>
      </c>
      <c r="O24" s="288">
        <f t="shared" si="14"/>
        <v>5.5523108671105402E-2</v>
      </c>
      <c r="P24" s="289"/>
      <c r="Q24" s="290">
        <f t="shared" si="15"/>
        <v>0</v>
      </c>
      <c r="R24" s="287"/>
      <c r="S24" s="313">
        <f t="shared" si="16"/>
        <v>0</v>
      </c>
      <c r="T24" s="323">
        <f t="shared" si="17"/>
        <v>0.77015924930888136</v>
      </c>
      <c r="V24" s="81"/>
      <c r="W24" s="84"/>
      <c r="X24" s="85"/>
      <c r="Y24" s="48"/>
      <c r="Z24" s="81"/>
      <c r="AA24" s="84">
        <v>0</v>
      </c>
      <c r="AB24" s="85"/>
      <c r="AC24" s="84">
        <v>0</v>
      </c>
      <c r="AD24" s="81"/>
      <c r="AE24" s="84">
        <v>0</v>
      </c>
      <c r="AF24" s="85"/>
      <c r="AG24" s="84">
        <v>0</v>
      </c>
      <c r="AH24" s="85"/>
      <c r="AI24" s="84">
        <v>0</v>
      </c>
      <c r="AJ24" s="85"/>
      <c r="AK24" s="230">
        <v>6332.4</v>
      </c>
      <c r="AL24" s="231">
        <v>6332.4</v>
      </c>
      <c r="AM24" s="230">
        <v>5465</v>
      </c>
      <c r="AN24" s="231">
        <v>5464.8</v>
      </c>
      <c r="AO24" s="84">
        <v>0</v>
      </c>
      <c r="AP24" s="85"/>
      <c r="AQ24" s="230">
        <f>D24-U24-W24-Y24-AA24-AC24-AE24-AG24-AI24-AK24-AM24-AO24</f>
        <v>13885.269999999997</v>
      </c>
      <c r="AR24" s="195">
        <v>13885.47</v>
      </c>
      <c r="AS24" s="214">
        <f t="shared" si="9"/>
        <v>0</v>
      </c>
    </row>
    <row r="25" spans="1:45" x14ac:dyDescent="0.35">
      <c r="A25" s="211" t="s">
        <v>426</v>
      </c>
      <c r="B25" s="180"/>
      <c r="C25" s="83">
        <v>533.33000000000004</v>
      </c>
      <c r="D25" s="105">
        <v>533.33000000000004</v>
      </c>
      <c r="E25" s="305">
        <v>533</v>
      </c>
      <c r="F25" s="287"/>
      <c r="G25" s="288">
        <f t="shared" si="10"/>
        <v>0</v>
      </c>
      <c r="H25" s="289"/>
      <c r="I25" s="290">
        <f t="shared" si="11"/>
        <v>0</v>
      </c>
      <c r="J25" s="287"/>
      <c r="K25" s="288">
        <f t="shared" si="12"/>
        <v>0</v>
      </c>
      <c r="L25" s="289"/>
      <c r="M25" s="290">
        <f t="shared" si="13"/>
        <v>0</v>
      </c>
      <c r="N25" s="287"/>
      <c r="O25" s="288">
        <f t="shared" si="14"/>
        <v>0</v>
      </c>
      <c r="P25" s="289"/>
      <c r="Q25" s="290">
        <f t="shared" si="15"/>
        <v>0</v>
      </c>
      <c r="R25" s="287">
        <v>533</v>
      </c>
      <c r="S25" s="313">
        <f t="shared" si="16"/>
        <v>1</v>
      </c>
      <c r="T25" s="323">
        <f t="shared" si="17"/>
        <v>1</v>
      </c>
      <c r="V25" s="81"/>
      <c r="W25" s="84"/>
      <c r="X25" s="85"/>
      <c r="Y25" s="48"/>
      <c r="Z25" s="81"/>
      <c r="AA25" s="84">
        <v>0</v>
      </c>
      <c r="AB25" s="85"/>
      <c r="AC25" s="84">
        <v>0</v>
      </c>
      <c r="AD25" s="81"/>
      <c r="AE25" s="84">
        <v>0</v>
      </c>
      <c r="AF25" s="85"/>
      <c r="AG25" s="230">
        <v>533.33000000000004</v>
      </c>
      <c r="AH25" s="231">
        <v>533.33000000000004</v>
      </c>
      <c r="AI25" s="84">
        <f>D25-U25-W25-Y25-AA25-AC25-AE25-AG25</f>
        <v>0</v>
      </c>
      <c r="AJ25" s="85"/>
      <c r="AK25" s="84">
        <f>D25-U25-W25-Y25-AA25-AC25-AE25-AG25-AI25</f>
        <v>0</v>
      </c>
      <c r="AL25" s="85"/>
      <c r="AM25" s="84">
        <f>D25-U25-W25-Y25-AA25-AC25-AE25-AG25-AI25-AK25</f>
        <v>0</v>
      </c>
      <c r="AN25" s="85"/>
      <c r="AO25" s="84">
        <f>D25-U25-W25-Y25-AA25-AC25-AE25-AG25-AI25-AK25-AM25</f>
        <v>0</v>
      </c>
      <c r="AP25" s="85"/>
      <c r="AQ25" s="84">
        <f>D25-U25-W25-Y25-AA25-AC25-AE25-AG25-AI25-AK25-AM25-AO25</f>
        <v>0</v>
      </c>
      <c r="AR25" s="81"/>
      <c r="AS25" s="214">
        <f t="shared" si="9"/>
        <v>0</v>
      </c>
    </row>
    <row r="26" spans="1:45" x14ac:dyDescent="0.35">
      <c r="A26" s="211" t="s">
        <v>475</v>
      </c>
      <c r="B26" s="180"/>
      <c r="C26" s="83">
        <v>1821</v>
      </c>
      <c r="D26" s="105">
        <v>1821</v>
      </c>
      <c r="E26" s="305">
        <v>1821</v>
      </c>
      <c r="F26" s="287"/>
      <c r="G26" s="288">
        <f t="shared" si="10"/>
        <v>0</v>
      </c>
      <c r="H26" s="289"/>
      <c r="I26" s="290">
        <f t="shared" si="11"/>
        <v>0</v>
      </c>
      <c r="J26" s="287"/>
      <c r="K26" s="288">
        <f t="shared" si="12"/>
        <v>0</v>
      </c>
      <c r="L26" s="289"/>
      <c r="M26" s="290">
        <f t="shared" si="13"/>
        <v>0</v>
      </c>
      <c r="N26" s="287"/>
      <c r="O26" s="288">
        <f t="shared" si="14"/>
        <v>0</v>
      </c>
      <c r="P26" s="289"/>
      <c r="Q26" s="290">
        <f t="shared" si="15"/>
        <v>0</v>
      </c>
      <c r="R26" s="287">
        <v>1821</v>
      </c>
      <c r="S26" s="313">
        <f t="shared" si="16"/>
        <v>1</v>
      </c>
      <c r="T26" s="323">
        <f t="shared" si="17"/>
        <v>1</v>
      </c>
      <c r="V26" s="81"/>
      <c r="W26" s="84"/>
      <c r="X26" s="85"/>
      <c r="Y26" s="48"/>
      <c r="Z26" s="81"/>
      <c r="AA26" s="84">
        <v>0</v>
      </c>
      <c r="AB26" s="85"/>
      <c r="AC26" s="84">
        <v>0</v>
      </c>
      <c r="AD26" s="81"/>
      <c r="AE26" s="84">
        <v>0</v>
      </c>
      <c r="AF26" s="85"/>
      <c r="AG26" s="230">
        <f>D26-U26-W26-Y26-AA26-AC26-AE26</f>
        <v>1821</v>
      </c>
      <c r="AH26" s="231">
        <v>1821.21</v>
      </c>
      <c r="AI26" s="84">
        <f>D26-U26-W26-Y26-AA26-AC26-AE26-AG26</f>
        <v>0</v>
      </c>
      <c r="AJ26" s="85"/>
      <c r="AK26" s="84">
        <f>D26-U26-W26-Y26-AA26-AC26-AE26-AG26-AI26</f>
        <v>0</v>
      </c>
      <c r="AL26" s="85"/>
      <c r="AM26" s="84">
        <f>D26-U26-W26-Y26-AA26-AC26-AE26-AG26-AI26-AK26</f>
        <v>0</v>
      </c>
      <c r="AN26" s="85"/>
      <c r="AO26" s="84">
        <f>D26-U26-W26-Y26-AA26-AC26-AE26-AG26-AI26-AK26-AM26</f>
        <v>0</v>
      </c>
      <c r="AP26" s="85"/>
      <c r="AQ26" s="84">
        <f>D26-U26-W26-Y26-AA26-AC26-AE26-AG26-AI26-AK26-AM26-AO26</f>
        <v>0</v>
      </c>
      <c r="AR26" s="81"/>
      <c r="AS26" s="214">
        <f t="shared" si="9"/>
        <v>0</v>
      </c>
    </row>
    <row r="27" spans="1:45" x14ac:dyDescent="0.35">
      <c r="A27" s="159" t="s">
        <v>476</v>
      </c>
      <c r="B27" s="180"/>
      <c r="C27" s="49">
        <v>21204</v>
      </c>
      <c r="D27" s="107">
        <v>21204</v>
      </c>
      <c r="E27" s="302">
        <v>4550.16</v>
      </c>
      <c r="F27" s="287">
        <f>1311.23+350</f>
        <v>1661.23</v>
      </c>
      <c r="G27" s="288">
        <f t="shared" si="10"/>
        <v>0.36509265608242347</v>
      </c>
      <c r="H27" s="289">
        <v>546.73</v>
      </c>
      <c r="I27" s="290">
        <f t="shared" si="11"/>
        <v>0.12015621428697014</v>
      </c>
      <c r="J27" s="287">
        <v>1080.47</v>
      </c>
      <c r="K27" s="288">
        <f t="shared" si="12"/>
        <v>0.23745758390913727</v>
      </c>
      <c r="L27" s="289">
        <v>1261.73</v>
      </c>
      <c r="M27" s="290">
        <f t="shared" si="13"/>
        <v>0.27729354572146914</v>
      </c>
      <c r="N27" s="287"/>
      <c r="O27" s="288">
        <f t="shared" si="14"/>
        <v>0</v>
      </c>
      <c r="P27" s="289"/>
      <c r="Q27" s="290">
        <f t="shared" si="15"/>
        <v>0</v>
      </c>
      <c r="R27" s="287"/>
      <c r="S27" s="313">
        <f t="shared" si="16"/>
        <v>0</v>
      </c>
      <c r="T27" s="323">
        <f t="shared" si="17"/>
        <v>1</v>
      </c>
      <c r="V27" s="81"/>
      <c r="W27" s="84"/>
      <c r="X27" s="85"/>
      <c r="Y27" s="48"/>
      <c r="Z27" s="81"/>
      <c r="AA27" s="84">
        <v>0</v>
      </c>
      <c r="AB27" s="85"/>
      <c r="AC27" s="84">
        <v>0</v>
      </c>
      <c r="AD27" s="81"/>
      <c r="AE27" s="84">
        <v>0</v>
      </c>
      <c r="AF27" s="85"/>
      <c r="AG27" s="84">
        <v>0</v>
      </c>
      <c r="AH27" s="85"/>
      <c r="AI27" s="84"/>
      <c r="AJ27" s="85"/>
      <c r="AK27" s="84">
        <v>0</v>
      </c>
      <c r="AL27" s="85"/>
      <c r="AM27" s="84">
        <v>0</v>
      </c>
      <c r="AN27" s="85"/>
      <c r="AO27" s="84">
        <v>0</v>
      </c>
      <c r="AP27" s="85"/>
      <c r="AQ27" s="230">
        <v>4550</v>
      </c>
      <c r="AR27" s="195">
        <v>4550.16</v>
      </c>
      <c r="AS27" s="214">
        <f t="shared" si="9"/>
        <v>16654</v>
      </c>
    </row>
    <row r="28" spans="1:45" x14ac:dyDescent="0.35">
      <c r="A28" s="151" t="s">
        <v>379</v>
      </c>
      <c r="B28" s="180"/>
      <c r="C28" s="83">
        <v>6537</v>
      </c>
      <c r="D28" s="107">
        <v>6537</v>
      </c>
      <c r="E28" s="304">
        <v>6537</v>
      </c>
      <c r="F28" s="287"/>
      <c r="G28" s="288">
        <f t="shared" si="10"/>
        <v>0</v>
      </c>
      <c r="H28" s="289"/>
      <c r="I28" s="290">
        <f t="shared" si="11"/>
        <v>0</v>
      </c>
      <c r="J28" s="287"/>
      <c r="K28" s="288">
        <f t="shared" si="12"/>
        <v>0</v>
      </c>
      <c r="L28" s="289">
        <v>6537</v>
      </c>
      <c r="M28" s="290">
        <f t="shared" si="13"/>
        <v>1</v>
      </c>
      <c r="N28" s="287"/>
      <c r="O28" s="288">
        <f t="shared" si="14"/>
        <v>0</v>
      </c>
      <c r="P28" s="289"/>
      <c r="Q28" s="290">
        <f t="shared" si="15"/>
        <v>0</v>
      </c>
      <c r="R28" s="287"/>
      <c r="S28" s="313">
        <f t="shared" si="16"/>
        <v>0</v>
      </c>
      <c r="T28" s="323">
        <f t="shared" si="17"/>
        <v>1</v>
      </c>
      <c r="V28" s="81"/>
      <c r="W28" s="84"/>
      <c r="X28" s="85"/>
      <c r="Y28" s="48"/>
      <c r="Z28" s="81"/>
      <c r="AA28" s="84">
        <v>0</v>
      </c>
      <c r="AB28" s="85"/>
      <c r="AC28" s="84">
        <v>0</v>
      </c>
      <c r="AD28" s="81"/>
      <c r="AE28" s="84">
        <v>0</v>
      </c>
      <c r="AF28" s="85"/>
      <c r="AG28" s="230">
        <v>2200</v>
      </c>
      <c r="AH28" s="231">
        <v>2200</v>
      </c>
      <c r="AI28" s="230">
        <v>2200</v>
      </c>
      <c r="AJ28" s="231">
        <v>2200</v>
      </c>
      <c r="AK28" s="230">
        <f>D28-U28-W28-Y28-AA28-AC28-AE28-AG28-AI28</f>
        <v>2137</v>
      </c>
      <c r="AL28" s="231">
        <v>2137</v>
      </c>
      <c r="AM28" s="84">
        <f>D28-U28-W28-Y28-AA28-AC28-AE28-AG28-AI28-AK28</f>
        <v>0</v>
      </c>
      <c r="AN28" s="85"/>
      <c r="AO28" s="84">
        <f>D28-U28-W28-Y28-AA28-AC28-AE28-AG28-AI28-AK28-AM28</f>
        <v>0</v>
      </c>
      <c r="AP28" s="85"/>
      <c r="AQ28" s="84">
        <f>D28-U28-W28-Y28-AA28-AC28-AE28-AG28-AI28-AK28-AM28-AO28</f>
        <v>0</v>
      </c>
      <c r="AR28" s="81"/>
      <c r="AS28" s="214">
        <f t="shared" si="9"/>
        <v>0</v>
      </c>
    </row>
    <row r="29" spans="1:45" x14ac:dyDescent="0.35">
      <c r="A29" s="151" t="s">
        <v>556</v>
      </c>
      <c r="B29" s="180"/>
      <c r="C29" s="83">
        <v>9276</v>
      </c>
      <c r="D29" s="107">
        <v>9276</v>
      </c>
      <c r="E29" s="302"/>
      <c r="F29" s="287"/>
      <c r="G29" s="288" t="e">
        <f t="shared" si="10"/>
        <v>#DIV/0!</v>
      </c>
      <c r="H29" s="289"/>
      <c r="I29" s="290" t="e">
        <f t="shared" si="11"/>
        <v>#DIV/0!</v>
      </c>
      <c r="J29" s="287"/>
      <c r="K29" s="288" t="e">
        <f t="shared" si="12"/>
        <v>#DIV/0!</v>
      </c>
      <c r="L29" s="289"/>
      <c r="M29" s="290" t="e">
        <f t="shared" si="13"/>
        <v>#DIV/0!</v>
      </c>
      <c r="N29" s="287"/>
      <c r="O29" s="288" t="e">
        <f t="shared" si="14"/>
        <v>#DIV/0!</v>
      </c>
      <c r="P29" s="289"/>
      <c r="Q29" s="290" t="e">
        <f t="shared" si="15"/>
        <v>#DIV/0!</v>
      </c>
      <c r="R29" s="287"/>
      <c r="S29" s="313" t="e">
        <f t="shared" si="16"/>
        <v>#DIV/0!</v>
      </c>
      <c r="T29" s="323" t="e">
        <f t="shared" si="17"/>
        <v>#DIV/0!</v>
      </c>
      <c r="V29" s="81"/>
      <c r="W29" s="84"/>
      <c r="X29" s="85"/>
      <c r="Y29" s="48"/>
      <c r="Z29" s="81"/>
      <c r="AA29" s="84">
        <v>0</v>
      </c>
      <c r="AB29" s="85"/>
      <c r="AC29" s="84">
        <v>0</v>
      </c>
      <c r="AD29" s="81"/>
      <c r="AE29" s="84">
        <v>0</v>
      </c>
      <c r="AF29" s="85"/>
      <c r="AG29" s="84">
        <v>0</v>
      </c>
      <c r="AH29" s="85"/>
      <c r="AI29" s="84">
        <v>0</v>
      </c>
      <c r="AJ29" s="85"/>
      <c r="AK29" s="84">
        <v>0</v>
      </c>
      <c r="AL29" s="85"/>
      <c r="AM29" s="84">
        <v>0</v>
      </c>
      <c r="AN29" s="85"/>
      <c r="AO29" s="84">
        <v>0</v>
      </c>
      <c r="AP29" s="85"/>
      <c r="AQ29" s="84"/>
      <c r="AR29" s="81"/>
      <c r="AS29" s="214">
        <f t="shared" si="9"/>
        <v>9276</v>
      </c>
    </row>
    <row r="30" spans="1:45" x14ac:dyDescent="0.35">
      <c r="A30" s="151" t="s">
        <v>557</v>
      </c>
      <c r="B30" s="180"/>
      <c r="C30" s="83">
        <v>4328</v>
      </c>
      <c r="D30" s="107">
        <v>4328</v>
      </c>
      <c r="E30" s="304">
        <v>4328</v>
      </c>
      <c r="F30" s="287"/>
      <c r="G30" s="288">
        <f t="shared" si="10"/>
        <v>0</v>
      </c>
      <c r="H30" s="289"/>
      <c r="I30" s="290">
        <f t="shared" si="11"/>
        <v>0</v>
      </c>
      <c r="J30" s="287"/>
      <c r="K30" s="288">
        <f t="shared" si="12"/>
        <v>0</v>
      </c>
      <c r="L30" s="289"/>
      <c r="M30" s="290">
        <f t="shared" si="13"/>
        <v>0</v>
      </c>
      <c r="N30" s="287">
        <v>4328</v>
      </c>
      <c r="O30" s="288">
        <f t="shared" si="14"/>
        <v>1</v>
      </c>
      <c r="P30" s="289"/>
      <c r="Q30" s="290">
        <f t="shared" si="15"/>
        <v>0</v>
      </c>
      <c r="R30" s="287"/>
      <c r="S30" s="313">
        <f t="shared" si="16"/>
        <v>0</v>
      </c>
      <c r="T30" s="323">
        <f t="shared" si="17"/>
        <v>1</v>
      </c>
      <c r="V30" s="81"/>
      <c r="W30" s="84"/>
      <c r="X30" s="85"/>
      <c r="Y30" s="48"/>
      <c r="Z30" s="81"/>
      <c r="AA30" s="84">
        <v>0</v>
      </c>
      <c r="AB30" s="85"/>
      <c r="AC30" s="84">
        <v>0</v>
      </c>
      <c r="AD30" s="81"/>
      <c r="AE30" s="84">
        <v>0</v>
      </c>
      <c r="AF30" s="85"/>
      <c r="AG30" s="84">
        <v>0</v>
      </c>
      <c r="AH30" s="85"/>
      <c r="AI30" s="84">
        <v>0</v>
      </c>
      <c r="AJ30" s="85"/>
      <c r="AK30" s="84">
        <v>0</v>
      </c>
      <c r="AL30" s="85"/>
      <c r="AM30" s="84">
        <v>0</v>
      </c>
      <c r="AN30" s="85"/>
      <c r="AO30" s="230">
        <f>D30-U30-W30-Y30-AA30-AC30-AE30-AG30-AI30-AK30-AM30</f>
        <v>4328</v>
      </c>
      <c r="AP30" s="231">
        <v>4328</v>
      </c>
      <c r="AQ30" s="84">
        <f>D30-U30-W30-Y30-AA30-AC30-AE30-AG30-AI30-AK30-AM30-AO30</f>
        <v>0</v>
      </c>
      <c r="AR30" s="81"/>
      <c r="AS30" s="214">
        <f t="shared" si="9"/>
        <v>0</v>
      </c>
    </row>
    <row r="31" spans="1:45" x14ac:dyDescent="0.35">
      <c r="A31" s="149" t="s">
        <v>438</v>
      </c>
      <c r="B31" s="180"/>
      <c r="C31" s="83">
        <v>220000</v>
      </c>
      <c r="D31" s="63">
        <v>220000</v>
      </c>
      <c r="E31" s="302"/>
      <c r="F31" s="287"/>
      <c r="G31" s="288" t="e">
        <f t="shared" si="10"/>
        <v>#DIV/0!</v>
      </c>
      <c r="H31" s="289"/>
      <c r="I31" s="290" t="e">
        <f t="shared" si="11"/>
        <v>#DIV/0!</v>
      </c>
      <c r="J31" s="287"/>
      <c r="K31" s="288" t="e">
        <f t="shared" si="12"/>
        <v>#DIV/0!</v>
      </c>
      <c r="L31" s="289"/>
      <c r="M31" s="290" t="e">
        <f t="shared" si="13"/>
        <v>#DIV/0!</v>
      </c>
      <c r="N31" s="287"/>
      <c r="O31" s="288" t="e">
        <f t="shared" si="14"/>
        <v>#DIV/0!</v>
      </c>
      <c r="P31" s="289"/>
      <c r="Q31" s="290" t="e">
        <f t="shared" si="15"/>
        <v>#DIV/0!</v>
      </c>
      <c r="R31" s="287"/>
      <c r="S31" s="313" t="e">
        <f t="shared" si="16"/>
        <v>#DIV/0!</v>
      </c>
      <c r="T31" s="323" t="e">
        <f t="shared" si="17"/>
        <v>#DIV/0!</v>
      </c>
      <c r="V31" s="81"/>
      <c r="W31" s="84"/>
      <c r="X31" s="85"/>
      <c r="Y31" s="48"/>
      <c r="Z31" s="81"/>
      <c r="AA31" s="84">
        <v>0</v>
      </c>
      <c r="AB31" s="85"/>
      <c r="AC31" s="84">
        <v>0</v>
      </c>
      <c r="AD31" s="81"/>
      <c r="AE31" s="84">
        <v>0</v>
      </c>
      <c r="AF31" s="85"/>
      <c r="AG31" s="84">
        <v>0</v>
      </c>
      <c r="AH31" s="85"/>
      <c r="AI31" s="84">
        <v>0</v>
      </c>
      <c r="AJ31" s="85"/>
      <c r="AK31" s="84">
        <v>0</v>
      </c>
      <c r="AL31" s="85"/>
      <c r="AM31" s="84"/>
      <c r="AN31" s="85"/>
      <c r="AO31" s="84"/>
      <c r="AP31" s="85"/>
      <c r="AQ31" s="84">
        <v>0</v>
      </c>
      <c r="AR31" s="81"/>
      <c r="AS31" s="214">
        <f t="shared" si="9"/>
        <v>220000</v>
      </c>
    </row>
    <row r="32" spans="1:45" x14ac:dyDescent="0.35">
      <c r="A32" s="159" t="s">
        <v>533</v>
      </c>
      <c r="B32" s="180"/>
      <c r="C32" s="83">
        <v>31053</v>
      </c>
      <c r="D32" s="107">
        <v>31053</v>
      </c>
      <c r="E32" s="304">
        <v>7316.17</v>
      </c>
      <c r="F32" s="287">
        <v>1953.41</v>
      </c>
      <c r="G32" s="288">
        <f t="shared" si="10"/>
        <v>0.26699898990865439</v>
      </c>
      <c r="H32" s="289">
        <v>1837.35</v>
      </c>
      <c r="I32" s="290">
        <f t="shared" si="11"/>
        <v>0.25113549849169714</v>
      </c>
      <c r="J32" s="287">
        <v>1413.6</v>
      </c>
      <c r="K32" s="288">
        <f t="shared" si="12"/>
        <v>0.19321584927632898</v>
      </c>
      <c r="L32" s="289">
        <v>1860.32</v>
      </c>
      <c r="M32" s="290">
        <f t="shared" si="13"/>
        <v>0.25427511935889952</v>
      </c>
      <c r="N32" s="287">
        <v>251.49</v>
      </c>
      <c r="O32" s="288">
        <f t="shared" si="14"/>
        <v>3.4374542964419906E-2</v>
      </c>
      <c r="P32" s="289"/>
      <c r="Q32" s="290">
        <f t="shared" si="15"/>
        <v>0</v>
      </c>
      <c r="R32" s="287"/>
      <c r="S32" s="313">
        <f t="shared" si="16"/>
        <v>0</v>
      </c>
      <c r="T32" s="323">
        <f t="shared" si="17"/>
        <v>1</v>
      </c>
      <c r="V32" s="81"/>
      <c r="W32" s="84"/>
      <c r="X32" s="85"/>
      <c r="Y32" s="48"/>
      <c r="Z32" s="81"/>
      <c r="AA32" s="84">
        <v>0</v>
      </c>
      <c r="AB32" s="85"/>
      <c r="AC32" s="84">
        <v>0</v>
      </c>
      <c r="AD32" s="81"/>
      <c r="AE32" s="84">
        <v>0</v>
      </c>
      <c r="AF32" s="85"/>
      <c r="AG32" s="84">
        <v>0</v>
      </c>
      <c r="AH32" s="85"/>
      <c r="AI32" s="84">
        <v>0</v>
      </c>
      <c r="AJ32" s="85"/>
      <c r="AK32" s="84">
        <v>0</v>
      </c>
      <c r="AL32" s="85"/>
      <c r="AM32" s="84">
        <v>0</v>
      </c>
      <c r="AN32" s="85"/>
      <c r="AO32" s="84">
        <v>0</v>
      </c>
      <c r="AP32" s="85"/>
      <c r="AQ32" s="230">
        <v>7316</v>
      </c>
      <c r="AR32" s="195">
        <v>7316.17</v>
      </c>
      <c r="AS32" s="214">
        <f t="shared" si="9"/>
        <v>23737</v>
      </c>
    </row>
    <row r="33" spans="1:45" x14ac:dyDescent="0.35">
      <c r="A33" s="149" t="s">
        <v>468</v>
      </c>
      <c r="B33" s="180"/>
      <c r="C33" s="83">
        <v>113900</v>
      </c>
      <c r="D33" s="63">
        <v>113900</v>
      </c>
      <c r="E33" s="302"/>
      <c r="F33" s="287"/>
      <c r="G33" s="288" t="e">
        <f t="shared" si="10"/>
        <v>#DIV/0!</v>
      </c>
      <c r="H33" s="289"/>
      <c r="I33" s="290" t="e">
        <f t="shared" si="11"/>
        <v>#DIV/0!</v>
      </c>
      <c r="J33" s="287"/>
      <c r="K33" s="288" t="e">
        <f t="shared" si="12"/>
        <v>#DIV/0!</v>
      </c>
      <c r="L33" s="289"/>
      <c r="M33" s="290" t="e">
        <f t="shared" si="13"/>
        <v>#DIV/0!</v>
      </c>
      <c r="N33" s="287"/>
      <c r="O33" s="288" t="e">
        <f t="shared" si="14"/>
        <v>#DIV/0!</v>
      </c>
      <c r="P33" s="289"/>
      <c r="Q33" s="290" t="e">
        <f t="shared" si="15"/>
        <v>#DIV/0!</v>
      </c>
      <c r="R33" s="287"/>
      <c r="S33" s="313" t="e">
        <f t="shared" si="16"/>
        <v>#DIV/0!</v>
      </c>
      <c r="T33" s="323" t="e">
        <f t="shared" si="17"/>
        <v>#DIV/0!</v>
      </c>
      <c r="V33" s="81"/>
      <c r="W33" s="84"/>
      <c r="X33" s="85"/>
      <c r="Y33" s="48"/>
      <c r="Z33" s="81"/>
      <c r="AA33" s="84">
        <v>0</v>
      </c>
      <c r="AB33" s="85"/>
      <c r="AC33" s="84">
        <v>0</v>
      </c>
      <c r="AD33" s="81"/>
      <c r="AE33" s="84">
        <v>0</v>
      </c>
      <c r="AF33" s="85"/>
      <c r="AG33" s="84">
        <v>0</v>
      </c>
      <c r="AH33" s="85"/>
      <c r="AI33" s="84">
        <v>0</v>
      </c>
      <c r="AJ33" s="85"/>
      <c r="AK33" s="84">
        <v>0</v>
      </c>
      <c r="AL33" s="85"/>
      <c r="AM33" s="84">
        <v>0</v>
      </c>
      <c r="AN33" s="85"/>
      <c r="AO33" s="84">
        <v>0</v>
      </c>
      <c r="AP33" s="85"/>
      <c r="AQ33" s="84">
        <v>0</v>
      </c>
      <c r="AR33" s="81"/>
      <c r="AS33" s="214">
        <f t="shared" si="9"/>
        <v>113900</v>
      </c>
    </row>
    <row r="34" spans="1:45" x14ac:dyDescent="0.35">
      <c r="A34" s="159" t="s">
        <v>437</v>
      </c>
      <c r="B34" s="180"/>
      <c r="C34" s="83">
        <f>1278+23805.27+513.94</f>
        <v>25597.21</v>
      </c>
      <c r="D34" s="107">
        <v>25597</v>
      </c>
      <c r="E34" s="304">
        <v>25083</v>
      </c>
      <c r="F34" s="287">
        <v>5735</v>
      </c>
      <c r="G34" s="288">
        <f t="shared" si="10"/>
        <v>0.22864091217159033</v>
      </c>
      <c r="H34" s="289">
        <v>2756</v>
      </c>
      <c r="I34" s="290">
        <f t="shared" si="11"/>
        <v>0.10987521428856198</v>
      </c>
      <c r="J34" s="287">
        <v>3968</v>
      </c>
      <c r="K34" s="288">
        <f t="shared" si="12"/>
        <v>0.15819479328628952</v>
      </c>
      <c r="L34" s="289"/>
      <c r="M34" s="290">
        <f t="shared" si="13"/>
        <v>0</v>
      </c>
      <c r="N34" s="287">
        <v>5536</v>
      </c>
      <c r="O34" s="288">
        <f t="shared" si="14"/>
        <v>0.2207072519236136</v>
      </c>
      <c r="P34" s="289">
        <v>2972</v>
      </c>
      <c r="Q34" s="290">
        <f t="shared" si="15"/>
        <v>0.11848662440696886</v>
      </c>
      <c r="R34" s="287"/>
      <c r="S34" s="313">
        <f t="shared" si="16"/>
        <v>0</v>
      </c>
      <c r="T34" s="323">
        <f t="shared" si="17"/>
        <v>0.83590479607702428</v>
      </c>
      <c r="V34" s="81"/>
      <c r="W34" s="84"/>
      <c r="X34" s="85"/>
      <c r="Y34" s="48"/>
      <c r="Z34" s="81"/>
      <c r="AA34" s="84">
        <v>0</v>
      </c>
      <c r="AB34" s="85"/>
      <c r="AC34" s="84">
        <v>0</v>
      </c>
      <c r="AD34" s="81"/>
      <c r="AE34" s="84">
        <v>0</v>
      </c>
      <c r="AF34" s="85"/>
      <c r="AG34" s="230">
        <v>4638.88</v>
      </c>
      <c r="AH34" s="231">
        <v>4638.88</v>
      </c>
      <c r="AI34" s="230">
        <v>12125.54</v>
      </c>
      <c r="AJ34" s="231">
        <v>12125.54</v>
      </c>
      <c r="AK34" s="64">
        <f>513.94+6693.13</f>
        <v>7207.07</v>
      </c>
      <c r="AL34" s="231">
        <v>7207</v>
      </c>
      <c r="AM34" s="84">
        <v>0</v>
      </c>
      <c r="AN34" s="85"/>
      <c r="AO34" s="84">
        <v>0</v>
      </c>
      <c r="AP34" s="85"/>
      <c r="AQ34" s="230">
        <f>D34-U34-W34-Y34-AA34-AC34-AE34-AG34-AI34-AK34-AM34-AO34</f>
        <v>1625.5099999999984</v>
      </c>
      <c r="AR34" s="195">
        <f>347.72+1278.22</f>
        <v>1625.94</v>
      </c>
      <c r="AS34" s="214">
        <f t="shared" si="9"/>
        <v>0</v>
      </c>
    </row>
    <row r="35" spans="1:45" x14ac:dyDescent="0.35">
      <c r="A35" s="149" t="s">
        <v>472</v>
      </c>
      <c r="B35" s="180"/>
      <c r="C35" s="83">
        <v>103994</v>
      </c>
      <c r="D35" s="107">
        <v>103994</v>
      </c>
      <c r="E35" s="304">
        <v>54793.82</v>
      </c>
      <c r="F35" s="287">
        <f>28672.11+900</f>
        <v>29572.11</v>
      </c>
      <c r="G35" s="288">
        <f t="shared" si="10"/>
        <v>0.53969790753774793</v>
      </c>
      <c r="H35" s="289">
        <v>8865.66</v>
      </c>
      <c r="I35" s="290">
        <f t="shared" si="11"/>
        <v>0.16180036361764885</v>
      </c>
      <c r="J35" s="287">
        <v>6042.28</v>
      </c>
      <c r="K35" s="288">
        <f t="shared" si="12"/>
        <v>0.11027301984055866</v>
      </c>
      <c r="L35" s="289">
        <v>5353.73</v>
      </c>
      <c r="M35" s="290">
        <f t="shared" si="13"/>
        <v>9.7706821681715197E-2</v>
      </c>
      <c r="N35" s="287">
        <v>4960.04</v>
      </c>
      <c r="O35" s="288">
        <f t="shared" si="14"/>
        <v>9.0521887322329422E-2</v>
      </c>
      <c r="P35" s="289"/>
      <c r="Q35" s="290">
        <f t="shared" si="15"/>
        <v>0</v>
      </c>
      <c r="R35" s="287"/>
      <c r="S35" s="313">
        <f t="shared" si="16"/>
        <v>0</v>
      </c>
      <c r="T35" s="323">
        <f t="shared" si="17"/>
        <v>1</v>
      </c>
      <c r="V35" s="81"/>
      <c r="W35" s="84"/>
      <c r="X35" s="85"/>
      <c r="Y35" s="48"/>
      <c r="Z35" s="81"/>
      <c r="AA35" s="84">
        <v>0</v>
      </c>
      <c r="AB35" s="85"/>
      <c r="AC35" s="84">
        <v>0</v>
      </c>
      <c r="AD35" s="81"/>
      <c r="AE35" s="84">
        <v>0</v>
      </c>
      <c r="AF35" s="85"/>
      <c r="AG35" s="84">
        <v>0</v>
      </c>
      <c r="AH35" s="85"/>
      <c r="AI35" s="84">
        <v>0</v>
      </c>
      <c r="AJ35" s="85"/>
      <c r="AK35" s="84">
        <v>0</v>
      </c>
      <c r="AL35" s="85"/>
      <c r="AM35" s="230">
        <v>17873</v>
      </c>
      <c r="AN35" s="231">
        <v>17872.650000000001</v>
      </c>
      <c r="AO35" s="230">
        <v>20956</v>
      </c>
      <c r="AP35" s="231">
        <v>20956.29</v>
      </c>
      <c r="AQ35" s="230">
        <v>15965</v>
      </c>
      <c r="AR35" s="195">
        <v>15964.88</v>
      </c>
      <c r="AS35" s="214">
        <f t="shared" si="9"/>
        <v>49200</v>
      </c>
    </row>
    <row r="36" spans="1:45" x14ac:dyDescent="0.35">
      <c r="A36" s="66" t="s">
        <v>532</v>
      </c>
      <c r="B36" s="170"/>
      <c r="C36" s="83">
        <v>1156</v>
      </c>
      <c r="D36" s="107">
        <v>1156</v>
      </c>
      <c r="E36" s="304">
        <f>D36</f>
        <v>1156</v>
      </c>
      <c r="F36" s="287"/>
      <c r="G36" s="288">
        <f t="shared" si="10"/>
        <v>0</v>
      </c>
      <c r="H36" s="289"/>
      <c r="I36" s="290">
        <f t="shared" si="11"/>
        <v>0</v>
      </c>
      <c r="J36" s="287"/>
      <c r="K36" s="288">
        <f t="shared" si="12"/>
        <v>0</v>
      </c>
      <c r="L36" s="289"/>
      <c r="M36" s="290">
        <f t="shared" si="13"/>
        <v>0</v>
      </c>
      <c r="N36" s="287"/>
      <c r="O36" s="288">
        <f t="shared" si="14"/>
        <v>0</v>
      </c>
      <c r="P36" s="289"/>
      <c r="Q36" s="290">
        <f t="shared" si="15"/>
        <v>0</v>
      </c>
      <c r="R36" s="287">
        <v>1156</v>
      </c>
      <c r="S36" s="313">
        <f t="shared" si="16"/>
        <v>1</v>
      </c>
      <c r="T36" s="323">
        <f t="shared" si="17"/>
        <v>1</v>
      </c>
      <c r="U36" s="81"/>
      <c r="V36" s="81"/>
      <c r="W36" s="84"/>
      <c r="X36" s="85"/>
      <c r="Y36" s="48"/>
      <c r="Z36" s="81"/>
      <c r="AA36" s="84">
        <v>0</v>
      </c>
      <c r="AB36" s="85"/>
      <c r="AC36" s="84">
        <v>0</v>
      </c>
      <c r="AD36" s="81"/>
      <c r="AE36" s="84">
        <v>0</v>
      </c>
      <c r="AF36" s="85"/>
      <c r="AG36" s="84">
        <v>0</v>
      </c>
      <c r="AH36" s="85"/>
      <c r="AI36" s="281"/>
      <c r="AJ36" s="85"/>
      <c r="AK36" s="230">
        <v>1156</v>
      </c>
      <c r="AL36" s="231">
        <v>1156</v>
      </c>
      <c r="AM36" s="84">
        <v>0</v>
      </c>
      <c r="AN36" s="85"/>
      <c r="AO36" s="84"/>
      <c r="AP36" s="85"/>
      <c r="AQ36" s="84">
        <f>D36-U36-W36-Y36-AA36-AC36-AE36-AG36-AI36-AK36-AM36-AO36</f>
        <v>0</v>
      </c>
      <c r="AR36" s="81"/>
      <c r="AS36" s="214">
        <f t="shared" si="9"/>
        <v>0</v>
      </c>
    </row>
    <row r="37" spans="1:45" x14ac:dyDescent="0.35">
      <c r="A37" s="159" t="s">
        <v>431</v>
      </c>
      <c r="B37" s="180"/>
      <c r="C37" s="83">
        <v>29905.67</v>
      </c>
      <c r="D37" s="107">
        <v>29905.67</v>
      </c>
      <c r="E37" s="304">
        <v>23943.63</v>
      </c>
      <c r="F37" s="287">
        <f>900+4166.86</f>
        <v>5066.8599999999997</v>
      </c>
      <c r="G37" s="288">
        <f t="shared" si="10"/>
        <v>0.21161620021692615</v>
      </c>
      <c r="H37" s="289">
        <v>4047.32</v>
      </c>
      <c r="I37" s="290">
        <f t="shared" si="11"/>
        <v>0.16903535512368006</v>
      </c>
      <c r="J37" s="287">
        <v>6779.41</v>
      </c>
      <c r="K37" s="288">
        <f t="shared" si="12"/>
        <v>0.28314044278165007</v>
      </c>
      <c r="L37" s="289">
        <v>6401.03</v>
      </c>
      <c r="M37" s="290">
        <f t="shared" si="13"/>
        <v>0.2673374922682985</v>
      </c>
      <c r="N37" s="287">
        <v>1649.01</v>
      </c>
      <c r="O37" s="288">
        <f t="shared" si="14"/>
        <v>6.8870509609445185E-2</v>
      </c>
      <c r="P37" s="289">
        <v>0</v>
      </c>
      <c r="Q37" s="290">
        <f t="shared" si="15"/>
        <v>0</v>
      </c>
      <c r="R37" s="287"/>
      <c r="S37" s="313">
        <f t="shared" si="16"/>
        <v>0</v>
      </c>
      <c r="T37" s="323">
        <f t="shared" si="17"/>
        <v>1</v>
      </c>
      <c r="V37" s="81"/>
      <c r="W37" s="84"/>
      <c r="X37" s="85"/>
      <c r="Y37" s="48"/>
      <c r="Z37" s="81"/>
      <c r="AA37" s="84">
        <v>0</v>
      </c>
      <c r="AB37" s="85"/>
      <c r="AC37" s="84">
        <v>0</v>
      </c>
      <c r="AD37" s="81"/>
      <c r="AE37" s="84">
        <v>0</v>
      </c>
      <c r="AF37" s="85"/>
      <c r="AG37" s="84">
        <v>0</v>
      </c>
      <c r="AH37" s="85"/>
      <c r="AI37" s="84">
        <v>0</v>
      </c>
      <c r="AJ37" s="85"/>
      <c r="AK37" s="230">
        <v>9114</v>
      </c>
      <c r="AL37" s="231">
        <v>9114</v>
      </c>
      <c r="AM37" s="84">
        <v>0</v>
      </c>
      <c r="AN37" s="85"/>
      <c r="AO37" s="84">
        <v>0</v>
      </c>
      <c r="AP37" s="85"/>
      <c r="AQ37" s="230">
        <v>14829</v>
      </c>
      <c r="AR37" s="195">
        <v>14829.45</v>
      </c>
      <c r="AS37" s="214">
        <f t="shared" si="9"/>
        <v>5962.6699999999983</v>
      </c>
    </row>
    <row r="38" spans="1:45" x14ac:dyDescent="0.35">
      <c r="A38" s="149" t="s">
        <v>435</v>
      </c>
      <c r="B38" s="180"/>
      <c r="C38" s="195">
        <f>102969+4565.34</f>
        <v>107534.34</v>
      </c>
      <c r="D38" s="107">
        <f>C38</f>
        <v>107534.34</v>
      </c>
      <c r="E38" s="304">
        <f>D38</f>
        <v>107534.34</v>
      </c>
      <c r="F38" s="287">
        <f>900+30470.52</f>
        <v>31370.52</v>
      </c>
      <c r="G38" s="288">
        <f t="shared" si="10"/>
        <v>0.29172560132884062</v>
      </c>
      <c r="H38" s="289">
        <v>7411.6</v>
      </c>
      <c r="I38" s="290">
        <f t="shared" si="11"/>
        <v>6.8923099355982481E-2</v>
      </c>
      <c r="J38" s="287">
        <v>26534.23</v>
      </c>
      <c r="K38" s="288">
        <f t="shared" si="12"/>
        <v>0.24675122384161191</v>
      </c>
      <c r="L38" s="289">
        <v>32026.98</v>
      </c>
      <c r="M38" s="290">
        <f t="shared" si="13"/>
        <v>0.29783025589779044</v>
      </c>
      <c r="N38" s="287">
        <v>5626.38</v>
      </c>
      <c r="O38" s="288">
        <f t="shared" si="14"/>
        <v>5.2321704861907369E-2</v>
      </c>
      <c r="P38" s="289"/>
      <c r="Q38" s="290">
        <f t="shared" si="15"/>
        <v>0</v>
      </c>
      <c r="R38" s="287"/>
      <c r="S38" s="313">
        <f t="shared" si="16"/>
        <v>0</v>
      </c>
      <c r="T38" s="323">
        <f t="shared" si="17"/>
        <v>0.95755188528613289</v>
      </c>
      <c r="V38" s="81"/>
      <c r="W38" s="84"/>
      <c r="X38" s="85"/>
      <c r="Y38" s="48"/>
      <c r="Z38" s="81"/>
      <c r="AA38" s="84">
        <v>0</v>
      </c>
      <c r="AB38" s="85"/>
      <c r="AC38" s="84">
        <v>0</v>
      </c>
      <c r="AD38" s="81"/>
      <c r="AE38" s="84">
        <v>0</v>
      </c>
      <c r="AF38" s="85"/>
      <c r="AG38" s="84">
        <v>0</v>
      </c>
      <c r="AH38" s="85"/>
      <c r="AI38" s="230">
        <v>24126.36</v>
      </c>
      <c r="AJ38" s="231">
        <v>24126.36</v>
      </c>
      <c r="AK38" s="84">
        <v>0</v>
      </c>
      <c r="AL38" s="85"/>
      <c r="AM38" s="230">
        <v>45000</v>
      </c>
      <c r="AN38" s="231">
        <v>44999.97</v>
      </c>
      <c r="AO38" s="84">
        <v>0</v>
      </c>
      <c r="AP38" s="85"/>
      <c r="AQ38" s="230">
        <f>D38-U38-W38-Y38-AA38-AC38-AE38-AG38-AI38-AK38-AM38-AO38</f>
        <v>38407.979999999996</v>
      </c>
      <c r="AR38" s="195">
        <f>33843.38+4565.34</f>
        <v>38408.720000000001</v>
      </c>
      <c r="AS38" s="214">
        <f t="shared" si="9"/>
        <v>0</v>
      </c>
    </row>
    <row r="39" spans="1:45" x14ac:dyDescent="0.35">
      <c r="A39" s="149" t="s">
        <v>436</v>
      </c>
      <c r="B39" s="180"/>
      <c r="C39" s="83">
        <v>176738.45</v>
      </c>
      <c r="D39" s="107">
        <v>176738</v>
      </c>
      <c r="E39" s="304">
        <v>155790.78</v>
      </c>
      <c r="F39" s="287">
        <f>1125+37272.35+3789.69</f>
        <v>42187.040000000001</v>
      </c>
      <c r="G39" s="288">
        <f t="shared" si="10"/>
        <v>0.27079291855397347</v>
      </c>
      <c r="H39" s="289">
        <f>15386.94+3582.6</f>
        <v>18969.54</v>
      </c>
      <c r="I39" s="290">
        <f t="shared" si="11"/>
        <v>0.12176291819066572</v>
      </c>
      <c r="J39" s="287">
        <f>23156.77+868</f>
        <v>24024.77</v>
      </c>
      <c r="K39" s="288">
        <f t="shared" si="12"/>
        <v>0.15421175758924888</v>
      </c>
      <c r="L39" s="289">
        <f>28481.54+3341.42</f>
        <v>31822.959999999999</v>
      </c>
      <c r="M39" s="290">
        <f t="shared" si="13"/>
        <v>0.20426728719119322</v>
      </c>
      <c r="N39" s="287">
        <v>11789.22</v>
      </c>
      <c r="O39" s="288">
        <f t="shared" si="14"/>
        <v>7.5673412765505113E-2</v>
      </c>
      <c r="P39" s="289">
        <f>25531.58+1465.67</f>
        <v>26997.25</v>
      </c>
      <c r="Q39" s="290">
        <f t="shared" si="15"/>
        <v>0.1732917057094136</v>
      </c>
      <c r="R39" s="287"/>
      <c r="S39" s="313">
        <f t="shared" si="16"/>
        <v>0</v>
      </c>
      <c r="T39" s="323">
        <f t="shared" si="17"/>
        <v>1</v>
      </c>
      <c r="V39" s="81"/>
      <c r="W39" s="84"/>
      <c r="X39" s="85"/>
      <c r="Y39" s="48"/>
      <c r="Z39" s="81"/>
      <c r="AA39" s="84">
        <v>0</v>
      </c>
      <c r="AB39" s="85"/>
      <c r="AC39" s="84">
        <v>0</v>
      </c>
      <c r="AD39" s="81"/>
      <c r="AE39" s="84">
        <v>0</v>
      </c>
      <c r="AF39" s="85"/>
      <c r="AG39" s="230">
        <v>15114</v>
      </c>
      <c r="AH39" s="231">
        <v>15113.6</v>
      </c>
      <c r="AI39" s="230">
        <v>20142.54</v>
      </c>
      <c r="AJ39" s="231">
        <v>20142.54</v>
      </c>
      <c r="AK39" s="230">
        <v>45108.160000000003</v>
      </c>
      <c r="AL39" s="231">
        <v>45108.160000000003</v>
      </c>
      <c r="AM39" s="230">
        <v>25071</v>
      </c>
      <c r="AN39" s="231">
        <v>25071.24</v>
      </c>
      <c r="AO39" s="230">
        <v>37411</v>
      </c>
      <c r="AP39" s="231">
        <v>37411.21</v>
      </c>
      <c r="AQ39" s="230">
        <v>12944</v>
      </c>
      <c r="AR39" s="195">
        <v>12944</v>
      </c>
      <c r="AS39" s="214">
        <f t="shared" ref="AS39:AS80" si="18">D39-U39-W39-Y39-AA39-AC39-AE39-AG39-AI39-AK39-AM39-AO39-AQ39</f>
        <v>20947.299999999988</v>
      </c>
    </row>
    <row r="40" spans="1:45" x14ac:dyDescent="0.35">
      <c r="A40" s="151" t="s">
        <v>470</v>
      </c>
      <c r="B40" s="180"/>
      <c r="C40" s="83">
        <v>7093</v>
      </c>
      <c r="D40" s="107">
        <v>7093</v>
      </c>
      <c r="E40" s="304">
        <v>7093</v>
      </c>
      <c r="F40" s="287"/>
      <c r="G40" s="288">
        <f t="shared" si="10"/>
        <v>0</v>
      </c>
      <c r="H40" s="289"/>
      <c r="I40" s="290">
        <f t="shared" si="11"/>
        <v>0</v>
      </c>
      <c r="J40" s="287"/>
      <c r="K40" s="288">
        <f t="shared" si="12"/>
        <v>0</v>
      </c>
      <c r="L40" s="289"/>
      <c r="M40" s="290">
        <f t="shared" si="13"/>
        <v>0</v>
      </c>
      <c r="N40" s="287"/>
      <c r="O40" s="288">
        <f t="shared" si="14"/>
        <v>0</v>
      </c>
      <c r="P40" s="289"/>
      <c r="Q40" s="290">
        <f t="shared" si="15"/>
        <v>0</v>
      </c>
      <c r="R40" s="287">
        <v>7093</v>
      </c>
      <c r="S40" s="313">
        <f t="shared" si="16"/>
        <v>1</v>
      </c>
      <c r="T40" s="323">
        <f t="shared" si="17"/>
        <v>1</v>
      </c>
      <c r="V40" s="81"/>
      <c r="W40" s="84"/>
      <c r="X40" s="85"/>
      <c r="Y40" s="48"/>
      <c r="Z40" s="81"/>
      <c r="AA40" s="84">
        <v>0</v>
      </c>
      <c r="AB40" s="85"/>
      <c r="AC40" s="84">
        <v>0</v>
      </c>
      <c r="AD40" s="81"/>
      <c r="AE40" s="84">
        <v>0</v>
      </c>
      <c r="AF40" s="85"/>
      <c r="AG40" s="230">
        <v>7093</v>
      </c>
      <c r="AH40" s="231">
        <v>7092.9</v>
      </c>
      <c r="AI40" s="84">
        <f>D40-U40-W40-Y40-AA40-AC40-AE40-AG40</f>
        <v>0</v>
      </c>
      <c r="AJ40" s="85"/>
      <c r="AK40" s="84">
        <f>D40-U40-W40-Y40-AA40-AC40-AE40-AG40-AI40</f>
        <v>0</v>
      </c>
      <c r="AL40" s="85"/>
      <c r="AM40" s="84">
        <f>D40-U40-W40-Y40-AA40-AC40-AE40-AG40-AI40-AK40</f>
        <v>0</v>
      </c>
      <c r="AN40" s="85"/>
      <c r="AO40" s="84">
        <f>D40-U40-W40-Y40-AA40-AC40-AE40-AG40-AI40-AK40-AM40</f>
        <v>0</v>
      </c>
      <c r="AP40" s="85"/>
      <c r="AQ40" s="84">
        <f t="shared" ref="AQ40:AQ80" si="19">D40-U40-W40-Y40-AA40-AC40-AE40-AG40-AI40-AK40-AM40-AO40</f>
        <v>0</v>
      </c>
      <c r="AR40" s="81"/>
      <c r="AS40" s="214">
        <f t="shared" si="18"/>
        <v>0</v>
      </c>
    </row>
    <row r="41" spans="1:45" x14ac:dyDescent="0.35">
      <c r="A41" s="187" t="s">
        <v>469</v>
      </c>
      <c r="B41" s="180"/>
      <c r="C41" s="83">
        <v>8521</v>
      </c>
      <c r="D41" s="107">
        <v>8521</v>
      </c>
      <c r="E41" s="304">
        <f>D41</f>
        <v>8521</v>
      </c>
      <c r="F41" s="287"/>
      <c r="G41" s="288">
        <f t="shared" si="10"/>
        <v>0</v>
      </c>
      <c r="H41" s="289"/>
      <c r="I41" s="290">
        <f t="shared" si="11"/>
        <v>0</v>
      </c>
      <c r="J41" s="287"/>
      <c r="K41" s="288">
        <f t="shared" si="12"/>
        <v>0</v>
      </c>
      <c r="L41" s="289">
        <v>8521</v>
      </c>
      <c r="M41" s="290">
        <f t="shared" si="13"/>
        <v>1</v>
      </c>
      <c r="N41" s="287"/>
      <c r="O41" s="288">
        <f t="shared" si="14"/>
        <v>0</v>
      </c>
      <c r="P41" s="289"/>
      <c r="Q41" s="290">
        <f t="shared" si="15"/>
        <v>0</v>
      </c>
      <c r="R41" s="287"/>
      <c r="S41" s="313">
        <f t="shared" si="16"/>
        <v>0</v>
      </c>
      <c r="T41" s="323">
        <f t="shared" si="17"/>
        <v>1</v>
      </c>
      <c r="V41" s="81"/>
      <c r="W41" s="84"/>
      <c r="X41" s="85"/>
      <c r="Y41" s="48"/>
      <c r="Z41" s="81"/>
      <c r="AA41" s="84">
        <v>0</v>
      </c>
      <c r="AB41" s="85"/>
      <c r="AC41" s="84">
        <v>0</v>
      </c>
      <c r="AD41" s="81"/>
      <c r="AE41" s="84">
        <v>0</v>
      </c>
      <c r="AF41" s="85"/>
      <c r="AG41" s="230">
        <f>D41-U41-W41-Y41-AA41-AC41-AE41</f>
        <v>8521</v>
      </c>
      <c r="AH41" s="231">
        <v>8521.2999999999993</v>
      </c>
      <c r="AI41" s="84">
        <f>D41-U41-W41-Y41-AA41-AC41-AE41-AG41</f>
        <v>0</v>
      </c>
      <c r="AJ41" s="85"/>
      <c r="AK41" s="84">
        <f>D41-U41-W41-Y41-AA41-AC41-AE41-AG41-AI41</f>
        <v>0</v>
      </c>
      <c r="AL41" s="85"/>
      <c r="AM41" s="84">
        <f>D41-U41-W41-Y41-AA41-AC41-AE41-AG41-AI41-AK41</f>
        <v>0</v>
      </c>
      <c r="AN41" s="85"/>
      <c r="AO41" s="84">
        <f>D41-U41-W41-Y41-AA41-AC41-AE41-AG41-AI41-AK41-AM41</f>
        <v>0</v>
      </c>
      <c r="AP41" s="85"/>
      <c r="AQ41" s="84">
        <f t="shared" si="19"/>
        <v>0</v>
      </c>
      <c r="AR41" s="81"/>
      <c r="AS41" s="214">
        <f t="shared" si="18"/>
        <v>0</v>
      </c>
    </row>
    <row r="42" spans="1:45" x14ac:dyDescent="0.35">
      <c r="A42" s="159" t="s">
        <v>441</v>
      </c>
      <c r="B42" s="180"/>
      <c r="C42" s="83">
        <v>36011</v>
      </c>
      <c r="D42" s="63">
        <v>36011</v>
      </c>
      <c r="E42" s="302"/>
      <c r="F42" s="287"/>
      <c r="G42" s="288" t="e">
        <f t="shared" si="10"/>
        <v>#DIV/0!</v>
      </c>
      <c r="H42" s="289"/>
      <c r="I42" s="290" t="e">
        <f t="shared" si="11"/>
        <v>#DIV/0!</v>
      </c>
      <c r="J42" s="287"/>
      <c r="K42" s="288" t="e">
        <f t="shared" si="12"/>
        <v>#DIV/0!</v>
      </c>
      <c r="L42" s="289"/>
      <c r="M42" s="290" t="e">
        <f t="shared" si="13"/>
        <v>#DIV/0!</v>
      </c>
      <c r="N42" s="287"/>
      <c r="O42" s="288" t="e">
        <f t="shared" si="14"/>
        <v>#DIV/0!</v>
      </c>
      <c r="P42" s="289"/>
      <c r="Q42" s="290" t="e">
        <f t="shared" si="15"/>
        <v>#DIV/0!</v>
      </c>
      <c r="R42" s="287"/>
      <c r="S42" s="313" t="e">
        <f t="shared" si="16"/>
        <v>#DIV/0!</v>
      </c>
      <c r="T42" s="323" t="e">
        <f t="shared" si="17"/>
        <v>#DIV/0!</v>
      </c>
      <c r="V42" s="81"/>
      <c r="W42" s="84"/>
      <c r="X42" s="85"/>
      <c r="Y42" s="48"/>
      <c r="Z42" s="81"/>
      <c r="AA42" s="84">
        <v>0</v>
      </c>
      <c r="AB42" s="85"/>
      <c r="AC42" s="84">
        <v>0</v>
      </c>
      <c r="AD42" s="81"/>
      <c r="AE42" s="84">
        <v>0</v>
      </c>
      <c r="AF42" s="85"/>
      <c r="AG42" s="84">
        <v>0</v>
      </c>
      <c r="AH42" s="85"/>
      <c r="AI42" s="84">
        <v>0</v>
      </c>
      <c r="AJ42" s="85"/>
      <c r="AK42" s="84">
        <v>0</v>
      </c>
      <c r="AL42" s="85"/>
      <c r="AM42" s="84">
        <v>0</v>
      </c>
      <c r="AN42" s="85"/>
      <c r="AO42" s="84">
        <v>0</v>
      </c>
      <c r="AP42" s="85"/>
      <c r="AQ42" s="230">
        <v>5122</v>
      </c>
      <c r="AR42" s="195">
        <v>5121.79</v>
      </c>
      <c r="AS42" s="214">
        <f t="shared" si="18"/>
        <v>30889</v>
      </c>
    </row>
    <row r="43" spans="1:45" x14ac:dyDescent="0.35">
      <c r="A43" s="149" t="s">
        <v>444</v>
      </c>
      <c r="B43" s="180"/>
      <c r="C43" s="83">
        <v>124336</v>
      </c>
      <c r="D43" s="107">
        <v>124336</v>
      </c>
      <c r="E43" s="304">
        <v>76047.899999999994</v>
      </c>
      <c r="F43" s="287">
        <f>21526.05+900</f>
        <v>22426.05</v>
      </c>
      <c r="G43" s="288">
        <f t="shared" si="10"/>
        <v>0.29489374460044265</v>
      </c>
      <c r="H43" s="289">
        <v>13992</v>
      </c>
      <c r="I43" s="290">
        <f t="shared" si="11"/>
        <v>0.18398930147972528</v>
      </c>
      <c r="J43" s="287">
        <v>20605</v>
      </c>
      <c r="K43" s="288">
        <f t="shared" si="12"/>
        <v>0.27094765272939819</v>
      </c>
      <c r="L43" s="289">
        <v>10804.32</v>
      </c>
      <c r="M43" s="290">
        <f t="shared" si="13"/>
        <v>0.14207256216147982</v>
      </c>
      <c r="N43" s="287">
        <v>3606.93</v>
      </c>
      <c r="O43" s="288">
        <f t="shared" si="14"/>
        <v>4.7429712063054998E-2</v>
      </c>
      <c r="P43" s="289">
        <v>4612.8900000000003</v>
      </c>
      <c r="Q43" s="290">
        <f t="shared" si="15"/>
        <v>6.0657690744912098E-2</v>
      </c>
      <c r="R43" s="287">
        <v>0</v>
      </c>
      <c r="S43" s="313">
        <f t="shared" si="16"/>
        <v>0</v>
      </c>
      <c r="T43" s="323">
        <f t="shared" si="17"/>
        <v>0.99999066377901302</v>
      </c>
      <c r="V43" s="81"/>
      <c r="W43" s="84"/>
      <c r="X43" s="85"/>
      <c r="Y43" s="48"/>
      <c r="Z43" s="81"/>
      <c r="AA43" s="84">
        <v>0</v>
      </c>
      <c r="AB43" s="85"/>
      <c r="AC43" s="84">
        <v>0</v>
      </c>
      <c r="AD43" s="81"/>
      <c r="AE43" s="84">
        <v>0</v>
      </c>
      <c r="AF43" s="85"/>
      <c r="AG43" s="230">
        <v>15130.7</v>
      </c>
      <c r="AH43" s="231">
        <v>15130.7</v>
      </c>
      <c r="AI43" s="84">
        <v>0</v>
      </c>
      <c r="AJ43" s="85"/>
      <c r="AK43" s="230">
        <v>26642.61</v>
      </c>
      <c r="AL43" s="231">
        <v>26642.61</v>
      </c>
      <c r="AM43" s="230">
        <v>10462</v>
      </c>
      <c r="AN43" s="231">
        <v>10462.290000000001</v>
      </c>
      <c r="AO43" s="84">
        <v>0</v>
      </c>
      <c r="AP43" s="85"/>
      <c r="AQ43" s="230">
        <v>23812</v>
      </c>
      <c r="AR43" s="195">
        <v>23812.3</v>
      </c>
      <c r="AS43" s="214">
        <f t="shared" si="18"/>
        <v>48288.69</v>
      </c>
    </row>
    <row r="44" spans="1:45" x14ac:dyDescent="0.35">
      <c r="A44" s="160" t="s">
        <v>424</v>
      </c>
      <c r="B44" s="170"/>
      <c r="C44" s="83">
        <f>'2019-20'!AC17</f>
        <v>1913.88</v>
      </c>
      <c r="D44" s="107">
        <f>C44</f>
        <v>1913.88</v>
      </c>
      <c r="E44" s="304"/>
      <c r="F44" s="287"/>
      <c r="G44" s="288" t="e">
        <f t="shared" si="10"/>
        <v>#DIV/0!</v>
      </c>
      <c r="H44" s="289"/>
      <c r="I44" s="290" t="e">
        <f t="shared" si="11"/>
        <v>#DIV/0!</v>
      </c>
      <c r="J44" s="287"/>
      <c r="K44" s="288" t="e">
        <f t="shared" si="12"/>
        <v>#DIV/0!</v>
      </c>
      <c r="L44" s="289"/>
      <c r="M44" s="290" t="e">
        <f t="shared" si="13"/>
        <v>#DIV/0!</v>
      </c>
      <c r="N44" s="287"/>
      <c r="O44" s="288" t="e">
        <f t="shared" si="14"/>
        <v>#DIV/0!</v>
      </c>
      <c r="P44" s="289"/>
      <c r="Q44" s="290" t="e">
        <f t="shared" si="15"/>
        <v>#DIV/0!</v>
      </c>
      <c r="R44" s="287"/>
      <c r="S44" s="313" t="e">
        <f t="shared" si="16"/>
        <v>#DIV/0!</v>
      </c>
      <c r="T44" s="323" t="e">
        <f t="shared" si="17"/>
        <v>#DIV/0!</v>
      </c>
      <c r="U44" s="81"/>
      <c r="V44" s="81"/>
      <c r="W44" s="163"/>
      <c r="X44" s="85"/>
      <c r="Y44" s="81"/>
      <c r="Z44" s="81"/>
      <c r="AA44" s="84">
        <v>0</v>
      </c>
      <c r="AB44" s="85"/>
      <c r="AC44" s="84">
        <v>0</v>
      </c>
      <c r="AD44" s="81"/>
      <c r="AE44" s="84">
        <v>0</v>
      </c>
      <c r="AF44" s="85"/>
      <c r="AG44" s="84">
        <v>0</v>
      </c>
      <c r="AH44" s="85"/>
      <c r="AI44" s="84">
        <v>0</v>
      </c>
      <c r="AJ44" s="85"/>
      <c r="AK44" s="84">
        <v>0</v>
      </c>
      <c r="AL44" s="85"/>
      <c r="AM44" s="84">
        <v>0</v>
      </c>
      <c r="AN44" s="85"/>
      <c r="AO44" s="84">
        <v>0</v>
      </c>
      <c r="AP44" s="85"/>
      <c r="AQ44" s="84">
        <v>0</v>
      </c>
      <c r="AR44" s="81"/>
      <c r="AS44" s="214">
        <f t="shared" si="18"/>
        <v>1913.88</v>
      </c>
    </row>
    <row r="45" spans="1:45" x14ac:dyDescent="0.35">
      <c r="A45" s="151" t="s">
        <v>471</v>
      </c>
      <c r="B45" s="180"/>
      <c r="C45" s="83">
        <v>2925</v>
      </c>
      <c r="D45" s="107">
        <v>2925</v>
      </c>
      <c r="E45" s="304">
        <v>2925</v>
      </c>
      <c r="F45" s="287"/>
      <c r="G45" s="288">
        <f t="shared" si="10"/>
        <v>0</v>
      </c>
      <c r="H45" s="289"/>
      <c r="I45" s="290">
        <f t="shared" si="11"/>
        <v>0</v>
      </c>
      <c r="J45" s="287"/>
      <c r="K45" s="288">
        <f t="shared" si="12"/>
        <v>0</v>
      </c>
      <c r="L45" s="289"/>
      <c r="M45" s="290">
        <f t="shared" si="13"/>
        <v>0</v>
      </c>
      <c r="N45" s="287"/>
      <c r="O45" s="288">
        <f t="shared" si="14"/>
        <v>0</v>
      </c>
      <c r="P45" s="289"/>
      <c r="Q45" s="290">
        <f t="shared" si="15"/>
        <v>0</v>
      </c>
      <c r="R45" s="287">
        <v>2925</v>
      </c>
      <c r="S45" s="313">
        <f t="shared" si="16"/>
        <v>1</v>
      </c>
      <c r="T45" s="323">
        <f t="shared" si="17"/>
        <v>1</v>
      </c>
      <c r="V45" s="81"/>
      <c r="W45" s="84"/>
      <c r="X45" s="85"/>
      <c r="Y45" s="48"/>
      <c r="Z45" s="81"/>
      <c r="AA45" s="84">
        <v>0</v>
      </c>
      <c r="AB45" s="85"/>
      <c r="AC45" s="84">
        <v>0</v>
      </c>
      <c r="AD45" s="81"/>
      <c r="AE45" s="84">
        <v>0</v>
      </c>
      <c r="AF45" s="85"/>
      <c r="AG45" s="230">
        <f>D45-U45-W45-Y45-AA45-AC45-AE45</f>
        <v>2925</v>
      </c>
      <c r="AH45" s="231">
        <v>2925</v>
      </c>
      <c r="AI45" s="84">
        <f>D45-U45-W45-Y45-AA45-AC45-AE45-AG45</f>
        <v>0</v>
      </c>
      <c r="AJ45" s="85"/>
      <c r="AK45" s="84">
        <f>D45-U45-W45-Y45-AA45-AC45-AE45-AG45-AI45</f>
        <v>0</v>
      </c>
      <c r="AL45" s="85"/>
      <c r="AM45" s="84">
        <f t="shared" ref="AM45:AM80" si="20">D45-U45-W45-Y45-AA45-AC45-AE45-AG45-AI45-AK45</f>
        <v>0</v>
      </c>
      <c r="AN45" s="85"/>
      <c r="AO45" s="84">
        <f t="shared" ref="AO45:AO80" si="21">D45-U45-W45-Y45-AA45-AC45-AE45-AG45-AI45-AK45-AM45</f>
        <v>0</v>
      </c>
      <c r="AP45" s="85"/>
      <c r="AQ45" s="84">
        <f t="shared" si="19"/>
        <v>0</v>
      </c>
      <c r="AR45" s="81"/>
      <c r="AS45" s="214">
        <f t="shared" si="18"/>
        <v>0</v>
      </c>
    </row>
    <row r="46" spans="1:45" x14ac:dyDescent="0.35">
      <c r="A46" s="151" t="s">
        <v>449</v>
      </c>
      <c r="B46" s="180"/>
      <c r="C46" s="83">
        <v>4018</v>
      </c>
      <c r="D46" s="107">
        <v>4018</v>
      </c>
      <c r="E46" s="304">
        <v>4018</v>
      </c>
      <c r="F46" s="287"/>
      <c r="G46" s="288">
        <f t="shared" si="10"/>
        <v>0</v>
      </c>
      <c r="H46" s="289"/>
      <c r="I46" s="290">
        <f t="shared" si="11"/>
        <v>0</v>
      </c>
      <c r="J46" s="287"/>
      <c r="K46" s="288">
        <f t="shared" si="12"/>
        <v>0</v>
      </c>
      <c r="L46" s="289"/>
      <c r="M46" s="290">
        <f t="shared" si="13"/>
        <v>0</v>
      </c>
      <c r="N46" s="287"/>
      <c r="O46" s="288">
        <f t="shared" si="14"/>
        <v>0</v>
      </c>
      <c r="P46" s="289"/>
      <c r="Q46" s="290">
        <f t="shared" si="15"/>
        <v>0</v>
      </c>
      <c r="R46" s="287">
        <v>4018</v>
      </c>
      <c r="S46" s="313">
        <f t="shared" si="16"/>
        <v>1</v>
      </c>
      <c r="T46" s="323">
        <f t="shared" si="17"/>
        <v>1</v>
      </c>
      <c r="V46" s="81"/>
      <c r="W46" s="84"/>
      <c r="X46" s="85"/>
      <c r="Y46" s="48"/>
      <c r="Z46" s="81"/>
      <c r="AA46" s="84">
        <v>0</v>
      </c>
      <c r="AB46" s="85"/>
      <c r="AC46" s="84">
        <v>0</v>
      </c>
      <c r="AD46" s="81"/>
      <c r="AE46" s="227">
        <v>4018.04</v>
      </c>
      <c r="AF46" s="226">
        <v>4018</v>
      </c>
      <c r="AG46" s="84">
        <v>0</v>
      </c>
      <c r="AH46" s="85"/>
      <c r="AI46" s="84">
        <v>0</v>
      </c>
      <c r="AJ46" s="85"/>
      <c r="AK46" s="84">
        <f>D46-U46-W46-Y46-AA46-AC46-AE46-AG46-AI46</f>
        <v>-3.999999999996362E-2</v>
      </c>
      <c r="AL46" s="85"/>
      <c r="AM46" s="84">
        <f t="shared" si="20"/>
        <v>0</v>
      </c>
      <c r="AN46" s="85"/>
      <c r="AO46" s="84">
        <f t="shared" si="21"/>
        <v>0</v>
      </c>
      <c r="AP46" s="85"/>
      <c r="AQ46" s="84">
        <f t="shared" si="19"/>
        <v>0</v>
      </c>
      <c r="AR46" s="81"/>
      <c r="AS46" s="214">
        <f t="shared" si="18"/>
        <v>0</v>
      </c>
    </row>
    <row r="47" spans="1:45" x14ac:dyDescent="0.35">
      <c r="A47" s="149" t="s">
        <v>330</v>
      </c>
      <c r="B47" s="180"/>
      <c r="C47" s="83">
        <f>39855.29+10471+9230</f>
        <v>59556.29</v>
      </c>
      <c r="D47" s="107">
        <v>59556</v>
      </c>
      <c r="E47" s="304">
        <f>D47</f>
        <v>59556</v>
      </c>
      <c r="F47" s="287">
        <f>950+18256.51</f>
        <v>19206.509999999998</v>
      </c>
      <c r="G47" s="288">
        <f t="shared" si="10"/>
        <v>0.32249496272415873</v>
      </c>
      <c r="H47" s="289">
        <v>20648.78</v>
      </c>
      <c r="I47" s="290">
        <f t="shared" si="11"/>
        <v>0.3467120021492377</v>
      </c>
      <c r="J47" s="287">
        <v>2000</v>
      </c>
      <c r="K47" s="288">
        <f t="shared" si="12"/>
        <v>3.3581838941500436E-2</v>
      </c>
      <c r="L47" s="289">
        <v>7230</v>
      </c>
      <c r="M47" s="290">
        <f t="shared" si="13"/>
        <v>0.12139834777352408</v>
      </c>
      <c r="N47" s="287">
        <v>10471.200000000001</v>
      </c>
      <c r="O47" s="288">
        <f t="shared" si="14"/>
        <v>0.17582107596211971</v>
      </c>
      <c r="P47" s="289"/>
      <c r="Q47" s="290">
        <f t="shared" si="15"/>
        <v>0</v>
      </c>
      <c r="R47" s="287"/>
      <c r="S47" s="313">
        <f t="shared" si="16"/>
        <v>0</v>
      </c>
      <c r="T47" s="323">
        <f t="shared" si="17"/>
        <v>1.0000082275505406</v>
      </c>
      <c r="V47" s="81"/>
      <c r="W47" s="84"/>
      <c r="X47" s="85"/>
      <c r="Y47" s="48"/>
      <c r="Z47" s="81"/>
      <c r="AA47" s="84">
        <v>0</v>
      </c>
      <c r="AB47" s="85"/>
      <c r="AC47" s="84">
        <v>0</v>
      </c>
      <c r="AD47" s="81"/>
      <c r="AE47" s="227">
        <v>33537.14</v>
      </c>
      <c r="AF47" s="226">
        <v>33534.14</v>
      </c>
      <c r="AG47" s="230">
        <v>5506.61</v>
      </c>
      <c r="AH47" s="231">
        <v>5506.61</v>
      </c>
      <c r="AI47" s="84">
        <v>0</v>
      </c>
      <c r="AJ47" s="85"/>
      <c r="AK47" s="230">
        <v>2572.5</v>
      </c>
      <c r="AL47" s="231">
        <v>2572.5</v>
      </c>
      <c r="AM47" s="230">
        <v>7899</v>
      </c>
      <c r="AN47" s="231">
        <v>7898.7</v>
      </c>
      <c r="AO47" s="84">
        <v>0</v>
      </c>
      <c r="AP47" s="85"/>
      <c r="AQ47" s="84">
        <v>0</v>
      </c>
      <c r="AR47" s="81"/>
      <c r="AS47" s="214">
        <f t="shared" si="18"/>
        <v>10040.75</v>
      </c>
    </row>
    <row r="48" spans="1:45" x14ac:dyDescent="0.35">
      <c r="A48" s="151" t="s">
        <v>362</v>
      </c>
      <c r="B48" s="180"/>
      <c r="C48" s="83">
        <v>1661</v>
      </c>
      <c r="D48" s="107">
        <v>1661</v>
      </c>
      <c r="E48" s="304">
        <v>1661</v>
      </c>
      <c r="F48" s="287"/>
      <c r="G48" s="288">
        <f t="shared" si="10"/>
        <v>0</v>
      </c>
      <c r="H48" s="289"/>
      <c r="I48" s="290">
        <f t="shared" si="11"/>
        <v>0</v>
      </c>
      <c r="J48" s="287">
        <v>1661</v>
      </c>
      <c r="K48" s="288">
        <f t="shared" si="12"/>
        <v>1</v>
      </c>
      <c r="L48" s="289"/>
      <c r="M48" s="290">
        <f t="shared" si="13"/>
        <v>0</v>
      </c>
      <c r="N48" s="287"/>
      <c r="O48" s="288">
        <f t="shared" si="14"/>
        <v>0</v>
      </c>
      <c r="P48" s="289"/>
      <c r="Q48" s="290">
        <f t="shared" si="15"/>
        <v>0</v>
      </c>
      <c r="R48" s="287"/>
      <c r="S48" s="313">
        <f t="shared" si="16"/>
        <v>0</v>
      </c>
      <c r="T48" s="323">
        <f t="shared" si="17"/>
        <v>1</v>
      </c>
      <c r="V48" s="81"/>
      <c r="W48" s="84"/>
      <c r="X48" s="85"/>
      <c r="Y48" s="48"/>
      <c r="Z48" s="81"/>
      <c r="AA48" s="84">
        <v>0</v>
      </c>
      <c r="AB48" s="85"/>
      <c r="AC48" s="84">
        <v>0</v>
      </c>
      <c r="AD48" s="81"/>
      <c r="AE48" s="227">
        <v>1660.99</v>
      </c>
      <c r="AF48" s="226">
        <v>1660.99</v>
      </c>
      <c r="AG48" s="84">
        <f>D48-U48-W48-Y48-AA48-AC48-AE48</f>
        <v>9.9999999999909051E-3</v>
      </c>
      <c r="AH48" s="85"/>
      <c r="AI48" s="84">
        <f>D48-U48-W48-Y48-AA48-AC48-AE48-AG48</f>
        <v>0</v>
      </c>
      <c r="AJ48" s="85"/>
      <c r="AK48" s="84">
        <f>D48-U48-W48-Y48-AA48-AC48-AE48-AG48-AI48</f>
        <v>0</v>
      </c>
      <c r="AL48" s="85"/>
      <c r="AM48" s="84">
        <f t="shared" si="20"/>
        <v>0</v>
      </c>
      <c r="AN48" s="85"/>
      <c r="AO48" s="84">
        <f t="shared" si="21"/>
        <v>0</v>
      </c>
      <c r="AP48" s="85"/>
      <c r="AQ48" s="84">
        <f t="shared" si="19"/>
        <v>0</v>
      </c>
      <c r="AR48" s="81"/>
      <c r="AS48" s="214">
        <f t="shared" si="18"/>
        <v>0</v>
      </c>
    </row>
    <row r="49" spans="1:45" x14ac:dyDescent="0.35">
      <c r="A49" s="159" t="s">
        <v>432</v>
      </c>
      <c r="B49" s="180"/>
      <c r="C49" s="195">
        <v>26119</v>
      </c>
      <c r="D49" s="107">
        <v>26119</v>
      </c>
      <c r="E49" s="304">
        <v>26119</v>
      </c>
      <c r="F49" s="287">
        <v>8411</v>
      </c>
      <c r="G49" s="288">
        <f t="shared" si="10"/>
        <v>0.3220261112600023</v>
      </c>
      <c r="H49" s="289">
        <v>1498</v>
      </c>
      <c r="I49" s="290">
        <f t="shared" si="11"/>
        <v>5.7352884873080899E-2</v>
      </c>
      <c r="J49" s="287">
        <v>4707</v>
      </c>
      <c r="K49" s="288">
        <f t="shared" si="12"/>
        <v>0.18021363758183698</v>
      </c>
      <c r="L49" s="289"/>
      <c r="M49" s="290">
        <f t="shared" si="13"/>
        <v>0</v>
      </c>
      <c r="N49" s="287">
        <v>1533</v>
      </c>
      <c r="O49" s="288">
        <f t="shared" si="14"/>
        <v>5.8692905547685595E-2</v>
      </c>
      <c r="P49" s="289">
        <v>3832</v>
      </c>
      <c r="Q49" s="290">
        <f t="shared" si="15"/>
        <v>0.14671312071671963</v>
      </c>
      <c r="R49" s="287">
        <v>6142</v>
      </c>
      <c r="S49" s="313">
        <f t="shared" si="16"/>
        <v>0.23515448524062943</v>
      </c>
      <c r="T49" s="323">
        <f t="shared" si="17"/>
        <v>1.0001531452199548</v>
      </c>
      <c r="V49" s="81"/>
      <c r="W49" s="84"/>
      <c r="X49" s="85"/>
      <c r="Y49" s="48"/>
      <c r="Z49" s="81"/>
      <c r="AA49" s="84">
        <v>0</v>
      </c>
      <c r="AB49" s="85"/>
      <c r="AC49" s="84">
        <v>0</v>
      </c>
      <c r="AD49" s="81"/>
      <c r="AE49" s="227">
        <v>4501.38</v>
      </c>
      <c r="AF49" s="226">
        <v>4501.38</v>
      </c>
      <c r="AG49" s="84">
        <v>0</v>
      </c>
      <c r="AH49" s="85"/>
      <c r="AI49" s="230">
        <f>19446.39+2170.93</f>
        <v>21617.32</v>
      </c>
      <c r="AJ49" s="231">
        <v>21617</v>
      </c>
      <c r="AK49" s="84">
        <v>0</v>
      </c>
      <c r="AL49" s="85"/>
      <c r="AM49" s="84">
        <f t="shared" si="20"/>
        <v>0.2999999999992724</v>
      </c>
      <c r="AN49" s="85"/>
      <c r="AO49" s="84">
        <f t="shared" si="21"/>
        <v>0</v>
      </c>
      <c r="AP49" s="85"/>
      <c r="AQ49" s="84">
        <f t="shared" si="19"/>
        <v>0</v>
      </c>
      <c r="AR49" s="81"/>
      <c r="AS49" s="214">
        <f t="shared" si="18"/>
        <v>0</v>
      </c>
    </row>
    <row r="50" spans="1:45" x14ac:dyDescent="0.35">
      <c r="A50" s="211" t="s">
        <v>448</v>
      </c>
      <c r="B50" s="180"/>
      <c r="C50" s="83">
        <v>1600</v>
      </c>
      <c r="D50" s="107">
        <v>1600</v>
      </c>
      <c r="E50" s="304">
        <v>1600</v>
      </c>
      <c r="F50" s="287"/>
      <c r="G50" s="288">
        <f t="shared" si="10"/>
        <v>0</v>
      </c>
      <c r="H50" s="289"/>
      <c r="I50" s="290">
        <f t="shared" si="11"/>
        <v>0</v>
      </c>
      <c r="J50" s="287">
        <v>1600</v>
      </c>
      <c r="K50" s="288">
        <f t="shared" si="12"/>
        <v>1</v>
      </c>
      <c r="L50" s="289"/>
      <c r="M50" s="290">
        <f t="shared" si="13"/>
        <v>0</v>
      </c>
      <c r="N50" s="287"/>
      <c r="O50" s="288">
        <f t="shared" si="14"/>
        <v>0</v>
      </c>
      <c r="P50" s="289"/>
      <c r="Q50" s="290">
        <f t="shared" si="15"/>
        <v>0</v>
      </c>
      <c r="R50" s="287"/>
      <c r="S50" s="313">
        <f t="shared" si="16"/>
        <v>0</v>
      </c>
      <c r="T50" s="323">
        <f t="shared" si="17"/>
        <v>1</v>
      </c>
      <c r="V50" s="81"/>
      <c r="W50" s="84"/>
      <c r="X50" s="85"/>
      <c r="Y50" s="48"/>
      <c r="Z50" s="48" t="s">
        <v>91</v>
      </c>
      <c r="AA50" s="84">
        <v>0</v>
      </c>
      <c r="AB50" s="85"/>
      <c r="AC50" s="84">
        <v>0</v>
      </c>
      <c r="AD50" s="81"/>
      <c r="AE50" s="227">
        <v>1600</v>
      </c>
      <c r="AF50" s="226">
        <v>1600</v>
      </c>
      <c r="AG50" s="84">
        <f>D50-U50-W50-Y50-AA50-AC50-AE50</f>
        <v>0</v>
      </c>
      <c r="AH50" s="85"/>
      <c r="AI50" s="84">
        <f>D50-U50-W50-Y50-AA50-AC50-AE50-AG50</f>
        <v>0</v>
      </c>
      <c r="AJ50" s="85"/>
      <c r="AK50" s="84">
        <f>D50-U50-W50-Y50-AA50-AC50-AE50-AG50-AI50</f>
        <v>0</v>
      </c>
      <c r="AL50" s="85"/>
      <c r="AM50" s="84">
        <f t="shared" si="20"/>
        <v>0</v>
      </c>
      <c r="AN50" s="85"/>
      <c r="AO50" s="84">
        <f t="shared" si="21"/>
        <v>0</v>
      </c>
      <c r="AP50" s="85"/>
      <c r="AQ50" s="84">
        <f t="shared" si="19"/>
        <v>0</v>
      </c>
      <c r="AR50" s="81"/>
      <c r="AS50" s="214">
        <f t="shared" si="18"/>
        <v>0</v>
      </c>
    </row>
    <row r="51" spans="1:45" x14ac:dyDescent="0.35">
      <c r="A51" s="159" t="s">
        <v>404</v>
      </c>
      <c r="B51" s="180"/>
      <c r="C51" s="83">
        <v>30000</v>
      </c>
      <c r="D51" s="107">
        <v>30000</v>
      </c>
      <c r="E51" s="304">
        <f t="shared" ref="E51:E80" si="22">D51</f>
        <v>30000</v>
      </c>
      <c r="F51" s="287">
        <v>8169</v>
      </c>
      <c r="G51" s="288">
        <f t="shared" si="10"/>
        <v>0.27229999999999999</v>
      </c>
      <c r="H51" s="289">
        <v>4295</v>
      </c>
      <c r="I51" s="290">
        <f t="shared" si="11"/>
        <v>0.14316666666666666</v>
      </c>
      <c r="J51" s="287">
        <v>7243</v>
      </c>
      <c r="K51" s="288">
        <f t="shared" si="12"/>
        <v>0.24143333333333333</v>
      </c>
      <c r="L51" s="289">
        <v>10294</v>
      </c>
      <c r="M51" s="290">
        <f t="shared" si="13"/>
        <v>0.34313333333333335</v>
      </c>
      <c r="N51" s="287"/>
      <c r="O51" s="288">
        <f t="shared" si="14"/>
        <v>0</v>
      </c>
      <c r="P51" s="289"/>
      <c r="Q51" s="290">
        <f t="shared" si="15"/>
        <v>0</v>
      </c>
      <c r="R51" s="287"/>
      <c r="S51" s="313">
        <f t="shared" si="16"/>
        <v>0</v>
      </c>
      <c r="T51" s="323">
        <f t="shared" si="17"/>
        <v>1.0000333333333333</v>
      </c>
      <c r="V51" s="81"/>
      <c r="W51" s="84"/>
      <c r="X51" s="85"/>
      <c r="Y51" s="48"/>
      <c r="Z51" s="81"/>
      <c r="AA51" s="84">
        <v>0</v>
      </c>
      <c r="AB51" s="85"/>
      <c r="AC51" s="84">
        <v>0</v>
      </c>
      <c r="AD51" s="81"/>
      <c r="AE51" s="228"/>
      <c r="AF51" s="229"/>
      <c r="AG51" s="84">
        <v>0</v>
      </c>
      <c r="AH51" s="85"/>
      <c r="AI51" s="230">
        <v>30000</v>
      </c>
      <c r="AJ51" s="231">
        <v>30000</v>
      </c>
      <c r="AK51" s="84">
        <f>D51-U51-W51-Y51-AA51-AC51-AE51-AG51-AI51</f>
        <v>0</v>
      </c>
      <c r="AL51" s="85"/>
      <c r="AM51" s="84">
        <f t="shared" si="20"/>
        <v>0</v>
      </c>
      <c r="AN51" s="85"/>
      <c r="AO51" s="84">
        <f t="shared" si="21"/>
        <v>0</v>
      </c>
      <c r="AP51" s="85"/>
      <c r="AQ51" s="84">
        <f t="shared" si="19"/>
        <v>0</v>
      </c>
      <c r="AR51" s="81"/>
      <c r="AS51" s="214">
        <f t="shared" si="18"/>
        <v>0</v>
      </c>
    </row>
    <row r="52" spans="1:45" x14ac:dyDescent="0.35">
      <c r="A52" s="159" t="s">
        <v>474</v>
      </c>
      <c r="B52" s="180"/>
      <c r="C52" s="83">
        <f>24421.78-550</f>
        <v>23871.78</v>
      </c>
      <c r="D52" s="107">
        <f>C52</f>
        <v>23871.78</v>
      </c>
      <c r="E52" s="304">
        <f t="shared" si="22"/>
        <v>23871.78</v>
      </c>
      <c r="F52" s="287">
        <v>8361</v>
      </c>
      <c r="G52" s="288">
        <f t="shared" si="10"/>
        <v>0.35024619027152565</v>
      </c>
      <c r="H52" s="289">
        <v>1773</v>
      </c>
      <c r="I52" s="290">
        <f t="shared" si="11"/>
        <v>7.4271797075877888E-2</v>
      </c>
      <c r="J52" s="287">
        <f>4778-550</f>
        <v>4228</v>
      </c>
      <c r="K52" s="288">
        <f t="shared" si="12"/>
        <v>0.17711289229374602</v>
      </c>
      <c r="L52" s="289"/>
      <c r="M52" s="290">
        <f t="shared" si="13"/>
        <v>0</v>
      </c>
      <c r="N52" s="287">
        <v>2167</v>
      </c>
      <c r="O52" s="288">
        <f t="shared" si="14"/>
        <v>9.0776640870517414E-2</v>
      </c>
      <c r="P52" s="289">
        <v>5981</v>
      </c>
      <c r="Q52" s="290">
        <f t="shared" si="15"/>
        <v>0.25054688003994674</v>
      </c>
      <c r="R52" s="287">
        <v>1359</v>
      </c>
      <c r="S52" s="313">
        <f t="shared" si="16"/>
        <v>5.692914395156122E-2</v>
      </c>
      <c r="T52" s="323">
        <f t="shared" si="17"/>
        <v>0.99988354450317507</v>
      </c>
      <c r="V52" s="81"/>
      <c r="W52" s="84"/>
      <c r="X52" s="85"/>
      <c r="Y52" s="48"/>
      <c r="Z52" s="81"/>
      <c r="AA52" s="84">
        <v>0</v>
      </c>
      <c r="AB52" s="85"/>
      <c r="AC52" s="224">
        <v>11579</v>
      </c>
      <c r="AD52" s="225">
        <v>11579</v>
      </c>
      <c r="AE52" s="227">
        <v>7162.76</v>
      </c>
      <c r="AF52" s="226">
        <v>7162.76</v>
      </c>
      <c r="AG52" s="84">
        <v>0</v>
      </c>
      <c r="AH52" s="85"/>
      <c r="AI52" s="230">
        <v>3859.33</v>
      </c>
      <c r="AJ52" s="231">
        <v>3859</v>
      </c>
      <c r="AK52" s="84">
        <v>0</v>
      </c>
      <c r="AL52" s="85"/>
      <c r="AM52" s="230">
        <v>1271</v>
      </c>
      <c r="AN52" s="231">
        <v>1271.24</v>
      </c>
      <c r="AO52" s="84">
        <v>0</v>
      </c>
      <c r="AP52" s="85"/>
      <c r="AQ52" s="325">
        <v>0</v>
      </c>
      <c r="AR52" s="81"/>
      <c r="AS52" s="214">
        <f t="shared" si="18"/>
        <v>-0.31000000000130967</v>
      </c>
    </row>
    <row r="53" spans="1:45" x14ac:dyDescent="0.35">
      <c r="A53" s="159" t="s">
        <v>473</v>
      </c>
      <c r="B53" s="180"/>
      <c r="C53" s="83">
        <f>15567.02+993.32</f>
        <v>16560.34</v>
      </c>
      <c r="D53" s="107">
        <v>16560</v>
      </c>
      <c r="E53" s="304">
        <f t="shared" si="22"/>
        <v>16560</v>
      </c>
      <c r="F53" s="287"/>
      <c r="G53" s="288">
        <f t="shared" si="10"/>
        <v>0</v>
      </c>
      <c r="H53" s="289"/>
      <c r="I53" s="290">
        <f t="shared" si="11"/>
        <v>0</v>
      </c>
      <c r="J53" s="287">
        <v>7059</v>
      </c>
      <c r="K53" s="288">
        <f t="shared" si="12"/>
        <v>0.42626811594202896</v>
      </c>
      <c r="L53" s="289"/>
      <c r="M53" s="290">
        <f t="shared" si="13"/>
        <v>0</v>
      </c>
      <c r="N53" s="287"/>
      <c r="O53" s="288">
        <f t="shared" si="14"/>
        <v>0</v>
      </c>
      <c r="P53" s="289">
        <v>9501</v>
      </c>
      <c r="Q53" s="290">
        <f t="shared" si="15"/>
        <v>0.57373188405797104</v>
      </c>
      <c r="R53" s="287"/>
      <c r="S53" s="313">
        <f t="shared" si="16"/>
        <v>0</v>
      </c>
      <c r="T53" s="323">
        <f t="shared" si="17"/>
        <v>1</v>
      </c>
      <c r="V53" s="81"/>
      <c r="W53" s="84"/>
      <c r="X53" s="85"/>
      <c r="Y53" s="48"/>
      <c r="Z53" s="81"/>
      <c r="AA53" s="84">
        <v>0</v>
      </c>
      <c r="AB53" s="85"/>
      <c r="AC53" s="224">
        <v>0</v>
      </c>
      <c r="AD53" s="225">
        <v>0</v>
      </c>
      <c r="AE53" s="227">
        <v>4803.45</v>
      </c>
      <c r="AF53" s="226">
        <v>4803.45</v>
      </c>
      <c r="AG53" s="84">
        <v>0</v>
      </c>
      <c r="AH53" s="85"/>
      <c r="AI53" s="230">
        <v>9363.6200000000008</v>
      </c>
      <c r="AJ53" s="231">
        <v>9364</v>
      </c>
      <c r="AK53" s="84">
        <v>0</v>
      </c>
      <c r="AL53" s="85"/>
      <c r="AM53" s="230">
        <f t="shared" si="20"/>
        <v>2392.9299999999985</v>
      </c>
      <c r="AN53" s="231">
        <f>1399.95+993.32</f>
        <v>2393.27</v>
      </c>
      <c r="AO53" s="84">
        <f t="shared" si="21"/>
        <v>0</v>
      </c>
      <c r="AP53" s="85"/>
      <c r="AQ53" s="84">
        <f t="shared" si="19"/>
        <v>0</v>
      </c>
      <c r="AR53" s="81"/>
      <c r="AS53" s="214">
        <f t="shared" si="18"/>
        <v>0</v>
      </c>
    </row>
    <row r="54" spans="1:45" x14ac:dyDescent="0.35">
      <c r="A54" s="211" t="s">
        <v>445</v>
      </c>
      <c r="B54" s="180"/>
      <c r="C54" s="83">
        <v>4831.04</v>
      </c>
      <c r="D54" s="107">
        <v>4831</v>
      </c>
      <c r="E54" s="304">
        <f t="shared" si="22"/>
        <v>4831</v>
      </c>
      <c r="F54" s="287"/>
      <c r="G54" s="288">
        <f t="shared" si="10"/>
        <v>0</v>
      </c>
      <c r="H54" s="289"/>
      <c r="I54" s="290">
        <f t="shared" si="11"/>
        <v>0</v>
      </c>
      <c r="J54" s="287"/>
      <c r="K54" s="288">
        <f t="shared" si="12"/>
        <v>0</v>
      </c>
      <c r="L54" s="289"/>
      <c r="M54" s="290">
        <f t="shared" si="13"/>
        <v>0</v>
      </c>
      <c r="N54" s="287"/>
      <c r="O54" s="288">
        <f t="shared" si="14"/>
        <v>0</v>
      </c>
      <c r="P54" s="289"/>
      <c r="Q54" s="290">
        <f t="shared" si="15"/>
        <v>0</v>
      </c>
      <c r="R54" s="287">
        <v>4831</v>
      </c>
      <c r="S54" s="313">
        <f t="shared" si="16"/>
        <v>1</v>
      </c>
      <c r="T54" s="323">
        <f t="shared" si="17"/>
        <v>1</v>
      </c>
      <c r="V54" s="81"/>
      <c r="W54" s="84"/>
      <c r="X54" s="85"/>
      <c r="Y54" s="48"/>
      <c r="Z54" s="81"/>
      <c r="AA54" s="84">
        <v>0</v>
      </c>
      <c r="AB54" s="85"/>
      <c r="AC54" s="224">
        <v>3483.5</v>
      </c>
      <c r="AD54" s="225">
        <v>3483.5</v>
      </c>
      <c r="AE54" s="227">
        <f>D54-U54-W54-Y54-AA54-AC54</f>
        <v>1347.5</v>
      </c>
      <c r="AF54" s="226">
        <v>1348</v>
      </c>
      <c r="AG54" s="84">
        <f>D54-U54-W54-Y54-AA54-AC54-AE54</f>
        <v>0</v>
      </c>
      <c r="AH54" s="85"/>
      <c r="AI54" s="84">
        <f t="shared" ref="AI54:AI77" si="23">D54-U54-W54-Y54-AA54-AC54-AE54-AG54</f>
        <v>0</v>
      </c>
      <c r="AJ54" s="85"/>
      <c r="AK54" s="84">
        <f t="shared" ref="AK54:AK80" si="24">D54-U54-W54-Y54-AA54-AC54-AE54-AG54-AI54</f>
        <v>0</v>
      </c>
      <c r="AL54" s="85"/>
      <c r="AM54" s="84">
        <f t="shared" si="20"/>
        <v>0</v>
      </c>
      <c r="AN54" s="85"/>
      <c r="AO54" s="84">
        <f t="shared" si="21"/>
        <v>0</v>
      </c>
      <c r="AP54" s="85"/>
      <c r="AQ54" s="84">
        <f t="shared" si="19"/>
        <v>0</v>
      </c>
      <c r="AR54" s="81"/>
      <c r="AS54" s="214">
        <f t="shared" si="18"/>
        <v>0</v>
      </c>
    </row>
    <row r="55" spans="1:45" x14ac:dyDescent="0.35">
      <c r="A55" s="41" t="s">
        <v>349</v>
      </c>
      <c r="B55" s="174"/>
      <c r="C55" s="83">
        <f>'2019-20'!AC27</f>
        <v>42327.65</v>
      </c>
      <c r="D55" s="107">
        <f>C55</f>
        <v>42327.65</v>
      </c>
      <c r="E55" s="304">
        <f t="shared" si="22"/>
        <v>42327.65</v>
      </c>
      <c r="F55" s="287">
        <v>20000</v>
      </c>
      <c r="G55" s="288">
        <f t="shared" si="10"/>
        <v>0.47250437952496771</v>
      </c>
      <c r="H55" s="289">
        <v>11800</v>
      </c>
      <c r="I55" s="290">
        <f t="shared" si="11"/>
        <v>0.27877758391973095</v>
      </c>
      <c r="J55" s="287"/>
      <c r="K55" s="288">
        <f t="shared" si="12"/>
        <v>0</v>
      </c>
      <c r="L55" s="289">
        <v>5749</v>
      </c>
      <c r="M55" s="290">
        <f t="shared" si="13"/>
        <v>0.13582138389445197</v>
      </c>
      <c r="N55" s="287">
        <v>4774</v>
      </c>
      <c r="O55" s="288">
        <f t="shared" si="14"/>
        <v>0.11278679539260979</v>
      </c>
      <c r="P55" s="289"/>
      <c r="Q55" s="290">
        <f t="shared" si="15"/>
        <v>0</v>
      </c>
      <c r="R55" s="287"/>
      <c r="S55" s="313">
        <f t="shared" si="16"/>
        <v>0</v>
      </c>
      <c r="T55" s="323">
        <f t="shared" si="17"/>
        <v>0.99989014273176036</v>
      </c>
      <c r="U55" s="81"/>
      <c r="V55" s="81"/>
      <c r="W55" s="84">
        <v>30997.05</v>
      </c>
      <c r="X55" s="85">
        <v>30997.05</v>
      </c>
      <c r="Y55" s="48"/>
      <c r="Z55" s="81"/>
      <c r="AA55" s="84">
        <v>9255.51</v>
      </c>
      <c r="AB55" s="85">
        <v>9256</v>
      </c>
      <c r="AC55" s="84">
        <v>0</v>
      </c>
      <c r="AD55" s="81"/>
      <c r="AE55" s="227">
        <v>2075.14</v>
      </c>
      <c r="AF55" s="226">
        <v>2075.14</v>
      </c>
      <c r="AG55" s="84">
        <f>D55-U55-W55-Y55-AA55-AC55-AE55</f>
        <v>-4.9999999997908162E-2</v>
      </c>
      <c r="AH55" s="85"/>
      <c r="AI55" s="84">
        <f t="shared" si="23"/>
        <v>0</v>
      </c>
      <c r="AJ55" s="85"/>
      <c r="AK55" s="84">
        <f t="shared" si="24"/>
        <v>0</v>
      </c>
      <c r="AL55" s="85"/>
      <c r="AM55" s="84">
        <f t="shared" si="20"/>
        <v>0</v>
      </c>
      <c r="AN55" s="85"/>
      <c r="AO55" s="84">
        <f t="shared" si="21"/>
        <v>0</v>
      </c>
      <c r="AP55" s="85"/>
      <c r="AQ55" s="84">
        <f t="shared" si="19"/>
        <v>0</v>
      </c>
      <c r="AR55" s="81"/>
      <c r="AS55" s="214">
        <f t="shared" si="18"/>
        <v>0</v>
      </c>
    </row>
    <row r="56" spans="1:45" x14ac:dyDescent="0.35">
      <c r="A56" s="149" t="s">
        <v>395</v>
      </c>
      <c r="B56" s="180"/>
      <c r="C56" s="195">
        <v>67570</v>
      </c>
      <c r="D56" s="107">
        <v>67570</v>
      </c>
      <c r="E56" s="304">
        <f t="shared" si="22"/>
        <v>67570</v>
      </c>
      <c r="F56" s="287">
        <v>27469</v>
      </c>
      <c r="G56" s="288">
        <f t="shared" si="10"/>
        <v>0.40652656504365842</v>
      </c>
      <c r="H56" s="289">
        <v>12370</v>
      </c>
      <c r="I56" s="290">
        <f t="shared" si="11"/>
        <v>0.18306940950125797</v>
      </c>
      <c r="J56" s="287">
        <v>19239</v>
      </c>
      <c r="K56" s="288">
        <f t="shared" si="12"/>
        <v>0.28472694982980612</v>
      </c>
      <c r="L56" s="289">
        <v>3974</v>
      </c>
      <c r="M56" s="290">
        <f t="shared" si="13"/>
        <v>5.8813082729021755E-2</v>
      </c>
      <c r="N56" s="287">
        <v>4517</v>
      </c>
      <c r="O56" s="288">
        <f t="shared" si="14"/>
        <v>6.6849193429036557E-2</v>
      </c>
      <c r="P56" s="289"/>
      <c r="Q56" s="290">
        <f t="shared" si="15"/>
        <v>0</v>
      </c>
      <c r="R56" s="287"/>
      <c r="S56" s="313">
        <f t="shared" si="16"/>
        <v>0</v>
      </c>
      <c r="T56" s="323">
        <f t="shared" si="17"/>
        <v>0.99998520053278073</v>
      </c>
      <c r="V56" s="81"/>
      <c r="W56" s="84">
        <v>14016.15</v>
      </c>
      <c r="X56" s="85">
        <v>14016.15</v>
      </c>
      <c r="Y56" s="48"/>
      <c r="Z56" s="81"/>
      <c r="AA56" s="84">
        <v>9405.02</v>
      </c>
      <c r="AB56" s="85">
        <v>9405</v>
      </c>
      <c r="AC56" s="224">
        <v>24623.040000000001</v>
      </c>
      <c r="AD56" s="225">
        <v>24623.040000000001</v>
      </c>
      <c r="AE56" s="227">
        <v>16713.32</v>
      </c>
      <c r="AF56" s="226">
        <v>16713.32</v>
      </c>
      <c r="AG56" s="230">
        <v>2812.83</v>
      </c>
      <c r="AH56" s="231">
        <v>2812.83</v>
      </c>
      <c r="AI56" s="232">
        <f t="shared" si="23"/>
        <v>-0.35999999999876309</v>
      </c>
      <c r="AJ56" s="85"/>
      <c r="AK56" s="84">
        <f t="shared" si="24"/>
        <v>0</v>
      </c>
      <c r="AL56" s="85"/>
      <c r="AM56" s="84">
        <f t="shared" si="20"/>
        <v>0</v>
      </c>
      <c r="AN56" s="85"/>
      <c r="AO56" s="84">
        <f t="shared" si="21"/>
        <v>0</v>
      </c>
      <c r="AP56" s="85"/>
      <c r="AQ56" s="84">
        <f t="shared" si="19"/>
        <v>0</v>
      </c>
      <c r="AR56" s="81"/>
      <c r="AS56" s="214">
        <f t="shared" si="18"/>
        <v>0</v>
      </c>
    </row>
    <row r="57" spans="1:45" x14ac:dyDescent="0.35">
      <c r="A57" s="159" t="s">
        <v>430</v>
      </c>
      <c r="B57" s="180"/>
      <c r="C57" s="195">
        <v>48518.45</v>
      </c>
      <c r="D57" s="107">
        <v>48518.45</v>
      </c>
      <c r="E57" s="304">
        <f t="shared" si="22"/>
        <v>48518.45</v>
      </c>
      <c r="F57" s="287"/>
      <c r="G57" s="288">
        <f t="shared" si="10"/>
        <v>0</v>
      </c>
      <c r="H57" s="289"/>
      <c r="I57" s="290">
        <f t="shared" si="11"/>
        <v>0</v>
      </c>
      <c r="J57" s="287"/>
      <c r="K57" s="288">
        <f t="shared" si="12"/>
        <v>0</v>
      </c>
      <c r="L57" s="289"/>
      <c r="M57" s="290">
        <f t="shared" si="13"/>
        <v>0</v>
      </c>
      <c r="N57" s="287"/>
      <c r="O57" s="288">
        <f t="shared" si="14"/>
        <v>0</v>
      </c>
      <c r="P57" s="289"/>
      <c r="Q57" s="290">
        <f t="shared" si="15"/>
        <v>0</v>
      </c>
      <c r="R57" s="287"/>
      <c r="S57" s="313">
        <f t="shared" si="16"/>
        <v>0</v>
      </c>
      <c r="T57" s="323">
        <f t="shared" si="17"/>
        <v>0</v>
      </c>
      <c r="V57" s="81"/>
      <c r="W57" s="84"/>
      <c r="X57" s="85"/>
      <c r="Y57" s="48"/>
      <c r="Z57" s="81"/>
      <c r="AA57" s="84">
        <v>6258.22</v>
      </c>
      <c r="AB57" s="85">
        <v>6258</v>
      </c>
      <c r="AC57" s="224">
        <v>11116</v>
      </c>
      <c r="AD57" s="225">
        <v>11116</v>
      </c>
      <c r="AE57" s="227">
        <v>28341.43</v>
      </c>
      <c r="AF57" s="226">
        <v>28341.43</v>
      </c>
      <c r="AG57" s="230">
        <v>2802.49</v>
      </c>
      <c r="AH57" s="231">
        <v>2802.49</v>
      </c>
      <c r="AI57" s="84">
        <f t="shared" si="23"/>
        <v>0.3099999999958527</v>
      </c>
      <c r="AJ57" s="85"/>
      <c r="AK57" s="84">
        <f t="shared" si="24"/>
        <v>0</v>
      </c>
      <c r="AL57" s="85"/>
      <c r="AM57" s="84">
        <f t="shared" si="20"/>
        <v>0</v>
      </c>
      <c r="AN57" s="85"/>
      <c r="AO57" s="84">
        <f t="shared" si="21"/>
        <v>0</v>
      </c>
      <c r="AP57" s="85"/>
      <c r="AQ57" s="84">
        <f t="shared" si="19"/>
        <v>0</v>
      </c>
      <c r="AR57" s="81"/>
      <c r="AS57" s="214">
        <f t="shared" si="18"/>
        <v>0</v>
      </c>
    </row>
    <row r="58" spans="1:45" x14ac:dyDescent="0.35">
      <c r="A58" s="159" t="s">
        <v>429</v>
      </c>
      <c r="B58" s="180"/>
      <c r="C58" s="83">
        <v>29150</v>
      </c>
      <c r="D58" s="107">
        <v>29150</v>
      </c>
      <c r="E58" s="304">
        <f t="shared" si="22"/>
        <v>29150</v>
      </c>
      <c r="F58" s="287">
        <v>9259</v>
      </c>
      <c r="G58" s="288">
        <f t="shared" si="10"/>
        <v>0.3176329331046312</v>
      </c>
      <c r="H58" s="289">
        <v>3865</v>
      </c>
      <c r="I58" s="290">
        <f t="shared" si="11"/>
        <v>0.13259005145797598</v>
      </c>
      <c r="J58" s="287">
        <v>7473</v>
      </c>
      <c r="K58" s="288">
        <f t="shared" si="12"/>
        <v>0.25636363636363635</v>
      </c>
      <c r="L58" s="289">
        <v>8552</v>
      </c>
      <c r="M58" s="290">
        <f t="shared" si="13"/>
        <v>0.29337907375643224</v>
      </c>
      <c r="N58" s="287"/>
      <c r="O58" s="288">
        <f t="shared" si="14"/>
        <v>0</v>
      </c>
      <c r="P58" s="289"/>
      <c r="Q58" s="290">
        <f t="shared" si="15"/>
        <v>0</v>
      </c>
      <c r="R58" s="287"/>
      <c r="S58" s="313">
        <f t="shared" si="16"/>
        <v>0</v>
      </c>
      <c r="T58" s="323">
        <f t="shared" si="17"/>
        <v>0.99996569468267582</v>
      </c>
      <c r="V58" s="81"/>
      <c r="W58" s="84"/>
      <c r="X58" s="85"/>
      <c r="Y58" s="48"/>
      <c r="Z58" s="81"/>
      <c r="AA58" s="84">
        <v>4508.76</v>
      </c>
      <c r="AB58" s="85">
        <v>4509</v>
      </c>
      <c r="AC58" s="224">
        <v>0</v>
      </c>
      <c r="AD58" s="225"/>
      <c r="AE58" s="227">
        <v>22906.19</v>
      </c>
      <c r="AF58" s="226">
        <v>22906.19</v>
      </c>
      <c r="AG58" s="84">
        <f t="shared" ref="AG58:AG68" si="25">D58-U58-W58-Y58-AA58-AC58-AE58</f>
        <v>1735.0499999999993</v>
      </c>
      <c r="AH58" s="85"/>
      <c r="AI58" s="84">
        <f t="shared" si="23"/>
        <v>0</v>
      </c>
      <c r="AJ58" s="85"/>
      <c r="AK58" s="84">
        <f t="shared" si="24"/>
        <v>0</v>
      </c>
      <c r="AL58" s="85"/>
      <c r="AM58" s="84">
        <f t="shared" si="20"/>
        <v>0</v>
      </c>
      <c r="AN58" s="85"/>
      <c r="AO58" s="84">
        <f t="shared" si="21"/>
        <v>0</v>
      </c>
      <c r="AP58" s="85"/>
      <c r="AQ58" s="84">
        <f t="shared" si="19"/>
        <v>0</v>
      </c>
      <c r="AR58" s="81"/>
      <c r="AS58" s="214">
        <f t="shared" si="18"/>
        <v>0</v>
      </c>
    </row>
    <row r="59" spans="1:45" x14ac:dyDescent="0.35">
      <c r="A59" s="159" t="s">
        <v>416</v>
      </c>
      <c r="B59" s="170"/>
      <c r="C59" s="195">
        <f>'2019-20'!AC11</f>
        <v>23403</v>
      </c>
      <c r="D59" s="107">
        <f>C59+905</f>
        <v>24308</v>
      </c>
      <c r="E59" s="304">
        <f t="shared" si="22"/>
        <v>24308</v>
      </c>
      <c r="F59" s="287">
        <v>5632</v>
      </c>
      <c r="G59" s="288">
        <f t="shared" si="10"/>
        <v>0.23169326970544676</v>
      </c>
      <c r="H59" s="289">
        <v>1427</v>
      </c>
      <c r="I59" s="290">
        <f t="shared" si="11"/>
        <v>5.8704953101859469E-2</v>
      </c>
      <c r="J59" s="287">
        <v>2335</v>
      </c>
      <c r="K59" s="288">
        <f t="shared" si="12"/>
        <v>9.6058910646700676E-2</v>
      </c>
      <c r="L59" s="289">
        <v>4821</v>
      </c>
      <c r="M59" s="290">
        <f t="shared" si="13"/>
        <v>0.19832976797762053</v>
      </c>
      <c r="N59" s="287">
        <v>3390</v>
      </c>
      <c r="O59" s="288">
        <f t="shared" si="14"/>
        <v>0.13946025999670891</v>
      </c>
      <c r="P59" s="289">
        <v>5072</v>
      </c>
      <c r="Q59" s="290">
        <f t="shared" si="15"/>
        <v>0.20865558663814382</v>
      </c>
      <c r="R59" s="287">
        <v>905</v>
      </c>
      <c r="S59" s="313">
        <f t="shared" si="16"/>
        <v>3.7230541385552082E-2</v>
      </c>
      <c r="T59" s="323">
        <f t="shared" si="17"/>
        <v>0.97013328945203225</v>
      </c>
      <c r="U59" s="81"/>
      <c r="V59" s="81"/>
      <c r="W59" s="84">
        <v>3129.3</v>
      </c>
      <c r="X59" s="85">
        <v>3129.3</v>
      </c>
      <c r="Y59" s="48">
        <v>8008.3</v>
      </c>
      <c r="Z59" s="81">
        <v>8008.3</v>
      </c>
      <c r="AA59" s="84">
        <v>6950</v>
      </c>
      <c r="AB59" s="85">
        <v>6950</v>
      </c>
      <c r="AC59" s="224">
        <v>5315.4</v>
      </c>
      <c r="AD59" s="225">
        <v>5315.4</v>
      </c>
      <c r="AE59" s="227">
        <v>905</v>
      </c>
      <c r="AF59" s="85">
        <v>905</v>
      </c>
      <c r="AG59" s="84">
        <f t="shared" si="25"/>
        <v>1.8189894035458565E-12</v>
      </c>
      <c r="AH59" s="85"/>
      <c r="AI59" s="84">
        <f t="shared" si="23"/>
        <v>0</v>
      </c>
      <c r="AJ59" s="85"/>
      <c r="AK59" s="84">
        <f t="shared" si="24"/>
        <v>0</v>
      </c>
      <c r="AL59" s="85"/>
      <c r="AM59" s="84">
        <f t="shared" si="20"/>
        <v>0</v>
      </c>
      <c r="AN59" s="85"/>
      <c r="AO59" s="84">
        <f t="shared" si="21"/>
        <v>0</v>
      </c>
      <c r="AP59" s="85"/>
      <c r="AQ59" s="84">
        <f t="shared" si="19"/>
        <v>0</v>
      </c>
      <c r="AR59" s="81"/>
      <c r="AS59" s="214">
        <f t="shared" si="18"/>
        <v>0</v>
      </c>
    </row>
    <row r="60" spans="1:45" x14ac:dyDescent="0.35">
      <c r="A60" s="149" t="s">
        <v>396</v>
      </c>
      <c r="B60" s="170"/>
      <c r="C60" s="195">
        <f>'2019-20'!AC22-1536+1893.93</f>
        <v>72184.329999999987</v>
      </c>
      <c r="D60" s="107">
        <f t="shared" ref="D60:D71" si="26">C60</f>
        <v>72184.329999999987</v>
      </c>
      <c r="E60" s="304">
        <f t="shared" si="22"/>
        <v>72184.329999999987</v>
      </c>
      <c r="F60" s="287">
        <v>27700</v>
      </c>
      <c r="G60" s="288">
        <f t="shared" si="10"/>
        <v>0.38373979504970129</v>
      </c>
      <c r="H60" s="289">
        <v>5316</v>
      </c>
      <c r="I60" s="290">
        <f t="shared" si="11"/>
        <v>7.3644792436253145E-2</v>
      </c>
      <c r="J60" s="287">
        <v>8600</v>
      </c>
      <c r="K60" s="288">
        <f t="shared" si="12"/>
        <v>0.11913943095405889</v>
      </c>
      <c r="L60" s="289">
        <v>19100</v>
      </c>
      <c r="M60" s="290">
        <f t="shared" si="13"/>
        <v>0.26460036409564242</v>
      </c>
      <c r="N60" s="287">
        <v>11490</v>
      </c>
      <c r="O60" s="288">
        <f t="shared" si="14"/>
        <v>0.15917582112350426</v>
      </c>
      <c r="P60" s="289"/>
      <c r="Q60" s="290">
        <f t="shared" si="15"/>
        <v>0</v>
      </c>
      <c r="R60" s="287"/>
      <c r="S60" s="313">
        <f t="shared" si="16"/>
        <v>0</v>
      </c>
      <c r="T60" s="323">
        <f t="shared" si="17"/>
        <v>1.0003002036591599</v>
      </c>
      <c r="U60" s="81"/>
      <c r="V60" s="81"/>
      <c r="W60" s="84">
        <v>8508.65</v>
      </c>
      <c r="X60" s="85">
        <v>8508.65</v>
      </c>
      <c r="Y60" s="48">
        <v>18218.490000000002</v>
      </c>
      <c r="Z60" s="81">
        <v>18218.490000000002</v>
      </c>
      <c r="AA60" s="84">
        <v>20505</v>
      </c>
      <c r="AB60" s="85">
        <v>20505</v>
      </c>
      <c r="AC60" s="224">
        <v>23058</v>
      </c>
      <c r="AD60" s="225">
        <v>23058.28</v>
      </c>
      <c r="AE60" s="227">
        <f>D60-U60-W60-Y60-AA60-AC60</f>
        <v>1894.1899999999878</v>
      </c>
      <c r="AF60" s="226">
        <v>1893.93</v>
      </c>
      <c r="AG60" s="84">
        <f t="shared" si="25"/>
        <v>0</v>
      </c>
      <c r="AH60" s="85"/>
      <c r="AI60" s="84">
        <f t="shared" si="23"/>
        <v>0</v>
      </c>
      <c r="AJ60" s="85"/>
      <c r="AK60" s="84">
        <f t="shared" si="24"/>
        <v>0</v>
      </c>
      <c r="AL60" s="85"/>
      <c r="AM60" s="84">
        <f t="shared" si="20"/>
        <v>0</v>
      </c>
      <c r="AN60" s="85"/>
      <c r="AO60" s="84">
        <f t="shared" si="21"/>
        <v>0</v>
      </c>
      <c r="AP60" s="85"/>
      <c r="AQ60" s="84">
        <f t="shared" si="19"/>
        <v>0</v>
      </c>
      <c r="AR60" s="81"/>
      <c r="AS60" s="214">
        <f t="shared" si="18"/>
        <v>0</v>
      </c>
    </row>
    <row r="61" spans="1:45" x14ac:dyDescent="0.35">
      <c r="A61" s="159" t="s">
        <v>382</v>
      </c>
      <c r="B61" s="170"/>
      <c r="C61" s="195">
        <f>'2019-20'!AC14+560</f>
        <v>35932.239999999998</v>
      </c>
      <c r="D61" s="107">
        <f>C61</f>
        <v>35932.239999999998</v>
      </c>
      <c r="E61" s="304">
        <f t="shared" si="22"/>
        <v>35932.239999999998</v>
      </c>
      <c r="F61" s="287">
        <v>9712</v>
      </c>
      <c r="G61" s="288">
        <f t="shared" si="10"/>
        <v>0.27028651706656753</v>
      </c>
      <c r="H61" s="289">
        <v>2964</v>
      </c>
      <c r="I61" s="290">
        <f t="shared" si="11"/>
        <v>8.2488595200299233E-2</v>
      </c>
      <c r="J61" s="287">
        <v>1250</v>
      </c>
      <c r="K61" s="288">
        <f t="shared" si="12"/>
        <v>3.4787700404984495E-2</v>
      </c>
      <c r="L61" s="289">
        <v>11748</v>
      </c>
      <c r="M61" s="290">
        <f t="shared" si="13"/>
        <v>0.32694872348620629</v>
      </c>
      <c r="N61" s="287">
        <v>2933</v>
      </c>
      <c r="O61" s="288">
        <f t="shared" si="14"/>
        <v>8.1625860230255615E-2</v>
      </c>
      <c r="P61" s="289">
        <v>7325</v>
      </c>
      <c r="Q61" s="290">
        <f t="shared" si="15"/>
        <v>0.20385592437320915</v>
      </c>
      <c r="R61" s="287"/>
      <c r="S61" s="313">
        <f t="shared" si="16"/>
        <v>0</v>
      </c>
      <c r="T61" s="323">
        <f t="shared" si="17"/>
        <v>0.99999332076152236</v>
      </c>
      <c r="U61" s="81">
        <v>9698.83</v>
      </c>
      <c r="V61" s="81">
        <v>9698.6299999999992</v>
      </c>
      <c r="W61" s="84">
        <v>12109</v>
      </c>
      <c r="X61" s="85">
        <v>12109</v>
      </c>
      <c r="Y61" s="48">
        <v>13564.41</v>
      </c>
      <c r="Z61" s="81">
        <v>13564</v>
      </c>
      <c r="AA61" s="84">
        <v>0</v>
      </c>
      <c r="AB61" s="85"/>
      <c r="AC61" s="84">
        <v>0</v>
      </c>
      <c r="AD61" s="81"/>
      <c r="AE61" s="227">
        <v>560</v>
      </c>
      <c r="AF61" s="226">
        <v>560</v>
      </c>
      <c r="AG61" s="84">
        <f t="shared" si="25"/>
        <v>-3.637978807091713E-12</v>
      </c>
      <c r="AH61" s="85"/>
      <c r="AI61" s="84">
        <f t="shared" si="23"/>
        <v>0</v>
      </c>
      <c r="AJ61" s="85"/>
      <c r="AK61" s="84">
        <f t="shared" si="24"/>
        <v>0</v>
      </c>
      <c r="AL61" s="85"/>
      <c r="AM61" s="84">
        <f t="shared" si="20"/>
        <v>0</v>
      </c>
      <c r="AN61" s="85"/>
      <c r="AO61" s="84">
        <f t="shared" si="21"/>
        <v>0</v>
      </c>
      <c r="AP61" s="85"/>
      <c r="AQ61" s="84">
        <f t="shared" si="19"/>
        <v>0</v>
      </c>
      <c r="AR61" s="81"/>
      <c r="AS61" s="214">
        <f t="shared" si="18"/>
        <v>0</v>
      </c>
    </row>
    <row r="62" spans="1:45" x14ac:dyDescent="0.35">
      <c r="A62" s="160" t="s">
        <v>433</v>
      </c>
      <c r="B62" s="170"/>
      <c r="C62" s="195">
        <v>41267.730000000003</v>
      </c>
      <c r="D62" s="107">
        <f>C62</f>
        <v>41267.730000000003</v>
      </c>
      <c r="E62" s="304">
        <f t="shared" si="22"/>
        <v>41267.730000000003</v>
      </c>
      <c r="F62" s="287"/>
      <c r="G62" s="288">
        <f t="shared" si="10"/>
        <v>0</v>
      </c>
      <c r="H62" s="289">
        <v>38268</v>
      </c>
      <c r="I62" s="290">
        <f t="shared" si="11"/>
        <v>0.9273105159891275</v>
      </c>
      <c r="J62" s="287">
        <v>3000</v>
      </c>
      <c r="K62" s="288">
        <f t="shared" si="12"/>
        <v>7.2696026653271212E-2</v>
      </c>
      <c r="L62" s="289"/>
      <c r="M62" s="290">
        <f t="shared" si="13"/>
        <v>0</v>
      </c>
      <c r="N62" s="287"/>
      <c r="O62" s="288">
        <f t="shared" si="14"/>
        <v>0</v>
      </c>
      <c r="P62" s="289"/>
      <c r="Q62" s="290">
        <f t="shared" si="15"/>
        <v>0</v>
      </c>
      <c r="R62" s="287"/>
      <c r="S62" s="313">
        <f t="shared" si="16"/>
        <v>0</v>
      </c>
      <c r="T62" s="323">
        <f t="shared" si="17"/>
        <v>1.0000065426423987</v>
      </c>
      <c r="U62" s="81"/>
      <c r="V62" s="81"/>
      <c r="W62" s="84">
        <v>11484.41</v>
      </c>
      <c r="X62" s="85">
        <v>11484.41</v>
      </c>
      <c r="Y62" s="48"/>
      <c r="Z62" s="81"/>
      <c r="AA62" s="84">
        <v>27025</v>
      </c>
      <c r="AB62" s="85">
        <v>27025</v>
      </c>
      <c r="AC62" s="224">
        <f>D62-U62-W62-Y62-AA62</f>
        <v>2758.3200000000033</v>
      </c>
      <c r="AD62" s="225">
        <v>2758</v>
      </c>
      <c r="AE62" s="84">
        <f t="shared" ref="AE62:AE68" si="27">D62-U62-W62-Y62-AA62-AC62</f>
        <v>0</v>
      </c>
      <c r="AF62" s="85"/>
      <c r="AG62" s="84">
        <f t="shared" si="25"/>
        <v>0</v>
      </c>
      <c r="AH62" s="85"/>
      <c r="AI62" s="84">
        <f t="shared" si="23"/>
        <v>0</v>
      </c>
      <c r="AJ62" s="85"/>
      <c r="AK62" s="84">
        <f t="shared" si="24"/>
        <v>0</v>
      </c>
      <c r="AL62" s="85"/>
      <c r="AM62" s="84">
        <f t="shared" si="20"/>
        <v>0</v>
      </c>
      <c r="AN62" s="85"/>
      <c r="AO62" s="84">
        <f t="shared" si="21"/>
        <v>0</v>
      </c>
      <c r="AP62" s="85"/>
      <c r="AQ62" s="84">
        <f t="shared" si="19"/>
        <v>0</v>
      </c>
      <c r="AR62" s="81"/>
      <c r="AS62" s="214">
        <f t="shared" si="18"/>
        <v>0</v>
      </c>
    </row>
    <row r="63" spans="1:45" x14ac:dyDescent="0.35">
      <c r="A63" s="100" t="s">
        <v>356</v>
      </c>
      <c r="B63" s="172"/>
      <c r="C63" s="83">
        <f>'2019-20'!AC34-151</f>
        <v>6867.9100000000008</v>
      </c>
      <c r="D63" s="107">
        <f>C63</f>
        <v>6867.9100000000008</v>
      </c>
      <c r="E63" s="304">
        <f t="shared" si="22"/>
        <v>6867.9100000000008</v>
      </c>
      <c r="F63" s="287"/>
      <c r="G63" s="288">
        <f t="shared" si="10"/>
        <v>0</v>
      </c>
      <c r="H63" s="289"/>
      <c r="I63" s="290">
        <f t="shared" si="11"/>
        <v>0</v>
      </c>
      <c r="J63" s="287"/>
      <c r="K63" s="288">
        <f t="shared" si="12"/>
        <v>0</v>
      </c>
      <c r="L63" s="289"/>
      <c r="M63" s="290">
        <f t="shared" si="13"/>
        <v>0</v>
      </c>
      <c r="N63" s="287"/>
      <c r="O63" s="288">
        <f t="shared" si="14"/>
        <v>0</v>
      </c>
      <c r="P63" s="289">
        <v>6868</v>
      </c>
      <c r="Q63" s="290">
        <f t="shared" si="15"/>
        <v>1.0000131044233251</v>
      </c>
      <c r="R63" s="287"/>
      <c r="S63" s="313">
        <f t="shared" si="16"/>
        <v>0</v>
      </c>
      <c r="T63" s="323">
        <f t="shared" si="17"/>
        <v>1.0000131044233251</v>
      </c>
      <c r="U63" s="69">
        <v>6481.29</v>
      </c>
      <c r="V63" s="81">
        <v>6481.29</v>
      </c>
      <c r="W63" s="163"/>
      <c r="X63" s="85"/>
      <c r="Y63" s="81"/>
      <c r="Z63" s="81"/>
      <c r="AA63" s="84">
        <v>0</v>
      </c>
      <c r="AB63" s="85"/>
      <c r="AC63" s="224">
        <v>386.14</v>
      </c>
      <c r="AD63" s="225">
        <v>386.14</v>
      </c>
      <c r="AE63" s="84">
        <f t="shared" si="27"/>
        <v>0.480000000000814</v>
      </c>
      <c r="AF63" s="85"/>
      <c r="AG63" s="84">
        <f t="shared" si="25"/>
        <v>0</v>
      </c>
      <c r="AH63" s="85"/>
      <c r="AI63" s="84">
        <f t="shared" si="23"/>
        <v>0</v>
      </c>
      <c r="AJ63" s="85"/>
      <c r="AK63" s="84">
        <f t="shared" si="24"/>
        <v>0</v>
      </c>
      <c r="AL63" s="85"/>
      <c r="AM63" s="84">
        <f t="shared" si="20"/>
        <v>0</v>
      </c>
      <c r="AN63" s="85"/>
      <c r="AO63" s="84">
        <f t="shared" si="21"/>
        <v>0</v>
      </c>
      <c r="AP63" s="85"/>
      <c r="AQ63" s="84">
        <f t="shared" si="19"/>
        <v>0</v>
      </c>
      <c r="AR63" s="81"/>
      <c r="AS63" s="214">
        <f t="shared" si="18"/>
        <v>0</v>
      </c>
    </row>
    <row r="64" spans="1:45" x14ac:dyDescent="0.35">
      <c r="A64" s="160" t="s">
        <v>423</v>
      </c>
      <c r="B64" s="170"/>
      <c r="C64" s="83">
        <v>52092</v>
      </c>
      <c r="D64" s="107">
        <v>52092</v>
      </c>
      <c r="E64" s="304">
        <f t="shared" si="22"/>
        <v>52092</v>
      </c>
      <c r="F64" s="287"/>
      <c r="G64" s="288">
        <f t="shared" si="10"/>
        <v>0</v>
      </c>
      <c r="H64" s="289">
        <v>25000</v>
      </c>
      <c r="I64" s="290">
        <f t="shared" si="11"/>
        <v>0.47992014128848959</v>
      </c>
      <c r="J64" s="287"/>
      <c r="K64" s="288">
        <f t="shared" si="12"/>
        <v>0</v>
      </c>
      <c r="L64" s="289">
        <v>27092</v>
      </c>
      <c r="M64" s="290">
        <f t="shared" si="13"/>
        <v>0.52007985871151041</v>
      </c>
      <c r="N64" s="287"/>
      <c r="O64" s="288">
        <f t="shared" si="14"/>
        <v>0</v>
      </c>
      <c r="P64" s="289"/>
      <c r="Q64" s="290">
        <f t="shared" si="15"/>
        <v>0</v>
      </c>
      <c r="R64" s="287"/>
      <c r="S64" s="313">
        <f t="shared" si="16"/>
        <v>0</v>
      </c>
      <c r="T64" s="323">
        <f t="shared" si="17"/>
        <v>1</v>
      </c>
      <c r="U64" s="81"/>
      <c r="V64" s="81"/>
      <c r="W64" s="84">
        <v>34836.949999999997</v>
      </c>
      <c r="X64" s="85">
        <v>34836.949999999997</v>
      </c>
      <c r="Y64" s="81"/>
      <c r="Z64" s="81"/>
      <c r="AA64" s="84">
        <v>0</v>
      </c>
      <c r="AB64" s="85"/>
      <c r="AC64" s="224">
        <f>D64-W64</f>
        <v>17255.050000000003</v>
      </c>
      <c r="AD64" s="225">
        <v>17255</v>
      </c>
      <c r="AE64" s="84">
        <f t="shared" si="27"/>
        <v>0</v>
      </c>
      <c r="AF64" s="85"/>
      <c r="AG64" s="84">
        <f t="shared" si="25"/>
        <v>0</v>
      </c>
      <c r="AH64" s="85"/>
      <c r="AI64" s="84">
        <f t="shared" si="23"/>
        <v>0</v>
      </c>
      <c r="AJ64" s="85"/>
      <c r="AK64" s="84">
        <f t="shared" si="24"/>
        <v>0</v>
      </c>
      <c r="AL64" s="85"/>
      <c r="AM64" s="84">
        <f t="shared" si="20"/>
        <v>0</v>
      </c>
      <c r="AN64" s="85"/>
      <c r="AO64" s="84">
        <f t="shared" si="21"/>
        <v>0</v>
      </c>
      <c r="AP64" s="85"/>
      <c r="AQ64" s="84">
        <f t="shared" si="19"/>
        <v>0</v>
      </c>
      <c r="AR64" s="81"/>
      <c r="AS64" s="214">
        <f t="shared" si="18"/>
        <v>0</v>
      </c>
    </row>
    <row r="65" spans="1:45" x14ac:dyDescent="0.35">
      <c r="A65" s="151" t="s">
        <v>421</v>
      </c>
      <c r="B65" s="170"/>
      <c r="C65" s="83">
        <v>12418.93</v>
      </c>
      <c r="D65" s="107">
        <f>C65</f>
        <v>12418.93</v>
      </c>
      <c r="E65" s="304">
        <f t="shared" si="22"/>
        <v>12418.93</v>
      </c>
      <c r="F65" s="287"/>
      <c r="G65" s="288">
        <f t="shared" si="10"/>
        <v>0</v>
      </c>
      <c r="H65" s="289"/>
      <c r="I65" s="290">
        <f t="shared" si="11"/>
        <v>0</v>
      </c>
      <c r="J65" s="287"/>
      <c r="K65" s="288">
        <f t="shared" si="12"/>
        <v>0</v>
      </c>
      <c r="L65" s="289"/>
      <c r="M65" s="290">
        <f t="shared" si="13"/>
        <v>0</v>
      </c>
      <c r="N65" s="287"/>
      <c r="O65" s="288">
        <f t="shared" si="14"/>
        <v>0</v>
      </c>
      <c r="P65" s="289"/>
      <c r="Q65" s="290">
        <f t="shared" si="15"/>
        <v>0</v>
      </c>
      <c r="R65" s="287">
        <v>12419</v>
      </c>
      <c r="S65" s="313">
        <f t="shared" si="16"/>
        <v>1.0000056365564505</v>
      </c>
      <c r="T65" s="323">
        <f t="shared" si="17"/>
        <v>1.0000056365564505</v>
      </c>
      <c r="U65" s="81"/>
      <c r="V65" s="81"/>
      <c r="W65" s="163"/>
      <c r="X65" s="51"/>
      <c r="Y65" s="81">
        <f>8338.69+3309.25</f>
        <v>11647.94</v>
      </c>
      <c r="Z65" s="81">
        <f>8339+3309.25</f>
        <v>11648.25</v>
      </c>
      <c r="AA65" s="84">
        <v>0</v>
      </c>
      <c r="AB65" s="85"/>
      <c r="AC65" s="224">
        <f>D65-U65-W65-Y65-AA65</f>
        <v>770.98999999999978</v>
      </c>
      <c r="AD65" s="225">
        <v>771</v>
      </c>
      <c r="AE65" s="84">
        <f t="shared" si="27"/>
        <v>0</v>
      </c>
      <c r="AF65" s="85"/>
      <c r="AG65" s="84">
        <f t="shared" si="25"/>
        <v>0</v>
      </c>
      <c r="AH65" s="85"/>
      <c r="AI65" s="84">
        <f t="shared" si="23"/>
        <v>0</v>
      </c>
      <c r="AJ65" s="85"/>
      <c r="AK65" s="84">
        <f t="shared" si="24"/>
        <v>0</v>
      </c>
      <c r="AL65" s="85"/>
      <c r="AM65" s="84">
        <f t="shared" si="20"/>
        <v>0</v>
      </c>
      <c r="AN65" s="85"/>
      <c r="AO65" s="84">
        <f t="shared" si="21"/>
        <v>0</v>
      </c>
      <c r="AP65" s="85"/>
      <c r="AQ65" s="84">
        <f t="shared" si="19"/>
        <v>0</v>
      </c>
      <c r="AR65" s="81"/>
      <c r="AS65" s="214">
        <f t="shared" si="18"/>
        <v>0</v>
      </c>
    </row>
    <row r="66" spans="1:45" x14ac:dyDescent="0.35">
      <c r="A66" s="160" t="s">
        <v>422</v>
      </c>
      <c r="B66" s="170"/>
      <c r="C66" s="83">
        <f>4885.8+715</f>
        <v>5600.8</v>
      </c>
      <c r="D66" s="107">
        <f>C66</f>
        <v>5600.8</v>
      </c>
      <c r="E66" s="304">
        <f t="shared" si="22"/>
        <v>5600.8</v>
      </c>
      <c r="F66" s="287"/>
      <c r="G66" s="288">
        <f t="shared" si="10"/>
        <v>0</v>
      </c>
      <c r="H66" s="289">
        <v>5601</v>
      </c>
      <c r="I66" s="290">
        <f t="shared" si="11"/>
        <v>1.0000357091844021</v>
      </c>
      <c r="J66" s="287"/>
      <c r="K66" s="288">
        <f t="shared" si="12"/>
        <v>0</v>
      </c>
      <c r="L66" s="289"/>
      <c r="M66" s="290">
        <f t="shared" si="13"/>
        <v>0</v>
      </c>
      <c r="N66" s="287"/>
      <c r="O66" s="288">
        <f t="shared" si="14"/>
        <v>0</v>
      </c>
      <c r="P66" s="289"/>
      <c r="Q66" s="290">
        <f t="shared" si="15"/>
        <v>0</v>
      </c>
      <c r="R66" s="287"/>
      <c r="S66" s="313">
        <f t="shared" si="16"/>
        <v>0</v>
      </c>
      <c r="T66" s="323">
        <f t="shared" si="17"/>
        <v>1.0000357091844021</v>
      </c>
      <c r="U66" s="81"/>
      <c r="V66" s="81"/>
      <c r="W66" s="163"/>
      <c r="X66" s="85"/>
      <c r="Y66" s="81"/>
      <c r="Z66" s="81"/>
      <c r="AA66" s="84">
        <v>0</v>
      </c>
      <c r="AB66" s="85"/>
      <c r="AC66" s="224">
        <f>D66-U66-W66-Y66-AA66</f>
        <v>5600.8</v>
      </c>
      <c r="AD66" s="225">
        <v>5601</v>
      </c>
      <c r="AE66" s="84">
        <f t="shared" si="27"/>
        <v>0</v>
      </c>
      <c r="AF66" s="85"/>
      <c r="AG66" s="84">
        <f t="shared" si="25"/>
        <v>0</v>
      </c>
      <c r="AH66" s="85"/>
      <c r="AI66" s="84">
        <f t="shared" si="23"/>
        <v>0</v>
      </c>
      <c r="AJ66" s="85"/>
      <c r="AK66" s="84">
        <f t="shared" si="24"/>
        <v>0</v>
      </c>
      <c r="AL66" s="85"/>
      <c r="AM66" s="84">
        <f t="shared" si="20"/>
        <v>0</v>
      </c>
      <c r="AN66" s="85"/>
      <c r="AO66" s="84">
        <f t="shared" si="21"/>
        <v>0</v>
      </c>
      <c r="AP66" s="85"/>
      <c r="AQ66" s="84">
        <f t="shared" si="19"/>
        <v>0</v>
      </c>
      <c r="AR66" s="81"/>
      <c r="AS66" s="214">
        <f t="shared" si="18"/>
        <v>0</v>
      </c>
    </row>
    <row r="67" spans="1:45" x14ac:dyDescent="0.35">
      <c r="A67" s="151" t="s">
        <v>467</v>
      </c>
      <c r="B67" s="180"/>
      <c r="C67" s="83">
        <v>480</v>
      </c>
      <c r="D67" s="107">
        <v>480</v>
      </c>
      <c r="E67" s="304">
        <f t="shared" si="22"/>
        <v>480</v>
      </c>
      <c r="F67" s="287"/>
      <c r="G67" s="288">
        <f t="shared" si="10"/>
        <v>0</v>
      </c>
      <c r="H67" s="289"/>
      <c r="I67" s="290">
        <f t="shared" si="11"/>
        <v>0</v>
      </c>
      <c r="J67" s="287"/>
      <c r="K67" s="288">
        <f t="shared" si="12"/>
        <v>0</v>
      </c>
      <c r="L67" s="289"/>
      <c r="M67" s="290">
        <f t="shared" si="13"/>
        <v>0</v>
      </c>
      <c r="N67" s="287"/>
      <c r="O67" s="288">
        <f t="shared" si="14"/>
        <v>0</v>
      </c>
      <c r="P67" s="289"/>
      <c r="Q67" s="290">
        <f t="shared" si="15"/>
        <v>0</v>
      </c>
      <c r="R67" s="287">
        <v>480</v>
      </c>
      <c r="S67" s="313">
        <f t="shared" si="16"/>
        <v>1</v>
      </c>
      <c r="T67" s="323">
        <f t="shared" si="17"/>
        <v>1</v>
      </c>
      <c r="V67" s="81"/>
      <c r="W67" s="84"/>
      <c r="X67" s="85"/>
      <c r="Y67" s="48"/>
      <c r="Z67" s="81"/>
      <c r="AA67" s="84">
        <v>0</v>
      </c>
      <c r="AB67" s="85"/>
      <c r="AC67" s="224">
        <f>D67-U67-W67-Y67-AA67</f>
        <v>480</v>
      </c>
      <c r="AD67" s="225">
        <v>480</v>
      </c>
      <c r="AE67" s="84">
        <f t="shared" si="27"/>
        <v>0</v>
      </c>
      <c r="AF67" s="85"/>
      <c r="AG67" s="84">
        <f t="shared" si="25"/>
        <v>0</v>
      </c>
      <c r="AH67" s="85"/>
      <c r="AI67" s="84">
        <f t="shared" si="23"/>
        <v>0</v>
      </c>
      <c r="AJ67" s="85"/>
      <c r="AK67" s="84">
        <f t="shared" si="24"/>
        <v>0</v>
      </c>
      <c r="AL67" s="85"/>
      <c r="AM67" s="84">
        <f t="shared" si="20"/>
        <v>0</v>
      </c>
      <c r="AN67" s="85"/>
      <c r="AO67" s="84">
        <f t="shared" si="21"/>
        <v>0</v>
      </c>
      <c r="AP67" s="85"/>
      <c r="AQ67" s="84">
        <f t="shared" si="19"/>
        <v>0</v>
      </c>
      <c r="AR67" s="81"/>
      <c r="AS67" s="214">
        <f t="shared" si="18"/>
        <v>0</v>
      </c>
    </row>
    <row r="68" spans="1:45" x14ac:dyDescent="0.35">
      <c r="A68" s="151" t="s">
        <v>308</v>
      </c>
      <c r="B68" s="180"/>
      <c r="C68" s="83">
        <v>3250</v>
      </c>
      <c r="D68" s="107">
        <v>3250</v>
      </c>
      <c r="E68" s="304">
        <f t="shared" si="22"/>
        <v>3250</v>
      </c>
      <c r="F68" s="287"/>
      <c r="G68" s="288">
        <f t="shared" si="10"/>
        <v>0</v>
      </c>
      <c r="H68" s="289"/>
      <c r="I68" s="290">
        <f t="shared" si="11"/>
        <v>0</v>
      </c>
      <c r="J68" s="287"/>
      <c r="K68" s="288">
        <f t="shared" si="12"/>
        <v>0</v>
      </c>
      <c r="L68" s="289"/>
      <c r="M68" s="290">
        <f t="shared" si="13"/>
        <v>0</v>
      </c>
      <c r="N68" s="287"/>
      <c r="O68" s="288">
        <f t="shared" si="14"/>
        <v>0</v>
      </c>
      <c r="P68" s="289"/>
      <c r="Q68" s="290">
        <f t="shared" si="15"/>
        <v>0</v>
      </c>
      <c r="R68" s="287">
        <v>3250</v>
      </c>
      <c r="S68" s="313">
        <f t="shared" si="16"/>
        <v>1</v>
      </c>
      <c r="T68" s="323">
        <f t="shared" si="17"/>
        <v>1</v>
      </c>
      <c r="V68" s="81"/>
      <c r="W68" s="84"/>
      <c r="X68" s="85"/>
      <c r="Y68" s="48"/>
      <c r="Z68" s="81"/>
      <c r="AA68" s="84">
        <v>0</v>
      </c>
      <c r="AB68" s="85"/>
      <c r="AC68" s="224">
        <f>D68-U68-W68-Y68-AA68</f>
        <v>3250</v>
      </c>
      <c r="AD68" s="225">
        <v>3250</v>
      </c>
      <c r="AE68" s="84">
        <f t="shared" si="27"/>
        <v>0</v>
      </c>
      <c r="AF68" s="85"/>
      <c r="AG68" s="84">
        <f t="shared" si="25"/>
        <v>0</v>
      </c>
      <c r="AH68" s="85"/>
      <c r="AI68" s="84">
        <f t="shared" si="23"/>
        <v>0</v>
      </c>
      <c r="AJ68" s="85"/>
      <c r="AK68" s="84">
        <f t="shared" si="24"/>
        <v>0</v>
      </c>
      <c r="AL68" s="85"/>
      <c r="AM68" s="84">
        <f t="shared" si="20"/>
        <v>0</v>
      </c>
      <c r="AN68" s="85"/>
      <c r="AO68" s="84">
        <f t="shared" si="21"/>
        <v>0</v>
      </c>
      <c r="AP68" s="85"/>
      <c r="AQ68" s="84">
        <f t="shared" si="19"/>
        <v>0</v>
      </c>
      <c r="AR68" s="81"/>
      <c r="AS68" s="214">
        <f t="shared" si="18"/>
        <v>0</v>
      </c>
    </row>
    <row r="69" spans="1:45" x14ac:dyDescent="0.35">
      <c r="A69" s="187" t="s">
        <v>381</v>
      </c>
      <c r="B69" s="170"/>
      <c r="C69" s="83">
        <f>'2019-20'!AC23+3331.53+2239.55</f>
        <v>10355.77</v>
      </c>
      <c r="D69" s="107">
        <f>C69</f>
        <v>10355.77</v>
      </c>
      <c r="E69" s="304">
        <f t="shared" si="22"/>
        <v>10355.77</v>
      </c>
      <c r="F69" s="287"/>
      <c r="G69" s="288">
        <f t="shared" si="10"/>
        <v>0</v>
      </c>
      <c r="H69" s="289">
        <v>10356</v>
      </c>
      <c r="I69" s="290">
        <f t="shared" si="11"/>
        <v>1.0000222098405043</v>
      </c>
      <c r="J69" s="287"/>
      <c r="K69" s="288">
        <f t="shared" si="12"/>
        <v>0</v>
      </c>
      <c r="L69" s="289"/>
      <c r="M69" s="290">
        <f t="shared" si="13"/>
        <v>0</v>
      </c>
      <c r="N69" s="287"/>
      <c r="O69" s="288">
        <f t="shared" si="14"/>
        <v>0</v>
      </c>
      <c r="P69" s="289"/>
      <c r="Q69" s="290">
        <f t="shared" si="15"/>
        <v>0</v>
      </c>
      <c r="R69" s="287"/>
      <c r="S69" s="313">
        <f t="shared" si="16"/>
        <v>0</v>
      </c>
      <c r="T69" s="323">
        <f t="shared" si="17"/>
        <v>1.0000222098405043</v>
      </c>
      <c r="U69" s="81"/>
      <c r="V69" s="81"/>
      <c r="W69" s="163"/>
      <c r="X69" s="85"/>
      <c r="Y69" s="81"/>
      <c r="Z69" s="81"/>
      <c r="AA69" s="84">
        <v>8116</v>
      </c>
      <c r="AB69" s="85">
        <v>8116</v>
      </c>
      <c r="AC69" s="84">
        <v>0</v>
      </c>
      <c r="AD69" s="81"/>
      <c r="AE69" s="84">
        <v>0</v>
      </c>
      <c r="AF69" s="85"/>
      <c r="AG69" s="84">
        <v>0</v>
      </c>
      <c r="AH69" s="85"/>
      <c r="AI69" s="230">
        <f t="shared" si="23"/>
        <v>2239.7700000000004</v>
      </c>
      <c r="AJ69" s="231">
        <v>2240</v>
      </c>
      <c r="AK69" s="84">
        <f t="shared" si="24"/>
        <v>0</v>
      </c>
      <c r="AL69" s="85"/>
      <c r="AM69" s="84">
        <f t="shared" si="20"/>
        <v>0</v>
      </c>
      <c r="AN69" s="85"/>
      <c r="AO69" s="84">
        <f t="shared" si="21"/>
        <v>0</v>
      </c>
      <c r="AP69" s="85"/>
      <c r="AQ69" s="84">
        <f t="shared" si="19"/>
        <v>0</v>
      </c>
      <c r="AR69" s="81"/>
      <c r="AS69" s="214">
        <f t="shared" si="18"/>
        <v>0</v>
      </c>
    </row>
    <row r="70" spans="1:45" x14ac:dyDescent="0.35">
      <c r="A70" s="159" t="s">
        <v>399</v>
      </c>
      <c r="B70" s="170"/>
      <c r="C70" s="195">
        <f>'2019-20'!AC20</f>
        <v>22297</v>
      </c>
      <c r="D70" s="107">
        <f t="shared" si="26"/>
        <v>22297</v>
      </c>
      <c r="E70" s="304">
        <f t="shared" si="22"/>
        <v>22297</v>
      </c>
      <c r="F70" s="287"/>
      <c r="G70" s="288">
        <f t="shared" si="10"/>
        <v>0</v>
      </c>
      <c r="H70" s="289"/>
      <c r="I70" s="290">
        <f t="shared" si="11"/>
        <v>0</v>
      </c>
      <c r="J70" s="287"/>
      <c r="K70" s="288">
        <f t="shared" si="12"/>
        <v>0</v>
      </c>
      <c r="L70" s="289"/>
      <c r="M70" s="290">
        <f t="shared" si="13"/>
        <v>0</v>
      </c>
      <c r="N70" s="287"/>
      <c r="O70" s="288">
        <f t="shared" si="14"/>
        <v>0</v>
      </c>
      <c r="P70" s="289"/>
      <c r="Q70" s="290">
        <f t="shared" si="15"/>
        <v>0</v>
      </c>
      <c r="R70" s="287"/>
      <c r="S70" s="313">
        <f t="shared" si="16"/>
        <v>0</v>
      </c>
      <c r="T70" s="323">
        <f t="shared" si="17"/>
        <v>0</v>
      </c>
      <c r="U70" s="81">
        <v>5024.95</v>
      </c>
      <c r="V70" s="81">
        <v>5024.95</v>
      </c>
      <c r="W70" s="84">
        <v>0</v>
      </c>
      <c r="X70" s="85"/>
      <c r="Y70" s="48">
        <v>7803.37</v>
      </c>
      <c r="Z70" s="81">
        <v>7803</v>
      </c>
      <c r="AA70" s="84">
        <f t="shared" ref="AA70:AA77" si="28">D70-U70-W70-Y70</f>
        <v>9468.68</v>
      </c>
      <c r="AB70" s="85">
        <v>9469</v>
      </c>
      <c r="AC70" s="84">
        <f t="shared" ref="AC70:AC77" si="29">D70-U70-W70-Y70-AA70</f>
        <v>0</v>
      </c>
      <c r="AD70" s="81"/>
      <c r="AE70" s="84">
        <f t="shared" ref="AE70:AE77" si="30">D70-U70-W70-Y70-AA70-AC70</f>
        <v>0</v>
      </c>
      <c r="AF70" s="85"/>
      <c r="AG70" s="84">
        <f t="shared" ref="AG70:AG77" si="31">D70-U70-W70-Y70-AA70-AC70-AE70</f>
        <v>0</v>
      </c>
      <c r="AH70" s="85"/>
      <c r="AI70" s="84">
        <f t="shared" si="23"/>
        <v>0</v>
      </c>
      <c r="AJ70" s="85"/>
      <c r="AK70" s="84">
        <f t="shared" si="24"/>
        <v>0</v>
      </c>
      <c r="AL70" s="85"/>
      <c r="AM70" s="84">
        <f t="shared" si="20"/>
        <v>0</v>
      </c>
      <c r="AN70" s="85"/>
      <c r="AO70" s="84">
        <f t="shared" si="21"/>
        <v>0</v>
      </c>
      <c r="AP70" s="85"/>
      <c r="AQ70" s="84">
        <f t="shared" si="19"/>
        <v>0</v>
      </c>
      <c r="AR70" s="81"/>
      <c r="AS70" s="214">
        <f t="shared" si="18"/>
        <v>0</v>
      </c>
    </row>
    <row r="71" spans="1:45" x14ac:dyDescent="0.35">
      <c r="A71" s="161" t="s">
        <v>397</v>
      </c>
      <c r="B71" s="170"/>
      <c r="C71" s="83">
        <f>'2019-20'!AC24</f>
        <v>26035.14</v>
      </c>
      <c r="D71" s="107">
        <f t="shared" si="26"/>
        <v>26035.14</v>
      </c>
      <c r="E71" s="304">
        <f t="shared" si="22"/>
        <v>26035.14</v>
      </c>
      <c r="F71" s="287"/>
      <c r="G71" s="288">
        <f t="shared" si="10"/>
        <v>0</v>
      </c>
      <c r="H71" s="289">
        <v>26035</v>
      </c>
      <c r="I71" s="290">
        <f t="shared" si="11"/>
        <v>0.99999462265230765</v>
      </c>
      <c r="J71" s="287"/>
      <c r="K71" s="288">
        <f t="shared" si="12"/>
        <v>0</v>
      </c>
      <c r="L71" s="289"/>
      <c r="M71" s="290">
        <f t="shared" si="13"/>
        <v>0</v>
      </c>
      <c r="N71" s="287"/>
      <c r="O71" s="288">
        <f t="shared" si="14"/>
        <v>0</v>
      </c>
      <c r="P71" s="289"/>
      <c r="Q71" s="290">
        <f t="shared" si="15"/>
        <v>0</v>
      </c>
      <c r="R71" s="287"/>
      <c r="S71" s="313">
        <f t="shared" si="16"/>
        <v>0</v>
      </c>
      <c r="T71" s="323">
        <f t="shared" si="17"/>
        <v>0.99999462265230765</v>
      </c>
      <c r="U71" s="81">
        <v>14599.17</v>
      </c>
      <c r="V71" s="81">
        <v>14599.17</v>
      </c>
      <c r="W71" s="84">
        <v>0</v>
      </c>
      <c r="X71" s="85"/>
      <c r="Y71" s="48"/>
      <c r="Z71" s="81"/>
      <c r="AA71" s="84">
        <f t="shared" si="28"/>
        <v>11435.97</v>
      </c>
      <c r="AB71" s="85">
        <v>11436</v>
      </c>
      <c r="AC71" s="84">
        <f t="shared" si="29"/>
        <v>0</v>
      </c>
      <c r="AD71" s="81"/>
      <c r="AE71" s="84">
        <f t="shared" si="30"/>
        <v>0</v>
      </c>
      <c r="AF71" s="85"/>
      <c r="AG71" s="84">
        <f t="shared" si="31"/>
        <v>0</v>
      </c>
      <c r="AH71" s="85"/>
      <c r="AI71" s="84">
        <f t="shared" si="23"/>
        <v>0</v>
      </c>
      <c r="AJ71" s="85"/>
      <c r="AK71" s="84">
        <f t="shared" si="24"/>
        <v>0</v>
      </c>
      <c r="AL71" s="85"/>
      <c r="AM71" s="84">
        <f t="shared" si="20"/>
        <v>0</v>
      </c>
      <c r="AN71" s="85"/>
      <c r="AO71" s="84">
        <f t="shared" si="21"/>
        <v>0</v>
      </c>
      <c r="AP71" s="85"/>
      <c r="AQ71" s="84">
        <f t="shared" si="19"/>
        <v>0</v>
      </c>
      <c r="AR71" s="81"/>
      <c r="AS71" s="214">
        <f t="shared" si="18"/>
        <v>0</v>
      </c>
    </row>
    <row r="72" spans="1:45" x14ac:dyDescent="0.35">
      <c r="A72" s="159" t="s">
        <v>428</v>
      </c>
      <c r="B72" s="180"/>
      <c r="C72" s="83">
        <v>14652</v>
      </c>
      <c r="D72" s="107">
        <v>14652</v>
      </c>
      <c r="E72" s="304">
        <f t="shared" si="22"/>
        <v>14652</v>
      </c>
      <c r="F72" s="287"/>
      <c r="G72" s="288">
        <f t="shared" si="10"/>
        <v>0</v>
      </c>
      <c r="H72" s="289"/>
      <c r="I72" s="290">
        <f t="shared" si="11"/>
        <v>0</v>
      </c>
      <c r="J72" s="287"/>
      <c r="K72" s="288">
        <f t="shared" si="12"/>
        <v>0</v>
      </c>
      <c r="L72" s="289"/>
      <c r="M72" s="290">
        <f t="shared" si="13"/>
        <v>0</v>
      </c>
      <c r="N72" s="287"/>
      <c r="O72" s="288">
        <f t="shared" si="14"/>
        <v>0</v>
      </c>
      <c r="P72" s="289"/>
      <c r="Q72" s="290">
        <f t="shared" si="15"/>
        <v>0</v>
      </c>
      <c r="R72" s="287"/>
      <c r="S72" s="313">
        <f t="shared" si="16"/>
        <v>0</v>
      </c>
      <c r="T72" s="323">
        <f t="shared" si="17"/>
        <v>0</v>
      </c>
      <c r="U72" s="69">
        <v>2993.77</v>
      </c>
      <c r="V72" s="81">
        <v>2993.77</v>
      </c>
      <c r="W72" s="163"/>
      <c r="X72" s="85"/>
      <c r="Y72" s="81"/>
      <c r="Z72" s="81"/>
      <c r="AA72" s="84">
        <f t="shared" si="28"/>
        <v>11658.23</v>
      </c>
      <c r="AB72" s="85">
        <v>11658</v>
      </c>
      <c r="AC72" s="84">
        <f t="shared" si="29"/>
        <v>0</v>
      </c>
      <c r="AD72" s="81"/>
      <c r="AE72" s="84">
        <f t="shared" si="30"/>
        <v>0</v>
      </c>
      <c r="AF72" s="85"/>
      <c r="AG72" s="84">
        <f t="shared" si="31"/>
        <v>0</v>
      </c>
      <c r="AH72" s="85"/>
      <c r="AI72" s="84">
        <f t="shared" si="23"/>
        <v>0</v>
      </c>
      <c r="AJ72" s="85"/>
      <c r="AK72" s="84">
        <f t="shared" si="24"/>
        <v>0</v>
      </c>
      <c r="AL72" s="85"/>
      <c r="AM72" s="84">
        <f t="shared" si="20"/>
        <v>0</v>
      </c>
      <c r="AN72" s="85"/>
      <c r="AO72" s="84">
        <f t="shared" si="21"/>
        <v>0</v>
      </c>
      <c r="AP72" s="85"/>
      <c r="AQ72" s="84">
        <f t="shared" si="19"/>
        <v>0</v>
      </c>
      <c r="AR72" s="81"/>
      <c r="AS72" s="214">
        <f t="shared" si="18"/>
        <v>0</v>
      </c>
    </row>
    <row r="73" spans="1:45" x14ac:dyDescent="0.35">
      <c r="A73" s="159" t="s">
        <v>410</v>
      </c>
      <c r="B73" s="172"/>
      <c r="C73" s="195">
        <v>12155</v>
      </c>
      <c r="D73" s="107">
        <v>12155</v>
      </c>
      <c r="E73" s="304">
        <f t="shared" si="22"/>
        <v>12155</v>
      </c>
      <c r="F73" s="287"/>
      <c r="G73" s="288">
        <f t="shared" si="10"/>
        <v>0</v>
      </c>
      <c r="H73" s="289"/>
      <c r="I73" s="290">
        <f t="shared" si="11"/>
        <v>0</v>
      </c>
      <c r="J73" s="287"/>
      <c r="K73" s="288">
        <f t="shared" si="12"/>
        <v>0</v>
      </c>
      <c r="L73" s="289"/>
      <c r="M73" s="290">
        <f t="shared" si="13"/>
        <v>0</v>
      </c>
      <c r="N73" s="287"/>
      <c r="O73" s="288">
        <f t="shared" si="14"/>
        <v>0</v>
      </c>
      <c r="P73" s="289"/>
      <c r="Q73" s="290">
        <f t="shared" si="15"/>
        <v>0</v>
      </c>
      <c r="R73" s="287"/>
      <c r="S73" s="313">
        <f t="shared" si="16"/>
        <v>0</v>
      </c>
      <c r="T73" s="323">
        <f t="shared" si="17"/>
        <v>0</v>
      </c>
      <c r="U73" s="81">
        <v>3207.02</v>
      </c>
      <c r="V73" s="81">
        <v>3207.02</v>
      </c>
      <c r="W73" s="84">
        <v>5961.33</v>
      </c>
      <c r="X73" s="85">
        <v>5961.33</v>
      </c>
      <c r="Y73" s="48">
        <v>2987.07</v>
      </c>
      <c r="Z73" s="81">
        <v>2987</v>
      </c>
      <c r="AA73" s="84">
        <f t="shared" si="28"/>
        <v>-0.42000000000052751</v>
      </c>
      <c r="AB73" s="85"/>
      <c r="AC73" s="84">
        <f t="shared" si="29"/>
        <v>0</v>
      </c>
      <c r="AD73" s="81"/>
      <c r="AE73" s="84">
        <f t="shared" si="30"/>
        <v>0</v>
      </c>
      <c r="AF73" s="85"/>
      <c r="AG73" s="84">
        <f t="shared" si="31"/>
        <v>0</v>
      </c>
      <c r="AH73" s="85"/>
      <c r="AI73" s="84">
        <f t="shared" si="23"/>
        <v>0</v>
      </c>
      <c r="AJ73" s="85"/>
      <c r="AK73" s="84">
        <f t="shared" si="24"/>
        <v>0</v>
      </c>
      <c r="AL73" s="85"/>
      <c r="AM73" s="84">
        <f t="shared" si="20"/>
        <v>0</v>
      </c>
      <c r="AN73" s="85"/>
      <c r="AO73" s="84">
        <f t="shared" si="21"/>
        <v>0</v>
      </c>
      <c r="AP73" s="85"/>
      <c r="AQ73" s="84">
        <f t="shared" si="19"/>
        <v>0</v>
      </c>
      <c r="AR73" s="81"/>
      <c r="AS73" s="214">
        <f t="shared" si="18"/>
        <v>0</v>
      </c>
    </row>
    <row r="74" spans="1:45" x14ac:dyDescent="0.35">
      <c r="A74" s="100" t="s">
        <v>363</v>
      </c>
      <c r="B74" s="172"/>
      <c r="C74" s="195">
        <f>'2019-20'!AC31</f>
        <v>16524.3</v>
      </c>
      <c r="D74" s="107">
        <f>C74</f>
        <v>16524.3</v>
      </c>
      <c r="E74" s="304">
        <f t="shared" si="22"/>
        <v>16524.3</v>
      </c>
      <c r="F74" s="287"/>
      <c r="G74" s="288">
        <f t="shared" si="10"/>
        <v>0</v>
      </c>
      <c r="H74" s="289">
        <v>4668</v>
      </c>
      <c r="I74" s="290">
        <f t="shared" si="11"/>
        <v>0.28249305568163252</v>
      </c>
      <c r="J74" s="287">
        <v>448</v>
      </c>
      <c r="K74" s="288">
        <f t="shared" si="12"/>
        <v>2.7111587177671672E-2</v>
      </c>
      <c r="L74" s="289">
        <v>5122</v>
      </c>
      <c r="M74" s="290">
        <f t="shared" si="13"/>
        <v>0.30996774447329084</v>
      </c>
      <c r="N74" s="287">
        <v>4954</v>
      </c>
      <c r="O74" s="288">
        <f t="shared" si="14"/>
        <v>0.29980089928166398</v>
      </c>
      <c r="P74" s="289"/>
      <c r="Q74" s="290">
        <f t="shared" si="15"/>
        <v>0</v>
      </c>
      <c r="R74" s="287">
        <v>835</v>
      </c>
      <c r="S74" s="313">
        <f t="shared" si="16"/>
        <v>5.0531641279812155E-2</v>
      </c>
      <c r="T74" s="323">
        <f t="shared" si="17"/>
        <v>0.96990492789407123</v>
      </c>
      <c r="U74" s="48"/>
      <c r="V74" s="81"/>
      <c r="W74" s="84">
        <v>12600.83</v>
      </c>
      <c r="X74" s="85">
        <v>12600.83</v>
      </c>
      <c r="Y74" s="48">
        <f>C74-W74</f>
        <v>3923.4699999999993</v>
      </c>
      <c r="Z74" s="81">
        <v>3923</v>
      </c>
      <c r="AA74" s="84">
        <f t="shared" si="28"/>
        <v>0</v>
      </c>
      <c r="AB74" s="85"/>
      <c r="AC74" s="84">
        <f t="shared" si="29"/>
        <v>0</v>
      </c>
      <c r="AD74" s="81"/>
      <c r="AE74" s="84">
        <f t="shared" si="30"/>
        <v>0</v>
      </c>
      <c r="AF74" s="85"/>
      <c r="AG74" s="84">
        <f t="shared" si="31"/>
        <v>0</v>
      </c>
      <c r="AH74" s="85"/>
      <c r="AI74" s="84">
        <f t="shared" si="23"/>
        <v>0</v>
      </c>
      <c r="AJ74" s="85"/>
      <c r="AK74" s="84">
        <f t="shared" si="24"/>
        <v>0</v>
      </c>
      <c r="AL74" s="85"/>
      <c r="AM74" s="84">
        <f t="shared" si="20"/>
        <v>0</v>
      </c>
      <c r="AN74" s="85"/>
      <c r="AO74" s="84">
        <f t="shared" si="21"/>
        <v>0</v>
      </c>
      <c r="AP74" s="85"/>
      <c r="AQ74" s="84">
        <f t="shared" si="19"/>
        <v>0</v>
      </c>
      <c r="AR74" s="81"/>
      <c r="AS74" s="214">
        <f t="shared" si="18"/>
        <v>0</v>
      </c>
    </row>
    <row r="75" spans="1:45" x14ac:dyDescent="0.35">
      <c r="A75" s="159" t="s">
        <v>402</v>
      </c>
      <c r="B75" s="170"/>
      <c r="C75" s="83">
        <f>'2019-20'!AC30</f>
        <v>13937.53</v>
      </c>
      <c r="D75" s="107">
        <f>C75</f>
        <v>13937.53</v>
      </c>
      <c r="E75" s="304">
        <f t="shared" si="22"/>
        <v>13937.53</v>
      </c>
      <c r="F75" s="287"/>
      <c r="G75" s="288">
        <f t="shared" si="10"/>
        <v>0</v>
      </c>
      <c r="H75" s="289"/>
      <c r="I75" s="290">
        <f t="shared" si="11"/>
        <v>0</v>
      </c>
      <c r="J75" s="287"/>
      <c r="K75" s="288">
        <f t="shared" si="12"/>
        <v>0</v>
      </c>
      <c r="L75" s="289"/>
      <c r="M75" s="290">
        <f t="shared" si="13"/>
        <v>0</v>
      </c>
      <c r="N75" s="287"/>
      <c r="O75" s="288">
        <f t="shared" si="14"/>
        <v>0</v>
      </c>
      <c r="P75" s="289"/>
      <c r="Q75" s="290">
        <f t="shared" si="15"/>
        <v>0</v>
      </c>
      <c r="R75" s="287"/>
      <c r="S75" s="313">
        <f t="shared" si="16"/>
        <v>0</v>
      </c>
      <c r="T75" s="323">
        <f t="shared" si="17"/>
        <v>0</v>
      </c>
      <c r="U75" s="81">
        <v>6587.11</v>
      </c>
      <c r="V75" s="81">
        <v>6587.11</v>
      </c>
      <c r="W75" s="84">
        <v>5042.38</v>
      </c>
      <c r="X75" s="85">
        <v>5042.38</v>
      </c>
      <c r="Y75" s="48">
        <f>D75-U75-W75</f>
        <v>2308.0400000000009</v>
      </c>
      <c r="Z75" s="81">
        <v>2309</v>
      </c>
      <c r="AA75" s="84">
        <f t="shared" si="28"/>
        <v>0</v>
      </c>
      <c r="AB75" s="85"/>
      <c r="AC75" s="84">
        <f t="shared" si="29"/>
        <v>0</v>
      </c>
      <c r="AD75" s="81"/>
      <c r="AE75" s="84">
        <f t="shared" si="30"/>
        <v>0</v>
      </c>
      <c r="AF75" s="85"/>
      <c r="AG75" s="84">
        <f t="shared" si="31"/>
        <v>0</v>
      </c>
      <c r="AH75" s="85"/>
      <c r="AI75" s="84">
        <f t="shared" si="23"/>
        <v>0</v>
      </c>
      <c r="AJ75" s="85"/>
      <c r="AK75" s="84">
        <f t="shared" si="24"/>
        <v>0</v>
      </c>
      <c r="AL75" s="85"/>
      <c r="AM75" s="84">
        <f t="shared" si="20"/>
        <v>0</v>
      </c>
      <c r="AN75" s="85"/>
      <c r="AO75" s="84">
        <f t="shared" si="21"/>
        <v>0</v>
      </c>
      <c r="AP75" s="85"/>
      <c r="AQ75" s="84">
        <f t="shared" si="19"/>
        <v>0</v>
      </c>
      <c r="AR75" s="81"/>
      <c r="AS75" s="214">
        <f t="shared" si="18"/>
        <v>0</v>
      </c>
    </row>
    <row r="76" spans="1:45" x14ac:dyDescent="0.35">
      <c r="A76" s="41" t="s">
        <v>221</v>
      </c>
      <c r="B76" s="172"/>
      <c r="C76" s="83">
        <f>'2019-20'!AC32</f>
        <v>43485.659999999996</v>
      </c>
      <c r="D76" s="107">
        <f>C76</f>
        <v>43485.659999999996</v>
      </c>
      <c r="E76" s="304">
        <f t="shared" si="22"/>
        <v>43485.659999999996</v>
      </c>
      <c r="F76" s="287"/>
      <c r="G76" s="288">
        <f t="shared" si="10"/>
        <v>0</v>
      </c>
      <c r="H76" s="289"/>
      <c r="I76" s="290">
        <f t="shared" si="11"/>
        <v>0</v>
      </c>
      <c r="J76" s="287"/>
      <c r="K76" s="288">
        <f t="shared" si="12"/>
        <v>0</v>
      </c>
      <c r="L76" s="289"/>
      <c r="M76" s="290">
        <f t="shared" si="13"/>
        <v>0</v>
      </c>
      <c r="N76" s="287"/>
      <c r="O76" s="288">
        <f t="shared" si="14"/>
        <v>0</v>
      </c>
      <c r="P76" s="289"/>
      <c r="Q76" s="290">
        <f t="shared" si="15"/>
        <v>0</v>
      </c>
      <c r="R76" s="287"/>
      <c r="S76" s="313">
        <f t="shared" si="16"/>
        <v>0</v>
      </c>
      <c r="T76" s="323">
        <f t="shared" si="17"/>
        <v>0</v>
      </c>
      <c r="U76" s="48">
        <f>6787.86+9328.37</f>
        <v>16116.23</v>
      </c>
      <c r="V76" s="81">
        <v>16116</v>
      </c>
      <c r="W76" s="84">
        <f>23306.67+1656.59</f>
        <v>24963.26</v>
      </c>
      <c r="X76" s="85">
        <f>23306.67+1656.59</f>
        <v>24963.26</v>
      </c>
      <c r="Y76" s="48">
        <f>D76-U76-W76</f>
        <v>2406.1699999999983</v>
      </c>
      <c r="Z76" s="81">
        <v>2406</v>
      </c>
      <c r="AA76" s="84">
        <f t="shared" si="28"/>
        <v>0</v>
      </c>
      <c r="AB76" s="85"/>
      <c r="AC76" s="84">
        <f t="shared" si="29"/>
        <v>0</v>
      </c>
      <c r="AD76" s="81"/>
      <c r="AE76" s="84">
        <f t="shared" si="30"/>
        <v>0</v>
      </c>
      <c r="AF76" s="85"/>
      <c r="AG76" s="84">
        <f t="shared" si="31"/>
        <v>0</v>
      </c>
      <c r="AH76" s="85"/>
      <c r="AI76" s="84">
        <f t="shared" si="23"/>
        <v>0</v>
      </c>
      <c r="AJ76" s="85"/>
      <c r="AK76" s="84">
        <f t="shared" si="24"/>
        <v>0</v>
      </c>
      <c r="AL76" s="85"/>
      <c r="AM76" s="84">
        <f t="shared" si="20"/>
        <v>0</v>
      </c>
      <c r="AN76" s="85"/>
      <c r="AO76" s="84">
        <f t="shared" si="21"/>
        <v>0</v>
      </c>
      <c r="AP76" s="85"/>
      <c r="AQ76" s="84">
        <f t="shared" si="19"/>
        <v>0</v>
      </c>
      <c r="AR76" s="81"/>
      <c r="AS76" s="214">
        <f t="shared" si="18"/>
        <v>0</v>
      </c>
    </row>
    <row r="77" spans="1:45" x14ac:dyDescent="0.35">
      <c r="A77" s="66" t="s">
        <v>434</v>
      </c>
      <c r="B77" s="174"/>
      <c r="C77" s="83">
        <v>1657.27</v>
      </c>
      <c r="D77" s="107">
        <v>1657.27</v>
      </c>
      <c r="E77" s="304">
        <f t="shared" si="22"/>
        <v>1657.27</v>
      </c>
      <c r="F77" s="287"/>
      <c r="G77" s="288">
        <f t="shared" si="10"/>
        <v>0</v>
      </c>
      <c r="H77" s="289"/>
      <c r="I77" s="290">
        <f t="shared" si="11"/>
        <v>0</v>
      </c>
      <c r="J77" s="287"/>
      <c r="K77" s="288">
        <f t="shared" si="12"/>
        <v>0</v>
      </c>
      <c r="L77" s="289"/>
      <c r="M77" s="290">
        <f t="shared" si="13"/>
        <v>0</v>
      </c>
      <c r="N77" s="287">
        <v>1657</v>
      </c>
      <c r="O77" s="288">
        <f t="shared" si="14"/>
        <v>0.99983708146530137</v>
      </c>
      <c r="P77" s="289"/>
      <c r="Q77" s="290">
        <f t="shared" si="15"/>
        <v>0</v>
      </c>
      <c r="R77" s="287"/>
      <c r="S77" s="313">
        <f t="shared" si="16"/>
        <v>0</v>
      </c>
      <c r="T77" s="323">
        <f t="shared" si="17"/>
        <v>0.99983708146530137</v>
      </c>
      <c r="U77" s="81"/>
      <c r="V77" s="81"/>
      <c r="W77" s="84">
        <v>1657.27</v>
      </c>
      <c r="X77" s="85">
        <v>1657.27</v>
      </c>
      <c r="Y77" s="48"/>
      <c r="Z77" s="81"/>
      <c r="AA77" s="84">
        <f t="shared" si="28"/>
        <v>0</v>
      </c>
      <c r="AB77" s="85"/>
      <c r="AC77" s="84">
        <f t="shared" si="29"/>
        <v>0</v>
      </c>
      <c r="AD77" s="81"/>
      <c r="AE77" s="84">
        <f t="shared" si="30"/>
        <v>0</v>
      </c>
      <c r="AF77" s="85"/>
      <c r="AG77" s="84">
        <f t="shared" si="31"/>
        <v>0</v>
      </c>
      <c r="AH77" s="85"/>
      <c r="AI77" s="84">
        <f t="shared" si="23"/>
        <v>0</v>
      </c>
      <c r="AJ77" s="85"/>
      <c r="AK77" s="84">
        <f t="shared" si="24"/>
        <v>0</v>
      </c>
      <c r="AL77" s="85"/>
      <c r="AM77" s="84">
        <f t="shared" si="20"/>
        <v>0</v>
      </c>
      <c r="AN77" s="85"/>
      <c r="AO77" s="84">
        <f t="shared" si="21"/>
        <v>0</v>
      </c>
      <c r="AP77" s="85"/>
      <c r="AQ77" s="84">
        <f t="shared" si="19"/>
        <v>0</v>
      </c>
      <c r="AR77" s="81"/>
      <c r="AS77" s="214">
        <f t="shared" si="18"/>
        <v>0</v>
      </c>
    </row>
    <row r="78" spans="1:45" x14ac:dyDescent="0.35">
      <c r="A78" s="161" t="s">
        <v>414</v>
      </c>
      <c r="B78" s="177"/>
      <c r="C78" s="83">
        <f>'2019-20'!AC25+2846.05+1857.2</f>
        <v>18115.079999999998</v>
      </c>
      <c r="D78" s="107">
        <f t="shared" ref="D78:D80" si="32">C78</f>
        <v>18115.079999999998</v>
      </c>
      <c r="E78" s="304">
        <f t="shared" si="22"/>
        <v>18115.079999999998</v>
      </c>
      <c r="F78" s="287">
        <v>5295</v>
      </c>
      <c r="G78" s="288">
        <f t="shared" ref="G78:G80" si="33">F78/E78</f>
        <v>0.29229790870368777</v>
      </c>
      <c r="H78" s="289">
        <v>2882</v>
      </c>
      <c r="I78" s="290">
        <f t="shared" ref="I78:I80" si="34">H78/E78</f>
        <v>0.15909397032748407</v>
      </c>
      <c r="J78" s="287"/>
      <c r="K78" s="288">
        <f t="shared" ref="K78:K80" si="35">J78/E78</f>
        <v>0</v>
      </c>
      <c r="L78" s="289">
        <v>7090</v>
      </c>
      <c r="M78" s="290">
        <f t="shared" ref="M78:M80" si="36">L78/E78</f>
        <v>0.39138662374110411</v>
      </c>
      <c r="N78" s="287"/>
      <c r="O78" s="288">
        <f t="shared" ref="O78:O80" si="37">N78/E78</f>
        <v>0</v>
      </c>
      <c r="P78" s="289"/>
      <c r="Q78" s="290">
        <f t="shared" ref="Q78:Q80" si="38">P78/E78</f>
        <v>0</v>
      </c>
      <c r="R78" s="287">
        <v>2846</v>
      </c>
      <c r="S78" s="313">
        <f t="shared" ref="S78:S80" si="39">R78/E78</f>
        <v>0.15710667576405957</v>
      </c>
      <c r="T78" s="323">
        <f t="shared" ref="T78:T84" si="40">S78+Q78+O78+M78+K78+I78+G78</f>
        <v>0.99988517853633552</v>
      </c>
      <c r="U78" s="81">
        <v>9499.23</v>
      </c>
      <c r="V78" s="81">
        <v>9499.23</v>
      </c>
      <c r="W78" s="163"/>
      <c r="X78" s="85"/>
      <c r="Y78" s="81">
        <f>D78-U78-2846.05-1857.2</f>
        <v>3912.5999999999985</v>
      </c>
      <c r="Z78" s="81">
        <v>3913</v>
      </c>
      <c r="AA78" s="84">
        <v>0</v>
      </c>
      <c r="AB78" s="85"/>
      <c r="AC78" s="84">
        <v>0</v>
      </c>
      <c r="AD78" s="81"/>
      <c r="AE78" s="84">
        <v>0</v>
      </c>
      <c r="AF78" s="85"/>
      <c r="AG78" s="84">
        <v>0</v>
      </c>
      <c r="AH78" s="85"/>
      <c r="AI78" s="84">
        <v>0</v>
      </c>
      <c r="AJ78" s="85"/>
      <c r="AK78" s="230">
        <f t="shared" si="24"/>
        <v>4703.25</v>
      </c>
      <c r="AL78" s="231">
        <v>4703</v>
      </c>
      <c r="AM78" s="84">
        <f t="shared" si="20"/>
        <v>0</v>
      </c>
      <c r="AN78" s="85"/>
      <c r="AO78" s="84">
        <f t="shared" si="21"/>
        <v>0</v>
      </c>
      <c r="AP78" s="85"/>
      <c r="AQ78" s="84">
        <f t="shared" si="19"/>
        <v>0</v>
      </c>
      <c r="AR78" s="81"/>
      <c r="AS78" s="214">
        <f t="shared" si="18"/>
        <v>0</v>
      </c>
    </row>
    <row r="79" spans="1:45" x14ac:dyDescent="0.35">
      <c r="A79" s="159" t="s">
        <v>387</v>
      </c>
      <c r="B79" s="174"/>
      <c r="C79" s="83">
        <f>'2019-20'!AC28</f>
        <v>15164.25</v>
      </c>
      <c r="D79" s="107">
        <f t="shared" si="32"/>
        <v>15164.25</v>
      </c>
      <c r="E79" s="304">
        <f t="shared" si="22"/>
        <v>15164.25</v>
      </c>
      <c r="F79" s="287"/>
      <c r="G79" s="288">
        <f t="shared" si="33"/>
        <v>0</v>
      </c>
      <c r="H79" s="289"/>
      <c r="I79" s="290">
        <f t="shared" si="34"/>
        <v>0</v>
      </c>
      <c r="J79" s="287"/>
      <c r="K79" s="288">
        <f t="shared" si="35"/>
        <v>0</v>
      </c>
      <c r="L79" s="289"/>
      <c r="M79" s="290">
        <f t="shared" si="36"/>
        <v>0</v>
      </c>
      <c r="N79" s="287"/>
      <c r="O79" s="288">
        <f t="shared" si="37"/>
        <v>0</v>
      </c>
      <c r="P79" s="289"/>
      <c r="Q79" s="290">
        <f t="shared" si="38"/>
        <v>0</v>
      </c>
      <c r="R79" s="287"/>
      <c r="S79" s="313">
        <f t="shared" si="39"/>
        <v>0</v>
      </c>
      <c r="T79" s="323">
        <f t="shared" si="40"/>
        <v>0</v>
      </c>
      <c r="U79" s="69">
        <v>12569.76</v>
      </c>
      <c r="V79" s="81">
        <v>12569.76</v>
      </c>
      <c r="W79" s="84"/>
      <c r="X79" s="85"/>
      <c r="Y79" s="48">
        <f>D79-U79-W79</f>
        <v>2594.4899999999998</v>
      </c>
      <c r="Z79" s="81">
        <v>2594</v>
      </c>
      <c r="AA79" s="84">
        <f>D79-U79-W79-Y79</f>
        <v>0</v>
      </c>
      <c r="AB79" s="85"/>
      <c r="AC79" s="84">
        <f>D79-U79-W79-Y79-AA79</f>
        <v>0</v>
      </c>
      <c r="AD79" s="81"/>
      <c r="AE79" s="84">
        <f>D79-U79-W79-Y79-AA79-AC79</f>
        <v>0</v>
      </c>
      <c r="AF79" s="85"/>
      <c r="AG79" s="84">
        <f>D79-U79-W79-Y79-AA79-AC79-AE79</f>
        <v>0</v>
      </c>
      <c r="AH79" s="85"/>
      <c r="AI79" s="84">
        <f>D79-U79-W79-Y79-AA79-AC79-AE79-AG79</f>
        <v>0</v>
      </c>
      <c r="AJ79" s="85"/>
      <c r="AK79" s="84">
        <f t="shared" si="24"/>
        <v>0</v>
      </c>
      <c r="AL79" s="85"/>
      <c r="AM79" s="84">
        <f t="shared" si="20"/>
        <v>0</v>
      </c>
      <c r="AN79" s="85"/>
      <c r="AO79" s="84">
        <f t="shared" si="21"/>
        <v>0</v>
      </c>
      <c r="AP79" s="85"/>
      <c r="AQ79" s="84">
        <f t="shared" si="19"/>
        <v>0</v>
      </c>
      <c r="AR79" s="81"/>
      <c r="AS79" s="214">
        <f t="shared" si="18"/>
        <v>0</v>
      </c>
    </row>
    <row r="80" spans="1:45" x14ac:dyDescent="0.35">
      <c r="A80" s="187" t="s">
        <v>408</v>
      </c>
      <c r="B80" s="173"/>
      <c r="C80" s="83">
        <f>'2019-20'!AC33</f>
        <v>6739.369999999999</v>
      </c>
      <c r="D80" s="107">
        <f t="shared" si="32"/>
        <v>6739.369999999999</v>
      </c>
      <c r="E80" s="304">
        <f t="shared" si="22"/>
        <v>6739.369999999999</v>
      </c>
      <c r="F80" s="287"/>
      <c r="G80" s="288">
        <f t="shared" si="33"/>
        <v>0</v>
      </c>
      <c r="H80" s="289">
        <v>6739</v>
      </c>
      <c r="I80" s="290">
        <f t="shared" si="34"/>
        <v>0.99994509872584547</v>
      </c>
      <c r="J80" s="287"/>
      <c r="K80" s="288">
        <f t="shared" si="35"/>
        <v>0</v>
      </c>
      <c r="L80" s="289"/>
      <c r="M80" s="290">
        <f t="shared" si="36"/>
        <v>0</v>
      </c>
      <c r="N80" s="287"/>
      <c r="O80" s="288">
        <f t="shared" si="37"/>
        <v>0</v>
      </c>
      <c r="P80" s="289"/>
      <c r="Q80" s="290">
        <f t="shared" si="38"/>
        <v>0</v>
      </c>
      <c r="R80" s="287"/>
      <c r="S80" s="313">
        <f t="shared" si="39"/>
        <v>0</v>
      </c>
      <c r="T80" s="323">
        <f t="shared" si="40"/>
        <v>0.99994509872584547</v>
      </c>
      <c r="U80" s="48">
        <f>D80</f>
        <v>6739.369999999999</v>
      </c>
      <c r="V80" s="81">
        <v>6739</v>
      </c>
      <c r="W80" s="84"/>
      <c r="X80" s="85"/>
      <c r="Y80" s="48"/>
      <c r="Z80" s="81"/>
      <c r="AA80" s="84">
        <f>D80-U80-W80-Y80</f>
        <v>0</v>
      </c>
      <c r="AB80" s="85"/>
      <c r="AC80" s="84">
        <f>D80-U80-W80-Y80-AA80</f>
        <v>0</v>
      </c>
      <c r="AD80" s="81"/>
      <c r="AE80" s="84">
        <f>D80-U80-W80-Y80-AA80-AC80</f>
        <v>0</v>
      </c>
      <c r="AF80" s="85"/>
      <c r="AG80" s="84">
        <f>D80-U80-W80-Y80-AA80-AC80-AE80</f>
        <v>0</v>
      </c>
      <c r="AH80" s="85"/>
      <c r="AI80" s="84">
        <f>D80-U80-W80-Y80-AA80-AC80-AE80-AG80</f>
        <v>0</v>
      </c>
      <c r="AJ80" s="85"/>
      <c r="AK80" s="84">
        <f t="shared" si="24"/>
        <v>0</v>
      </c>
      <c r="AL80" s="85"/>
      <c r="AM80" s="84">
        <f t="shared" si="20"/>
        <v>0</v>
      </c>
      <c r="AN80" s="85"/>
      <c r="AO80" s="84">
        <f t="shared" si="21"/>
        <v>0</v>
      </c>
      <c r="AP80" s="85"/>
      <c r="AQ80" s="84">
        <f t="shared" si="19"/>
        <v>0</v>
      </c>
      <c r="AR80" s="81"/>
      <c r="AS80" s="214">
        <f t="shared" si="18"/>
        <v>0</v>
      </c>
    </row>
    <row r="81" spans="1:45" x14ac:dyDescent="0.35">
      <c r="A81" s="100"/>
      <c r="B81" s="172"/>
      <c r="C81" s="107"/>
      <c r="D81" s="107"/>
      <c r="E81" s="304"/>
      <c r="F81" s="287"/>
      <c r="G81" s="288"/>
      <c r="H81" s="289"/>
      <c r="I81" s="289"/>
      <c r="J81" s="287"/>
      <c r="K81" s="287"/>
      <c r="L81" s="289"/>
      <c r="M81" s="289"/>
      <c r="N81" s="287"/>
      <c r="O81" s="287"/>
      <c r="P81" s="289"/>
      <c r="Q81" s="289"/>
      <c r="R81" s="287"/>
      <c r="S81" s="314"/>
      <c r="T81" s="323"/>
      <c r="U81" s="81"/>
      <c r="V81" s="81"/>
      <c r="W81" s="84"/>
      <c r="X81" s="85"/>
      <c r="Y81" s="81"/>
      <c r="Z81" s="81"/>
      <c r="AA81" s="84"/>
      <c r="AB81" s="85"/>
      <c r="AC81" s="84"/>
      <c r="AD81" s="81"/>
      <c r="AE81" s="84"/>
      <c r="AF81" s="85"/>
      <c r="AG81" s="84"/>
      <c r="AH81" s="85"/>
      <c r="AI81" s="84"/>
      <c r="AJ81" s="85"/>
      <c r="AK81" s="84"/>
      <c r="AL81" s="85"/>
      <c r="AM81" s="84"/>
      <c r="AN81" s="85"/>
      <c r="AO81" s="84"/>
      <c r="AP81" s="85"/>
      <c r="AQ81" s="84"/>
      <c r="AR81" s="81"/>
      <c r="AS81" s="214"/>
    </row>
    <row r="82" spans="1:45" x14ac:dyDescent="0.35">
      <c r="A82" s="159"/>
      <c r="B82" s="172"/>
      <c r="C82" s="107"/>
      <c r="D82" s="107"/>
      <c r="E82" s="304"/>
      <c r="F82" s="291"/>
      <c r="G82" s="292"/>
      <c r="H82" s="293"/>
      <c r="I82" s="293"/>
      <c r="J82" s="291"/>
      <c r="K82" s="291"/>
      <c r="L82" s="293"/>
      <c r="M82" s="293"/>
      <c r="N82" s="291"/>
      <c r="O82" s="291"/>
      <c r="P82" s="293"/>
      <c r="Q82" s="293"/>
      <c r="R82" s="291"/>
      <c r="S82" s="315"/>
      <c r="T82" s="323"/>
      <c r="U82" s="81"/>
      <c r="V82" s="81"/>
      <c r="W82" s="84"/>
      <c r="X82" s="85"/>
      <c r="Y82" s="81"/>
      <c r="Z82" s="81"/>
      <c r="AA82" s="84"/>
      <c r="AB82" s="85"/>
      <c r="AC82" s="84"/>
      <c r="AD82" s="81"/>
      <c r="AE82" s="84"/>
      <c r="AF82" s="85"/>
      <c r="AG82" s="84"/>
      <c r="AH82" s="85"/>
      <c r="AI82" s="84"/>
      <c r="AJ82" s="85"/>
      <c r="AK82" s="84"/>
      <c r="AL82" s="85"/>
      <c r="AM82" s="84"/>
      <c r="AN82" s="85"/>
      <c r="AO82" s="84"/>
      <c r="AP82" s="85"/>
      <c r="AQ82" s="84"/>
      <c r="AR82" s="81"/>
      <c r="AS82" s="214"/>
    </row>
    <row r="83" spans="1:45" x14ac:dyDescent="0.35">
      <c r="A83" s="159"/>
      <c r="B83" s="173"/>
      <c r="C83" s="83"/>
      <c r="D83" s="83"/>
      <c r="E83" s="301"/>
      <c r="F83" s="285"/>
      <c r="G83" s="294"/>
      <c r="H83" s="286"/>
      <c r="I83" s="286"/>
      <c r="J83" s="285"/>
      <c r="K83" s="285"/>
      <c r="L83" s="286"/>
      <c r="M83" s="286"/>
      <c r="N83" s="285"/>
      <c r="O83" s="285"/>
      <c r="P83" s="286"/>
      <c r="Q83" s="286"/>
      <c r="R83" s="285"/>
      <c r="S83" s="312"/>
      <c r="T83" s="323"/>
      <c r="V83" s="81"/>
      <c r="W83" s="84"/>
      <c r="X83" s="85"/>
      <c r="Y83" s="81"/>
      <c r="Z83" s="81"/>
      <c r="AA83" s="84"/>
      <c r="AB83" s="85"/>
      <c r="AC83" s="84"/>
      <c r="AD83" s="81"/>
      <c r="AE83" s="84"/>
      <c r="AF83" s="85"/>
      <c r="AG83" s="84"/>
      <c r="AH83" s="85"/>
      <c r="AI83" s="84"/>
      <c r="AJ83" s="85"/>
      <c r="AK83" s="84"/>
      <c r="AL83" s="85"/>
      <c r="AM83" s="84"/>
      <c r="AN83" s="85"/>
      <c r="AO83" s="84"/>
      <c r="AP83" s="85"/>
      <c r="AQ83" s="84"/>
      <c r="AR83" s="81"/>
      <c r="AS83" s="214"/>
    </row>
    <row r="84" spans="1:45" ht="13.9" thickBot="1" x14ac:dyDescent="0.4">
      <c r="A84" s="159"/>
      <c r="B84" s="206"/>
      <c r="C84" s="207">
        <f>SUM(C7:C83)</f>
        <v>2192400.37</v>
      </c>
      <c r="D84" s="207">
        <f>SUM(D7:D83)</f>
        <v>2193304.54</v>
      </c>
      <c r="E84" s="310">
        <f>SUM(E13:E81)</f>
        <v>1412267.99</v>
      </c>
      <c r="F84" s="306">
        <f>SUM(F13:F81)</f>
        <v>340578.59</v>
      </c>
      <c r="G84" s="307">
        <f>F84/E84</f>
        <v>0.24115719708410302</v>
      </c>
      <c r="H84" s="308">
        <f>SUM(H13:H81)</f>
        <v>288432.52</v>
      </c>
      <c r="I84" s="309">
        <f>H84/E84</f>
        <v>0.20423356051566391</v>
      </c>
      <c r="J84" s="306">
        <f>SUM(J13:J81)</f>
        <v>228912.75</v>
      </c>
      <c r="K84" s="307">
        <f>J84/E84</f>
        <v>0.16208874775955234</v>
      </c>
      <c r="L84" s="308">
        <f>SUM(L13:L81)</f>
        <v>251152.92</v>
      </c>
      <c r="M84" s="309">
        <f>L84/E84</f>
        <v>0.1778365875162263</v>
      </c>
      <c r="N84" s="306">
        <f>SUM(L13:L81)</f>
        <v>251152.92</v>
      </c>
      <c r="O84" s="307">
        <f>N84/E84</f>
        <v>0.1778365875162263</v>
      </c>
      <c r="P84" s="308">
        <f>SUM(P13:P81)</f>
        <v>90839.94</v>
      </c>
      <c r="Q84" s="309">
        <f>P84/E84</f>
        <v>6.4322027152934336E-2</v>
      </c>
      <c r="R84" s="306">
        <f>SUM(R13:R81)</f>
        <v>67469.5</v>
      </c>
      <c r="S84" s="316">
        <f>R84/E84</f>
        <v>4.7773864788934285E-2</v>
      </c>
      <c r="T84" s="324">
        <f t="shared" si="40"/>
        <v>1.0752485723336405</v>
      </c>
      <c r="U84" s="76"/>
      <c r="V84" s="220"/>
      <c r="W84" s="153"/>
      <c r="X84" s="144"/>
      <c r="Y84" s="147"/>
      <c r="Z84" s="147"/>
      <c r="AA84" s="153"/>
      <c r="AB84" s="144"/>
      <c r="AC84" s="153"/>
      <c r="AD84" s="147"/>
      <c r="AE84" s="153"/>
      <c r="AF84" s="144"/>
      <c r="AG84" s="153"/>
      <c r="AH84" s="144"/>
      <c r="AI84" s="153"/>
      <c r="AJ84" s="144"/>
      <c r="AK84" s="153"/>
      <c r="AL84" s="144"/>
      <c r="AM84" s="153"/>
      <c r="AN84" s="144"/>
      <c r="AO84" s="153"/>
      <c r="AP84" s="144"/>
      <c r="AQ84" s="153"/>
      <c r="AR84" s="147"/>
      <c r="AS84" s="215"/>
    </row>
    <row r="85" spans="1:45" ht="13.9" thickTop="1" x14ac:dyDescent="0.35">
      <c r="A85" s="188"/>
      <c r="B85" s="189"/>
      <c r="C85" s="190"/>
      <c r="D85" s="190"/>
      <c r="E85" s="190"/>
      <c r="F85" s="190"/>
      <c r="G85" s="295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V85" s="48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5"/>
      <c r="AS85" s="48"/>
    </row>
    <row r="86" spans="1:45" x14ac:dyDescent="0.35">
      <c r="A86" s="88" t="s">
        <v>155</v>
      </c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53">
        <f>SUM(U7:U83)</f>
        <v>93516.729999999981</v>
      </c>
      <c r="V86" s="53"/>
      <c r="W86" s="53">
        <f>SUM(W7:W83)</f>
        <v>165306.57999999999</v>
      </c>
      <c r="X86" s="53"/>
      <c r="Y86" s="53">
        <f>SUM(Y7:Y83)</f>
        <v>78895.310000000012</v>
      </c>
      <c r="Z86" s="53"/>
      <c r="AA86" s="53">
        <f>SUM(AA7:AA83)</f>
        <v>124585.97</v>
      </c>
      <c r="AB86" s="53"/>
      <c r="AC86" s="53">
        <f>SUM(AC7:AC83)</f>
        <v>109676.24000000002</v>
      </c>
      <c r="AD86" s="53"/>
      <c r="AE86" s="53">
        <f>SUM(AE7:AE83)</f>
        <v>132027.00999999998</v>
      </c>
      <c r="AF86" s="53"/>
      <c r="AG86" s="53">
        <f>SUM(AG7:AG83)</f>
        <v>70833.85000000002</v>
      </c>
      <c r="AH86" s="53"/>
      <c r="AI86" s="89">
        <f>SUM(AI7:AI81)</f>
        <v>124621.13</v>
      </c>
      <c r="AJ86" s="89"/>
      <c r="AK86" s="89">
        <f>SUM(AK7:AK81)</f>
        <v>109740.87000000001</v>
      </c>
      <c r="AL86" s="89"/>
      <c r="AM86" s="53">
        <f>SUM(AM7:AM85)</f>
        <v>153754.22999999998</v>
      </c>
      <c r="AN86" s="89"/>
      <c r="AO86" s="89">
        <f>SUM(AO7:AO81)</f>
        <v>71889</v>
      </c>
      <c r="AP86" s="89"/>
      <c r="AQ86" s="89">
        <f>SUM(AQ7:AQ81)</f>
        <v>173482.84</v>
      </c>
      <c r="AR86" s="90"/>
    </row>
    <row r="87" spans="1:45" x14ac:dyDescent="0.35">
      <c r="A87" s="92" t="s">
        <v>226</v>
      </c>
      <c r="B87" s="157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>
        <f>SUM(V7:V84)</f>
        <v>93515.93</v>
      </c>
      <c r="W87" s="93"/>
      <c r="X87" s="93">
        <f>SUM(X7:X84)</f>
        <v>165306.57999999999</v>
      </c>
      <c r="Y87" s="93"/>
      <c r="Z87" s="93">
        <f>SUM(Z7:Z84)</f>
        <v>78895</v>
      </c>
      <c r="AA87" s="93"/>
      <c r="AB87" s="93">
        <f>SUM(AB7:AB84)</f>
        <v>124587</v>
      </c>
      <c r="AC87" s="93"/>
      <c r="AD87" s="93">
        <f>SUM(AD7:AD84)</f>
        <v>109676.36</v>
      </c>
      <c r="AE87" s="93"/>
      <c r="AF87" s="93">
        <f>SUM(AF7:AF84)</f>
        <v>132023.72999999998</v>
      </c>
      <c r="AG87" s="93"/>
      <c r="AH87" s="93">
        <f>SUM(AH7:AH84)</f>
        <v>69098.850000000006</v>
      </c>
      <c r="AI87" s="93"/>
      <c r="AJ87" s="93">
        <f>SUM(AJ7:AJ84)</f>
        <v>124621.44</v>
      </c>
      <c r="AK87" s="93"/>
      <c r="AL87" s="93">
        <f>SUM(AL7:AL84)</f>
        <v>109740.59000000001</v>
      </c>
      <c r="AM87" s="93"/>
      <c r="AN87" s="93">
        <f>SUM(AN7:AN84)</f>
        <v>153754.53</v>
      </c>
      <c r="AO87" s="93"/>
      <c r="AP87" s="93">
        <f>SUM(AP7:AP84)</f>
        <v>71889.5</v>
      </c>
      <c r="AQ87" s="93"/>
      <c r="AR87" s="93">
        <f>SUM(AR7:AR84)</f>
        <v>173484.59</v>
      </c>
      <c r="AS87" s="81"/>
    </row>
    <row r="88" spans="1:45" x14ac:dyDescent="0.35">
      <c r="A88" s="199" t="s">
        <v>439</v>
      </c>
      <c r="B88" s="200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>
        <f>'2019-20'!F85</f>
        <v>46313.440000000002</v>
      </c>
      <c r="W88" s="201"/>
      <c r="X88" s="201">
        <f>'2019-20'!H85</f>
        <v>132016</v>
      </c>
      <c r="Y88" s="201"/>
      <c r="Z88" s="201">
        <f>'2019-20'!J85</f>
        <v>135610</v>
      </c>
      <c r="AA88" s="201"/>
      <c r="AB88" s="201">
        <f>'2019-20'!L85</f>
        <v>87118.799999999988</v>
      </c>
      <c r="AC88" s="201"/>
      <c r="AD88" s="201">
        <f>'2019-20'!N85</f>
        <v>87813.4</v>
      </c>
      <c r="AE88" s="201"/>
      <c r="AF88" s="201">
        <f>'2019-20'!P85</f>
        <v>56385.71</v>
      </c>
      <c r="AG88" s="201"/>
      <c r="AH88" s="201">
        <f>'2019-20'!R85</f>
        <v>53660.729999999996</v>
      </c>
      <c r="AI88" s="201"/>
      <c r="AJ88" s="201">
        <f>'2019-20'!T85</f>
        <v>89965.069999999992</v>
      </c>
      <c r="AK88" s="201"/>
      <c r="AL88" s="201">
        <f>'2019-20'!V85</f>
        <v>126697</v>
      </c>
      <c r="AM88" s="201"/>
      <c r="AN88" s="201">
        <f>'2019-20'!X85</f>
        <v>125938.76</v>
      </c>
      <c r="AO88" s="201"/>
      <c r="AP88" s="201">
        <f>'2019-20'!Z85</f>
        <v>49272.35</v>
      </c>
      <c r="AQ88" s="201"/>
      <c r="AR88" s="202">
        <f>'2019-20'!AB85</f>
        <v>103333.37000000001</v>
      </c>
      <c r="AS88" s="48"/>
    </row>
    <row r="89" spans="1:45" x14ac:dyDescent="0.35">
      <c r="A89" s="199" t="s">
        <v>440</v>
      </c>
      <c r="B89" s="204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>
        <f>'2018-19'!E73</f>
        <v>26802</v>
      </c>
      <c r="W89" s="205"/>
      <c r="X89" s="205">
        <f>'2018-19'!G73</f>
        <v>48461</v>
      </c>
      <c r="Y89" s="205"/>
      <c r="Z89" s="205">
        <f>'2018-19'!I73</f>
        <v>65002</v>
      </c>
      <c r="AA89" s="205"/>
      <c r="AB89" s="205">
        <f>'2018-19'!K73</f>
        <v>107173</v>
      </c>
      <c r="AC89" s="205"/>
      <c r="AD89" s="205">
        <f>'2018-19'!M73</f>
        <v>10172</v>
      </c>
      <c r="AE89" s="205"/>
      <c r="AF89" s="205">
        <f>'2018-19'!O73</f>
        <v>131569</v>
      </c>
      <c r="AG89" s="205"/>
      <c r="AH89" s="205">
        <f>'2018-19'!Q73</f>
        <v>120665</v>
      </c>
      <c r="AI89" s="205"/>
      <c r="AJ89" s="205">
        <f>'2018-19'!S73</f>
        <v>62022</v>
      </c>
      <c r="AK89" s="205"/>
      <c r="AL89" s="205">
        <f>'2018-19'!U73</f>
        <v>115231</v>
      </c>
      <c r="AM89" s="205"/>
      <c r="AN89" s="205">
        <f>'2018-19'!W73</f>
        <v>98006</v>
      </c>
      <c r="AO89" s="205"/>
      <c r="AP89" s="205">
        <f>'2018-19'!Y73</f>
        <v>62661</v>
      </c>
      <c r="AQ89" s="205"/>
      <c r="AR89" s="205">
        <f>'2018-19'!AA73</f>
        <v>141437</v>
      </c>
      <c r="AS89" s="48"/>
    </row>
    <row r="90" spans="1:45" x14ac:dyDescent="0.35"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48" t="s">
        <v>446</v>
      </c>
    </row>
    <row r="91" spans="1:45" x14ac:dyDescent="0.35">
      <c r="A91" s="88" t="s">
        <v>225</v>
      </c>
      <c r="B91" s="184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>
        <f>U86</f>
        <v>93516.729999999981</v>
      </c>
      <c r="V91" s="89"/>
      <c r="W91" s="89">
        <f>W86+U91</f>
        <v>258823.30999999997</v>
      </c>
      <c r="X91" s="89"/>
      <c r="Y91" s="89">
        <f>Y86+W91</f>
        <v>337718.62</v>
      </c>
      <c r="Z91" s="89"/>
      <c r="AA91" s="89">
        <f>AA86+Y91</f>
        <v>462304.58999999997</v>
      </c>
      <c r="AB91" s="89"/>
      <c r="AC91" s="89">
        <f>AC86+AA91</f>
        <v>571980.82999999996</v>
      </c>
      <c r="AD91" s="89"/>
      <c r="AE91" s="89">
        <f>AE86+AC91</f>
        <v>704007.84</v>
      </c>
      <c r="AF91" s="89"/>
      <c r="AG91" s="89">
        <f>AG86+AE91</f>
        <v>774841.69</v>
      </c>
      <c r="AH91" s="89"/>
      <c r="AI91" s="89">
        <f>AI86+AG91</f>
        <v>899462.82</v>
      </c>
      <c r="AJ91" s="89"/>
      <c r="AK91" s="89">
        <f>AK86+AI91</f>
        <v>1009203.69</v>
      </c>
      <c r="AL91" s="89"/>
      <c r="AM91" s="89">
        <f>AM86+AK91</f>
        <v>1162957.92</v>
      </c>
      <c r="AN91" s="89"/>
      <c r="AO91" s="89">
        <f>AO86+AM91</f>
        <v>1234846.92</v>
      </c>
      <c r="AP91" s="89"/>
      <c r="AQ91" s="89">
        <f>AQ86+AO91</f>
        <v>1408329.76</v>
      </c>
      <c r="AR91" s="90"/>
      <c r="AS91" s="81">
        <f>SUM(AS7:AS84)</f>
        <v>785442.43999999983</v>
      </c>
    </row>
    <row r="92" spans="1:45" x14ac:dyDescent="0.35">
      <c r="A92" s="26" t="s">
        <v>417</v>
      </c>
      <c r="B92" s="157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>
        <f>V87</f>
        <v>93515.93</v>
      </c>
      <c r="W92" s="93"/>
      <c r="X92" s="93">
        <f>X87+V92</f>
        <v>258822.50999999998</v>
      </c>
      <c r="Y92" s="93"/>
      <c r="Z92" s="93">
        <f>Z87+X92</f>
        <v>337717.51</v>
      </c>
      <c r="AA92" s="93"/>
      <c r="AB92" s="93">
        <f>AB87+Z92</f>
        <v>462304.51</v>
      </c>
      <c r="AC92" s="93"/>
      <c r="AD92" s="93">
        <f>AD87+AB92</f>
        <v>571980.87</v>
      </c>
      <c r="AE92" s="93"/>
      <c r="AF92" s="93">
        <f>AF87+AD92</f>
        <v>704004.6</v>
      </c>
      <c r="AG92" s="93"/>
      <c r="AH92" s="93">
        <f>AH87+AF92</f>
        <v>773103.45</v>
      </c>
      <c r="AI92" s="93"/>
      <c r="AJ92" s="93">
        <f>AJ87+AH92</f>
        <v>897724.8899999999</v>
      </c>
      <c r="AK92" s="93"/>
      <c r="AL92" s="93">
        <f>AL87+AJ92</f>
        <v>1007465.4799999999</v>
      </c>
      <c r="AM92" s="93"/>
      <c r="AN92" s="93">
        <f>AN87+AL92</f>
        <v>1161220.0099999998</v>
      </c>
      <c r="AO92" s="93"/>
      <c r="AP92" s="93">
        <f>AP87+AN92</f>
        <v>1233109.5099999998</v>
      </c>
      <c r="AQ92" s="93"/>
      <c r="AR92" s="203">
        <f>AR87+AP92</f>
        <v>1406594.0999999999</v>
      </c>
      <c r="AS92" s="81"/>
    </row>
    <row r="93" spans="1:45" ht="14.25" x14ac:dyDescent="0.2">
      <c r="A93" s="191" t="s">
        <v>442</v>
      </c>
      <c r="B93" s="192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>
        <f>'2019-20'!F88</f>
        <v>46313.440000000002</v>
      </c>
      <c r="W93" s="193"/>
      <c r="X93" s="193">
        <f>'2019-20'!H88</f>
        <v>178329.44</v>
      </c>
      <c r="Y93" s="193"/>
      <c r="Z93" s="193">
        <f>'2019-20'!J88</f>
        <v>313939.44</v>
      </c>
      <c r="AA93" s="193"/>
      <c r="AB93" s="193">
        <f>'2019-20'!L88</f>
        <v>401058.24</v>
      </c>
      <c r="AC93" s="193"/>
      <c r="AD93" s="193">
        <f>'2019-20'!N88</f>
        <v>488871.64</v>
      </c>
      <c r="AE93" s="193"/>
      <c r="AF93" s="193">
        <f>'2019-20'!P88</f>
        <v>545257.35</v>
      </c>
      <c r="AG93" s="193"/>
      <c r="AH93" s="193">
        <f>'2019-20'!R88</f>
        <v>598918.07999999996</v>
      </c>
      <c r="AI93" s="193"/>
      <c r="AJ93" s="193">
        <f>'2019-20'!T88</f>
        <v>688883.14999999991</v>
      </c>
      <c r="AK93" s="193"/>
      <c r="AL93" s="193">
        <f>'2019-20'!V88</f>
        <v>815580.14999999991</v>
      </c>
      <c r="AM93" s="193"/>
      <c r="AN93" s="193">
        <f>'2019-20'!X88</f>
        <v>941518.90999999992</v>
      </c>
      <c r="AO93" s="193"/>
      <c r="AP93" s="193">
        <f>'2019-20'!Z88</f>
        <v>990791.25999999989</v>
      </c>
      <c r="AQ93" s="193"/>
      <c r="AR93" s="193">
        <f>'2019-20'!AB88</f>
        <v>1094124.6299999999</v>
      </c>
      <c r="AS93" s="81"/>
    </row>
    <row r="94" spans="1:45" ht="14.25" x14ac:dyDescent="0.2">
      <c r="A94" s="210" t="s">
        <v>443</v>
      </c>
      <c r="B94" s="208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>
        <f>V89</f>
        <v>26802</v>
      </c>
      <c r="W94" s="209"/>
      <c r="X94" s="209">
        <f>V94+X89</f>
        <v>75263</v>
      </c>
      <c r="Y94" s="209"/>
      <c r="Z94" s="209">
        <f t="shared" ref="Z94:AR94" si="41">X94+Z89</f>
        <v>140265</v>
      </c>
      <c r="AA94" s="209"/>
      <c r="AB94" s="209">
        <f t="shared" si="41"/>
        <v>247438</v>
      </c>
      <c r="AC94" s="209"/>
      <c r="AD94" s="209">
        <f t="shared" si="41"/>
        <v>257610</v>
      </c>
      <c r="AE94" s="209"/>
      <c r="AF94" s="209">
        <f t="shared" si="41"/>
        <v>389179</v>
      </c>
      <c r="AG94" s="209"/>
      <c r="AH94" s="209">
        <f t="shared" si="41"/>
        <v>509844</v>
      </c>
      <c r="AI94" s="209"/>
      <c r="AJ94" s="209">
        <f t="shared" si="41"/>
        <v>571866</v>
      </c>
      <c r="AK94" s="209"/>
      <c r="AL94" s="209">
        <f t="shared" si="41"/>
        <v>687097</v>
      </c>
      <c r="AM94" s="209"/>
      <c r="AN94" s="209">
        <f t="shared" si="41"/>
        <v>785103</v>
      </c>
      <c r="AO94" s="209"/>
      <c r="AP94" s="209">
        <f t="shared" si="41"/>
        <v>847764</v>
      </c>
      <c r="AQ94" s="209"/>
      <c r="AR94" s="209">
        <f t="shared" si="41"/>
        <v>989201</v>
      </c>
      <c r="AS94" s="81"/>
    </row>
    <row r="95" spans="1:45" ht="14.25" x14ac:dyDescent="0.2"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>
        <f>'2017-18'!E71</f>
        <v>111463</v>
      </c>
      <c r="W95" s="81"/>
      <c r="X95" s="81">
        <f>'2017-18'!G71</f>
        <v>208926.18</v>
      </c>
      <c r="Y95" s="81"/>
      <c r="Z95" s="81">
        <f>'2017-18'!I71</f>
        <v>355070.18</v>
      </c>
      <c r="AA95" s="81"/>
      <c r="AB95" s="81">
        <f>'2017-18'!K71</f>
        <v>363091.18</v>
      </c>
      <c r="AC95" s="81"/>
      <c r="AD95" s="81">
        <f>'2017-18'!M71</f>
        <v>476992.18</v>
      </c>
      <c r="AE95" s="81"/>
      <c r="AF95" s="81">
        <f>'2017-18'!O71</f>
        <v>561427.17999999993</v>
      </c>
      <c r="AG95" s="81"/>
      <c r="AH95" s="81">
        <f>'2017-18'!Q71</f>
        <v>657549.27999999991</v>
      </c>
      <c r="AI95" s="81"/>
      <c r="AJ95" s="81">
        <f>'2017-18'!S71</f>
        <v>771563.27999999991</v>
      </c>
      <c r="AK95" s="81"/>
      <c r="AL95" s="81">
        <f>'2017-18'!U71</f>
        <v>888586.27999999991</v>
      </c>
      <c r="AM95" s="81"/>
      <c r="AN95" s="81">
        <f>'2017-18'!W71</f>
        <v>995143.32</v>
      </c>
      <c r="AO95" s="81"/>
      <c r="AP95" s="81">
        <f>'2017-18'!Y71</f>
        <v>995143.32</v>
      </c>
      <c r="AQ95" s="81"/>
      <c r="AR95" s="81">
        <f>'2017-18'!AA71</f>
        <v>995143.32</v>
      </c>
    </row>
    <row r="97" spans="3:45" ht="14.25" x14ac:dyDescent="0.2"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>
        <f>V92-V93</f>
        <v>47202.489999999991</v>
      </c>
      <c r="W97" s="81"/>
      <c r="X97" s="81">
        <f t="shared" ref="X97:AR97" si="42">X92-X93</f>
        <v>80493.069999999978</v>
      </c>
      <c r="Y97" s="81"/>
      <c r="Z97" s="81">
        <f t="shared" si="42"/>
        <v>23778.070000000007</v>
      </c>
      <c r="AA97" s="81"/>
      <c r="AB97" s="81">
        <f t="shared" si="42"/>
        <v>61246.270000000019</v>
      </c>
      <c r="AC97" s="81"/>
      <c r="AD97" s="81">
        <f t="shared" si="42"/>
        <v>83109.229999999981</v>
      </c>
      <c r="AE97" s="81"/>
      <c r="AF97" s="81">
        <f t="shared" si="42"/>
        <v>158747.25</v>
      </c>
      <c r="AG97" s="81"/>
      <c r="AH97" s="81">
        <f t="shared" si="42"/>
        <v>174185.37</v>
      </c>
      <c r="AI97" s="81"/>
      <c r="AJ97" s="81">
        <f t="shared" si="42"/>
        <v>208841.74</v>
      </c>
      <c r="AK97" s="81"/>
      <c r="AL97" s="81">
        <f t="shared" si="42"/>
        <v>191885.32999999996</v>
      </c>
      <c r="AM97" s="81"/>
      <c r="AN97" s="81">
        <f t="shared" si="42"/>
        <v>219701.09999999986</v>
      </c>
      <c r="AO97" s="81"/>
      <c r="AP97" s="81">
        <f t="shared" si="42"/>
        <v>242318.24999999988</v>
      </c>
      <c r="AQ97" s="81"/>
      <c r="AR97" s="81">
        <f t="shared" si="42"/>
        <v>312469.46999999997</v>
      </c>
      <c r="AS97" s="48"/>
    </row>
    <row r="98" spans="3:45" ht="14.25" x14ac:dyDescent="0.2">
      <c r="V98" s="81"/>
      <c r="X98" s="81"/>
      <c r="Z98" s="81"/>
      <c r="AB98" s="81"/>
    </row>
    <row r="100" spans="3:45" ht="14.25" x14ac:dyDescent="0.2">
      <c r="AD100"/>
    </row>
  </sheetData>
  <mergeCells count="12">
    <mergeCell ref="AQ4:AR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</mergeCells>
  <phoneticPr fontId="3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E23-0B1C-4A0B-A55B-4924900409F0}">
  <dimension ref="A3:AU162"/>
  <sheetViews>
    <sheetView zoomScale="85" zoomScaleNormal="85" workbookViewId="0">
      <pane xSplit="4" ySplit="5" topLeftCell="E74" activePane="bottomRight" state="frozen"/>
      <selection pane="topRight" activeCell="E1" sqref="E1"/>
      <selection pane="bottomLeft" activeCell="A3" sqref="A3"/>
      <selection pane="bottomRight" activeCell="A48" sqref="A48:XFD48"/>
    </sheetView>
  </sheetViews>
  <sheetFormatPr baseColWidth="10" defaultColWidth="11" defaultRowHeight="13.5" x14ac:dyDescent="0.35"/>
  <cols>
    <col min="1" max="1" width="23.125" style="69" customWidth="1"/>
    <col min="2" max="2" width="2" style="69" customWidth="1"/>
    <col min="3" max="5" width="10.625" style="69" customWidth="1"/>
    <col min="6" max="6" width="8.625" style="69" customWidth="1"/>
    <col min="7" max="7" width="6.125" style="69" customWidth="1"/>
    <col min="8" max="8" width="8.625" style="69" customWidth="1"/>
    <col min="9" max="9" width="6.375" style="69" customWidth="1"/>
    <col min="10" max="10" width="8.625" style="69" customWidth="1"/>
    <col min="11" max="11" width="5.625" style="69" customWidth="1"/>
    <col min="12" max="12" width="8.625" style="69" customWidth="1"/>
    <col min="13" max="13" width="5.625" style="69" customWidth="1"/>
    <col min="14" max="14" width="8.625" style="69" customWidth="1"/>
    <col min="15" max="15" width="5.625" style="69" customWidth="1"/>
    <col min="16" max="16" width="8.625" style="69" customWidth="1"/>
    <col min="17" max="17" width="5.625" style="69" customWidth="1"/>
    <col min="18" max="18" width="8.625" style="69" customWidth="1"/>
    <col min="19" max="19" width="5.625" style="69" customWidth="1"/>
    <col min="20" max="20" width="8.625" style="69" customWidth="1"/>
    <col min="21" max="21" width="5.625" style="69" customWidth="1"/>
    <col min="22" max="22" width="11" style="69" customWidth="1"/>
    <col min="23" max="24" width="8.125" style="69" customWidth="1"/>
    <col min="25" max="25" width="8.875" style="69" customWidth="1"/>
    <col min="26" max="30" width="8.125" style="69" customWidth="1"/>
    <col min="31" max="31" width="8.625" style="69" customWidth="1"/>
    <col min="32" max="32" width="8.125" style="69" customWidth="1"/>
    <col min="33" max="33" width="9" style="69" customWidth="1"/>
    <col min="34" max="34" width="8.125" style="69" customWidth="1"/>
    <col min="35" max="35" width="9" style="69" customWidth="1"/>
    <col min="36" max="36" width="8.125" style="69" customWidth="1"/>
    <col min="37" max="37" width="10.625" style="69" customWidth="1"/>
    <col min="38" max="38" width="8.125" style="69" customWidth="1"/>
    <col min="39" max="39" width="9.375" style="69" customWidth="1"/>
    <col min="40" max="44" width="9.625" style="69" bestFit="1" customWidth="1"/>
    <col min="45" max="46" width="9.625" style="69" customWidth="1"/>
    <col min="47" max="16384" width="11" style="69"/>
  </cols>
  <sheetData>
    <row r="3" spans="1:47" ht="13.9" thickBot="1" x14ac:dyDescent="0.4">
      <c r="D3" s="81">
        <f>D35+D36+D42+D54+D57+D58+D62+D66+D68+D69+D76</f>
        <v>400334.3</v>
      </c>
    </row>
    <row r="4" spans="1:47" ht="13.9" thickTop="1" x14ac:dyDescent="0.35">
      <c r="A4" s="67"/>
      <c r="B4" s="68"/>
      <c r="C4" s="68"/>
      <c r="D4" s="68"/>
      <c r="E4" s="296"/>
      <c r="F4" s="297" t="s">
        <v>538</v>
      </c>
      <c r="G4" s="297" t="s">
        <v>540</v>
      </c>
      <c r="H4" s="297" t="s">
        <v>542</v>
      </c>
      <c r="I4" s="297" t="s">
        <v>543</v>
      </c>
      <c r="J4" s="297" t="s">
        <v>544</v>
      </c>
      <c r="K4" s="297" t="s">
        <v>546</v>
      </c>
      <c r="L4" s="297" t="s">
        <v>505</v>
      </c>
      <c r="M4" s="297" t="s">
        <v>547</v>
      </c>
      <c r="N4" s="297" t="s">
        <v>548</v>
      </c>
      <c r="O4" s="297" t="s">
        <v>550</v>
      </c>
      <c r="P4" s="297" t="s">
        <v>551</v>
      </c>
      <c r="Q4" s="297" t="s">
        <v>552</v>
      </c>
      <c r="R4" s="297" t="s">
        <v>507</v>
      </c>
      <c r="S4" s="297" t="s">
        <v>553</v>
      </c>
      <c r="T4" s="441" t="s">
        <v>580</v>
      </c>
      <c r="U4" s="297" t="s">
        <v>553</v>
      </c>
      <c r="V4" s="317"/>
      <c r="W4" s="437" t="s">
        <v>142</v>
      </c>
      <c r="X4" s="439"/>
      <c r="Y4" s="438" t="s">
        <v>143</v>
      </c>
      <c r="Z4" s="439"/>
      <c r="AA4" s="437" t="s">
        <v>144</v>
      </c>
      <c r="AB4" s="437"/>
      <c r="AC4" s="440" t="s">
        <v>138</v>
      </c>
      <c r="AD4" s="439"/>
      <c r="AE4" s="437" t="s">
        <v>139</v>
      </c>
      <c r="AF4" s="437"/>
      <c r="AG4" s="438" t="s">
        <v>140</v>
      </c>
      <c r="AH4" s="439"/>
      <c r="AI4" s="437" t="s">
        <v>141</v>
      </c>
      <c r="AJ4" s="437"/>
      <c r="AK4" s="438" t="s">
        <v>145</v>
      </c>
      <c r="AL4" s="439"/>
      <c r="AM4" s="437" t="s">
        <v>146</v>
      </c>
      <c r="AN4" s="437"/>
      <c r="AO4" s="438" t="s">
        <v>147</v>
      </c>
      <c r="AP4" s="439"/>
      <c r="AQ4" s="437" t="s">
        <v>148</v>
      </c>
      <c r="AR4" s="437"/>
      <c r="AS4" s="438" t="s">
        <v>149</v>
      </c>
      <c r="AT4" s="439"/>
    </row>
    <row r="5" spans="1:47" ht="15" x14ac:dyDescent="0.4">
      <c r="A5" s="70" t="s">
        <v>137</v>
      </c>
      <c r="B5" s="155"/>
      <c r="C5" s="35" t="s">
        <v>268</v>
      </c>
      <c r="D5" s="35" t="s">
        <v>152</v>
      </c>
      <c r="E5" s="298"/>
      <c r="F5" s="282" t="s">
        <v>539</v>
      </c>
      <c r="G5" s="282" t="s">
        <v>541</v>
      </c>
      <c r="H5" s="282" t="s">
        <v>539</v>
      </c>
      <c r="I5" s="282" t="s">
        <v>541</v>
      </c>
      <c r="J5" s="282" t="s">
        <v>554</v>
      </c>
      <c r="K5" s="282" t="s">
        <v>541</v>
      </c>
      <c r="L5" s="282" t="s">
        <v>545</v>
      </c>
      <c r="M5" s="282" t="s">
        <v>541</v>
      </c>
      <c r="N5" s="282" t="s">
        <v>549</v>
      </c>
      <c r="O5" s="282" t="s">
        <v>541</v>
      </c>
      <c r="P5" s="282" t="s">
        <v>555</v>
      </c>
      <c r="Q5" s="282" t="s">
        <v>541</v>
      </c>
      <c r="R5" s="282"/>
      <c r="S5" s="282" t="s">
        <v>541</v>
      </c>
      <c r="T5" s="442"/>
      <c r="U5" s="282" t="s">
        <v>541</v>
      </c>
      <c r="V5" s="318"/>
      <c r="W5" s="75" t="s">
        <v>150</v>
      </c>
      <c r="X5" s="73" t="s">
        <v>151</v>
      </c>
      <c r="Y5" s="72" t="s">
        <v>150</v>
      </c>
      <c r="Z5" s="74" t="s">
        <v>151</v>
      </c>
      <c r="AA5" s="75" t="s">
        <v>150</v>
      </c>
      <c r="AB5" s="76" t="s">
        <v>151</v>
      </c>
      <c r="AC5" s="72" t="s">
        <v>150</v>
      </c>
      <c r="AD5" s="74" t="s">
        <v>151</v>
      </c>
      <c r="AE5" s="75" t="s">
        <v>150</v>
      </c>
      <c r="AF5" s="76" t="s">
        <v>151</v>
      </c>
      <c r="AG5" s="72" t="s">
        <v>150</v>
      </c>
      <c r="AH5" s="74" t="s">
        <v>151</v>
      </c>
      <c r="AI5" s="75" t="s">
        <v>150</v>
      </c>
      <c r="AJ5" s="76" t="s">
        <v>151</v>
      </c>
      <c r="AK5" s="72" t="s">
        <v>150</v>
      </c>
      <c r="AL5" s="74" t="s">
        <v>151</v>
      </c>
      <c r="AM5" s="75" t="s">
        <v>150</v>
      </c>
      <c r="AN5" s="76" t="s">
        <v>151</v>
      </c>
      <c r="AO5" s="72" t="s">
        <v>150</v>
      </c>
      <c r="AP5" s="74" t="s">
        <v>151</v>
      </c>
      <c r="AQ5" s="75" t="s">
        <v>150</v>
      </c>
      <c r="AR5" s="76" t="s">
        <v>151</v>
      </c>
      <c r="AS5" s="72" t="s">
        <v>150</v>
      </c>
      <c r="AT5" s="74" t="s">
        <v>151</v>
      </c>
      <c r="AU5" s="216" t="s">
        <v>559</v>
      </c>
    </row>
    <row r="6" spans="1:47" ht="15.4" thickBot="1" x14ac:dyDescent="0.45">
      <c r="A6" s="217"/>
      <c r="B6" s="218"/>
      <c r="C6"/>
      <c r="D6"/>
      <c r="E6" s="29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319"/>
      <c r="X6" s="219"/>
      <c r="Y6" s="163"/>
      <c r="Z6" s="219"/>
      <c r="AC6" s="163"/>
      <c r="AD6" s="219"/>
      <c r="AG6" s="163"/>
      <c r="AH6" s="219"/>
      <c r="AK6" s="163"/>
      <c r="AL6" s="219"/>
      <c r="AO6" s="163"/>
      <c r="AP6" s="219"/>
      <c r="AS6" s="163"/>
      <c r="AU6"/>
    </row>
    <row r="7" spans="1:47" x14ac:dyDescent="0.35">
      <c r="A7" s="36" t="s">
        <v>400</v>
      </c>
      <c r="B7" s="165"/>
      <c r="C7" s="77"/>
      <c r="D7" s="77"/>
      <c r="E7" s="300"/>
      <c r="F7" s="283"/>
      <c r="G7" s="283"/>
      <c r="H7" s="284"/>
      <c r="I7" s="284"/>
      <c r="J7" s="283"/>
      <c r="K7" s="283"/>
      <c r="L7" s="284"/>
      <c r="M7" s="284"/>
      <c r="N7" s="283"/>
      <c r="O7" s="283"/>
      <c r="P7" s="284"/>
      <c r="Q7" s="284"/>
      <c r="R7" s="283"/>
      <c r="S7" s="311"/>
      <c r="T7" s="283"/>
      <c r="U7" s="311"/>
      <c r="V7" s="320"/>
      <c r="W7" s="80"/>
      <c r="X7" s="80"/>
      <c r="Y7" s="45"/>
      <c r="Z7" s="79"/>
      <c r="AA7" s="80"/>
      <c r="AB7" s="80"/>
      <c r="AC7" s="154"/>
      <c r="AD7" s="79"/>
      <c r="AE7" s="78"/>
      <c r="AF7" s="80"/>
      <c r="AG7" s="78"/>
      <c r="AH7" s="79"/>
      <c r="AI7" s="78"/>
      <c r="AJ7" s="79"/>
      <c r="AK7" s="78"/>
      <c r="AL7" s="79"/>
      <c r="AM7" s="78"/>
      <c r="AN7" s="79"/>
      <c r="AO7" s="78"/>
      <c r="AP7" s="79"/>
      <c r="AQ7" s="78"/>
      <c r="AR7" s="79"/>
      <c r="AS7" s="78"/>
      <c r="AT7" s="80"/>
      <c r="AU7" s="212"/>
    </row>
    <row r="8" spans="1:47" x14ac:dyDescent="0.35">
      <c r="A8" s="36" t="s">
        <v>400</v>
      </c>
      <c r="B8" s="235"/>
      <c r="C8" s="83"/>
      <c r="D8" s="83"/>
      <c r="E8" s="301"/>
      <c r="F8" s="285"/>
      <c r="G8" s="285"/>
      <c r="H8" s="286"/>
      <c r="I8" s="286"/>
      <c r="J8" s="285"/>
      <c r="K8" s="285"/>
      <c r="L8" s="286"/>
      <c r="M8" s="286"/>
      <c r="N8" s="285"/>
      <c r="O8" s="285"/>
      <c r="P8" s="286"/>
      <c r="Q8" s="286"/>
      <c r="R8" s="285"/>
      <c r="S8" s="312"/>
      <c r="T8" s="285"/>
      <c r="U8" s="312"/>
      <c r="V8" s="321"/>
      <c r="W8" s="81"/>
      <c r="X8" s="81"/>
      <c r="Y8" s="50"/>
      <c r="Z8" s="85"/>
      <c r="AA8" s="81"/>
      <c r="AB8" s="81"/>
      <c r="AC8" s="236"/>
      <c r="AD8" s="85"/>
      <c r="AE8" s="84"/>
      <c r="AF8" s="81"/>
      <c r="AG8" s="84"/>
      <c r="AH8" s="85"/>
      <c r="AI8" s="84"/>
      <c r="AJ8" s="85"/>
      <c r="AK8" s="84"/>
      <c r="AL8" s="85"/>
      <c r="AM8" s="84"/>
      <c r="AN8" s="85"/>
      <c r="AO8" s="84"/>
      <c r="AP8" s="85"/>
      <c r="AQ8" s="84"/>
      <c r="AR8" s="85"/>
      <c r="AS8" s="84"/>
      <c r="AT8" s="81"/>
      <c r="AU8" s="213"/>
    </row>
    <row r="9" spans="1:47" x14ac:dyDescent="0.35">
      <c r="A9" s="36" t="s">
        <v>400</v>
      </c>
      <c r="B9" s="235"/>
      <c r="C9" s="83"/>
      <c r="D9" s="83"/>
      <c r="E9" s="301"/>
      <c r="F9" s="285"/>
      <c r="G9" s="285"/>
      <c r="H9" s="286"/>
      <c r="I9" s="286"/>
      <c r="J9" s="285"/>
      <c r="K9" s="285"/>
      <c r="L9" s="286"/>
      <c r="M9" s="286"/>
      <c r="N9" s="285"/>
      <c r="O9" s="285"/>
      <c r="P9" s="286"/>
      <c r="Q9" s="286"/>
      <c r="R9" s="285"/>
      <c r="S9" s="312"/>
      <c r="T9" s="285"/>
      <c r="U9" s="312"/>
      <c r="V9" s="321"/>
      <c r="W9" s="81"/>
      <c r="X9" s="81"/>
      <c r="Y9" s="50"/>
      <c r="Z9" s="85"/>
      <c r="AA9" s="81"/>
      <c r="AB9" s="81"/>
      <c r="AC9" s="236"/>
      <c r="AD9" s="85"/>
      <c r="AE9" s="84"/>
      <c r="AF9" s="81"/>
      <c r="AG9" s="84"/>
      <c r="AH9" s="85"/>
      <c r="AI9" s="84"/>
      <c r="AJ9" s="85"/>
      <c r="AK9" s="84"/>
      <c r="AL9" s="85"/>
      <c r="AM9" s="84"/>
      <c r="AN9" s="85"/>
      <c r="AO9" s="84"/>
      <c r="AP9" s="85"/>
      <c r="AQ9" s="84"/>
      <c r="AR9" s="85"/>
      <c r="AS9" s="84"/>
      <c r="AT9" s="81"/>
      <c r="AU9" s="213"/>
    </row>
    <row r="10" spans="1:47" x14ac:dyDescent="0.35">
      <c r="A10" s="36" t="s">
        <v>400</v>
      </c>
      <c r="B10" s="235"/>
      <c r="C10" s="83"/>
      <c r="D10" s="83"/>
      <c r="E10" s="301"/>
      <c r="F10" s="285"/>
      <c r="G10" s="285"/>
      <c r="H10" s="286"/>
      <c r="I10" s="286"/>
      <c r="J10" s="285"/>
      <c r="K10" s="285"/>
      <c r="L10" s="286"/>
      <c r="M10" s="286"/>
      <c r="N10" s="285"/>
      <c r="O10" s="285"/>
      <c r="P10" s="286"/>
      <c r="Q10" s="286"/>
      <c r="R10" s="285"/>
      <c r="S10" s="312"/>
      <c r="T10" s="285"/>
      <c r="U10" s="312"/>
      <c r="V10" s="321"/>
      <c r="W10" s="81"/>
      <c r="X10" s="81"/>
      <c r="Y10" s="50"/>
      <c r="Z10" s="85"/>
      <c r="AA10" s="81"/>
      <c r="AB10" s="81"/>
      <c r="AC10" s="236"/>
      <c r="AD10" s="85"/>
      <c r="AE10" s="84"/>
      <c r="AF10" s="81"/>
      <c r="AG10" s="84"/>
      <c r="AH10" s="85"/>
      <c r="AI10" s="84"/>
      <c r="AJ10" s="85"/>
      <c r="AK10" s="84"/>
      <c r="AL10" s="85"/>
      <c r="AM10" s="84"/>
      <c r="AN10" s="85"/>
      <c r="AO10" s="84"/>
      <c r="AP10" s="85"/>
      <c r="AQ10" s="84"/>
      <c r="AR10" s="85"/>
      <c r="AS10" s="84"/>
      <c r="AT10" s="81"/>
      <c r="AU10" s="213"/>
    </row>
    <row r="11" spans="1:47" x14ac:dyDescent="0.35">
      <c r="A11" s="66" t="s">
        <v>347</v>
      </c>
      <c r="B11" s="167"/>
      <c r="C11" s="49"/>
      <c r="D11" s="83"/>
      <c r="E11" s="301"/>
      <c r="F11" s="285"/>
      <c r="G11" s="285"/>
      <c r="H11" s="286"/>
      <c r="I11" s="286"/>
      <c r="J11" s="285"/>
      <c r="K11" s="285"/>
      <c r="L11" s="286"/>
      <c r="M11" s="286"/>
      <c r="N11" s="285"/>
      <c r="O11" s="285"/>
      <c r="P11" s="286"/>
      <c r="Q11" s="286"/>
      <c r="R11" s="285"/>
      <c r="S11" s="312"/>
      <c r="T11" s="285"/>
      <c r="U11" s="312"/>
      <c r="V11" s="322"/>
      <c r="W11" s="81"/>
      <c r="X11" s="81"/>
      <c r="Y11" s="84"/>
      <c r="Z11" s="85"/>
      <c r="AA11" s="81"/>
      <c r="AB11" s="81"/>
      <c r="AC11" s="84"/>
      <c r="AD11" s="85"/>
      <c r="AE11" s="84"/>
      <c r="AF11" s="81"/>
      <c r="AG11" s="84"/>
      <c r="AH11" s="85"/>
      <c r="AI11" s="84"/>
      <c r="AJ11" s="85"/>
      <c r="AK11" s="84"/>
      <c r="AL11" s="85"/>
      <c r="AM11" s="84"/>
      <c r="AN11" s="85"/>
      <c r="AO11" s="84"/>
      <c r="AP11" s="85"/>
      <c r="AQ11" s="84"/>
      <c r="AR11" s="85"/>
      <c r="AS11" s="84"/>
      <c r="AT11" s="81"/>
      <c r="AU11" s="213"/>
    </row>
    <row r="12" spans="1:47" x14ac:dyDescent="0.35">
      <c r="A12" s="66" t="s">
        <v>478</v>
      </c>
      <c r="B12" s="169"/>
      <c r="C12" s="83"/>
      <c r="D12" s="83"/>
      <c r="E12" s="301"/>
      <c r="F12" s="285"/>
      <c r="G12" s="285"/>
      <c r="H12" s="286"/>
      <c r="I12" s="286"/>
      <c r="J12" s="285"/>
      <c r="K12" s="285"/>
      <c r="L12" s="286"/>
      <c r="M12" s="286"/>
      <c r="N12" s="285"/>
      <c r="O12" s="285"/>
      <c r="P12" s="286"/>
      <c r="Q12" s="286"/>
      <c r="R12" s="285"/>
      <c r="S12" s="312"/>
      <c r="T12" s="285"/>
      <c r="U12" s="312"/>
      <c r="V12" s="322"/>
      <c r="W12" s="81"/>
      <c r="X12" s="81"/>
      <c r="Y12" s="84"/>
      <c r="Z12" s="85"/>
      <c r="AA12" s="81"/>
      <c r="AB12" s="81"/>
      <c r="AC12" s="84"/>
      <c r="AD12" s="85"/>
      <c r="AE12" s="84"/>
      <c r="AF12" s="81"/>
      <c r="AG12" s="84"/>
      <c r="AH12" s="85"/>
      <c r="AI12" s="84"/>
      <c r="AJ12" s="85"/>
      <c r="AK12" s="84"/>
      <c r="AL12" s="85"/>
      <c r="AM12" s="84"/>
      <c r="AN12" s="85"/>
      <c r="AO12" s="84"/>
      <c r="AP12" s="85"/>
      <c r="AQ12" s="84"/>
      <c r="AR12" s="85"/>
      <c r="AS12" s="84"/>
      <c r="AT12" s="81"/>
      <c r="AU12" s="213"/>
    </row>
    <row r="13" spans="1:47" x14ac:dyDescent="0.35">
      <c r="A13" s="327"/>
      <c r="B13" s="328"/>
      <c r="C13" s="329"/>
      <c r="D13" s="330"/>
      <c r="E13" s="331"/>
      <c r="F13" s="332"/>
      <c r="G13" s="333"/>
      <c r="H13" s="332"/>
      <c r="I13" s="333"/>
      <c r="J13" s="332"/>
      <c r="K13" s="333"/>
      <c r="L13" s="332"/>
      <c r="M13" s="333"/>
      <c r="N13" s="332"/>
      <c r="O13" s="333"/>
      <c r="P13" s="332"/>
      <c r="Q13" s="333"/>
      <c r="R13" s="332"/>
      <c r="S13" s="334"/>
      <c r="T13" s="332"/>
      <c r="U13" s="334"/>
      <c r="V13" s="335"/>
      <c r="W13" s="329"/>
      <c r="X13" s="329"/>
      <c r="Y13" s="336"/>
      <c r="Z13" s="337"/>
      <c r="AA13" s="338"/>
      <c r="AB13" s="329"/>
      <c r="AC13" s="336"/>
      <c r="AD13" s="337"/>
      <c r="AE13" s="336"/>
      <c r="AF13" s="329"/>
      <c r="AG13" s="336"/>
      <c r="AH13" s="337"/>
      <c r="AI13" s="336"/>
      <c r="AJ13" s="337"/>
      <c r="AK13" s="336"/>
      <c r="AL13" s="337"/>
      <c r="AM13" s="336"/>
      <c r="AN13" s="337"/>
      <c r="AO13" s="336"/>
      <c r="AP13" s="337"/>
      <c r="AQ13" s="336"/>
      <c r="AR13" s="337"/>
      <c r="AS13" s="336"/>
      <c r="AT13" s="329"/>
      <c r="AU13" s="339"/>
    </row>
    <row r="14" spans="1:47" x14ac:dyDescent="0.35">
      <c r="A14" s="149"/>
      <c r="B14" s="180"/>
      <c r="C14" s="83"/>
      <c r="D14" s="142">
        <f t="shared" ref="D14:D16" si="0">C14</f>
        <v>0</v>
      </c>
      <c r="E14" s="304"/>
      <c r="F14" s="287"/>
      <c r="G14" s="288" t="e">
        <f t="shared" ref="G14:G16" si="1">F14/E14</f>
        <v>#DIV/0!</v>
      </c>
      <c r="H14" s="289"/>
      <c r="I14" s="290" t="e">
        <f t="shared" ref="I14:I16" si="2">H14/E14</f>
        <v>#DIV/0!</v>
      </c>
      <c r="J14" s="287"/>
      <c r="K14" s="288" t="e">
        <f t="shared" ref="K14:K16" si="3">J14/E14</f>
        <v>#DIV/0!</v>
      </c>
      <c r="L14" s="289"/>
      <c r="M14" s="290" t="e">
        <f t="shared" ref="M14:M16" si="4">L14/E14</f>
        <v>#DIV/0!</v>
      </c>
      <c r="N14" s="287"/>
      <c r="O14" s="288" t="e">
        <f t="shared" ref="O14:O16" si="5">N14/E14</f>
        <v>#DIV/0!</v>
      </c>
      <c r="P14" s="289"/>
      <c r="Q14" s="290" t="e">
        <f t="shared" ref="Q14:Q16" si="6">P14/E14</f>
        <v>#DIV/0!</v>
      </c>
      <c r="R14" s="287"/>
      <c r="S14" s="313" t="e">
        <f t="shared" ref="S14:S16" si="7">R14/E14</f>
        <v>#DIV/0!</v>
      </c>
      <c r="T14" s="287"/>
      <c r="U14" s="313" t="e">
        <f t="shared" ref="U14:U16" si="8">T14/E14</f>
        <v>#DIV/0!</v>
      </c>
      <c r="V14" s="323" t="e">
        <f t="shared" ref="V14:V16" si="9">U14+S14+Q14+O14+M14+K14+I14+G14</f>
        <v>#DIV/0!</v>
      </c>
      <c r="W14" s="81">
        <v>0</v>
      </c>
      <c r="X14" s="81"/>
      <c r="Y14" s="84">
        <f t="shared" ref="Y14:Y15" si="10">D14-W14</f>
        <v>0</v>
      </c>
      <c r="Z14" s="85"/>
      <c r="AA14" s="84">
        <f t="shared" ref="AA14:AA16" si="11">D14-W14-Y14</f>
        <v>0</v>
      </c>
      <c r="AB14" s="81"/>
      <c r="AC14" s="84">
        <f t="shared" ref="AC14:AC16" si="12">D14-W14-Y14-AA14</f>
        <v>0</v>
      </c>
      <c r="AD14" s="85"/>
      <c r="AE14" s="84">
        <f t="shared" ref="AE14:AE16" si="13">D14-W14-Y14-AA14-AC14</f>
        <v>0</v>
      </c>
      <c r="AF14" s="81"/>
      <c r="AG14" s="84">
        <f t="shared" ref="AG14:AG16" si="14">D14-W14-Y14-AA14-AC14-AE14</f>
        <v>0</v>
      </c>
      <c r="AH14" s="85"/>
      <c r="AI14" s="84">
        <f t="shared" ref="AI14:AI16" si="15">D14-W14-Y14-AA14-AC14-AE14-AG14</f>
        <v>0</v>
      </c>
      <c r="AJ14" s="85"/>
      <c r="AK14" s="84">
        <f t="shared" ref="AK14:AK16" si="16">D14-W14-Y14-AA14-AC14-AE14-AG14-AI14</f>
        <v>0</v>
      </c>
      <c r="AL14" s="85"/>
      <c r="AM14" s="84">
        <f t="shared" ref="AM14:AM16" si="17">D14-W14-Y14-AA14-AC14-AE14-AG14-AI14-AK14</f>
        <v>0</v>
      </c>
      <c r="AN14" s="85"/>
      <c r="AO14" s="84">
        <f t="shared" ref="AO14:AO16" si="18">D14-W14-Y14-AA14-AC14-AE14-AG14-AI14-AK14-AM14</f>
        <v>0</v>
      </c>
      <c r="AP14" s="85"/>
      <c r="AQ14" s="84">
        <f t="shared" ref="AQ14:AQ16" si="19">D14-W14-Y14-AA14-AC14-AE14-AG14-AI14-AK14-AM14-AO14</f>
        <v>0</v>
      </c>
      <c r="AR14" s="85"/>
      <c r="AS14" s="84">
        <f t="shared" ref="AS14:AS16" si="20">D14-W14-Y14-AA14-AC14-AE14-AG14-AI14-AK14-AM14-AO14-AQ14</f>
        <v>0</v>
      </c>
      <c r="AT14" s="81"/>
      <c r="AU14" s="214">
        <f t="shared" ref="AU14:AU16" si="21">D14-W14-Y14-AA14-AC14-AE14-AG14-AI14-AK14-AM14-AO14-AQ14-AS14</f>
        <v>0</v>
      </c>
    </row>
    <row r="15" spans="1:47" x14ac:dyDescent="0.35">
      <c r="A15" s="149"/>
      <c r="B15" s="180"/>
      <c r="C15" s="83"/>
      <c r="D15" s="142">
        <f t="shared" si="0"/>
        <v>0</v>
      </c>
      <c r="E15" s="304"/>
      <c r="F15" s="287"/>
      <c r="G15" s="288" t="e">
        <f t="shared" si="1"/>
        <v>#DIV/0!</v>
      </c>
      <c r="H15" s="289"/>
      <c r="I15" s="290" t="e">
        <f t="shared" si="2"/>
        <v>#DIV/0!</v>
      </c>
      <c r="J15" s="287"/>
      <c r="K15" s="288" t="e">
        <f t="shared" si="3"/>
        <v>#DIV/0!</v>
      </c>
      <c r="L15" s="289"/>
      <c r="M15" s="290" t="e">
        <f t="shared" si="4"/>
        <v>#DIV/0!</v>
      </c>
      <c r="N15" s="287"/>
      <c r="O15" s="288" t="e">
        <f t="shared" si="5"/>
        <v>#DIV/0!</v>
      </c>
      <c r="P15" s="289"/>
      <c r="Q15" s="290" t="e">
        <f t="shared" si="6"/>
        <v>#DIV/0!</v>
      </c>
      <c r="R15" s="287"/>
      <c r="S15" s="313" t="e">
        <f t="shared" si="7"/>
        <v>#DIV/0!</v>
      </c>
      <c r="T15" s="287"/>
      <c r="U15" s="313" t="e">
        <f t="shared" si="8"/>
        <v>#DIV/0!</v>
      </c>
      <c r="V15" s="323" t="e">
        <f t="shared" si="9"/>
        <v>#DIV/0!</v>
      </c>
      <c r="W15" s="81">
        <v>0</v>
      </c>
      <c r="X15" s="81"/>
      <c r="Y15" s="84">
        <f t="shared" si="10"/>
        <v>0</v>
      </c>
      <c r="Z15" s="85"/>
      <c r="AA15" s="84">
        <f t="shared" si="11"/>
        <v>0</v>
      </c>
      <c r="AB15" s="81"/>
      <c r="AC15" s="84">
        <f t="shared" si="12"/>
        <v>0</v>
      </c>
      <c r="AD15" s="85"/>
      <c r="AE15" s="84">
        <f t="shared" si="13"/>
        <v>0</v>
      </c>
      <c r="AF15" s="81"/>
      <c r="AG15" s="84">
        <f t="shared" si="14"/>
        <v>0</v>
      </c>
      <c r="AH15" s="85"/>
      <c r="AI15" s="84">
        <f t="shared" si="15"/>
        <v>0</v>
      </c>
      <c r="AJ15" s="85"/>
      <c r="AK15" s="84">
        <f t="shared" si="16"/>
        <v>0</v>
      </c>
      <c r="AL15" s="85"/>
      <c r="AM15" s="84">
        <f t="shared" si="17"/>
        <v>0</v>
      </c>
      <c r="AN15" s="85"/>
      <c r="AO15" s="84">
        <f t="shared" si="18"/>
        <v>0</v>
      </c>
      <c r="AP15" s="85"/>
      <c r="AQ15" s="84">
        <f t="shared" si="19"/>
        <v>0</v>
      </c>
      <c r="AR15" s="85"/>
      <c r="AS15" s="84">
        <f t="shared" si="20"/>
        <v>0</v>
      </c>
      <c r="AT15" s="81"/>
      <c r="AU15" s="214">
        <f t="shared" si="21"/>
        <v>0</v>
      </c>
    </row>
    <row r="16" spans="1:47" x14ac:dyDescent="0.35">
      <c r="A16" s="149"/>
      <c r="B16" s="180"/>
      <c r="C16" s="83"/>
      <c r="D16" s="142">
        <f t="shared" si="0"/>
        <v>0</v>
      </c>
      <c r="E16" s="304"/>
      <c r="F16" s="287"/>
      <c r="G16" s="288" t="e">
        <f t="shared" si="1"/>
        <v>#DIV/0!</v>
      </c>
      <c r="H16" s="289"/>
      <c r="I16" s="290" t="e">
        <f t="shared" si="2"/>
        <v>#DIV/0!</v>
      </c>
      <c r="J16" s="287"/>
      <c r="K16" s="288" t="e">
        <f t="shared" si="3"/>
        <v>#DIV/0!</v>
      </c>
      <c r="L16" s="289"/>
      <c r="M16" s="290" t="e">
        <f t="shared" si="4"/>
        <v>#DIV/0!</v>
      </c>
      <c r="N16" s="287"/>
      <c r="O16" s="288" t="e">
        <f t="shared" si="5"/>
        <v>#DIV/0!</v>
      </c>
      <c r="P16" s="289"/>
      <c r="Q16" s="290" t="e">
        <f t="shared" si="6"/>
        <v>#DIV/0!</v>
      </c>
      <c r="R16" s="287"/>
      <c r="S16" s="313" t="e">
        <f t="shared" si="7"/>
        <v>#DIV/0!</v>
      </c>
      <c r="T16" s="287"/>
      <c r="U16" s="313" t="e">
        <f t="shared" si="8"/>
        <v>#DIV/0!</v>
      </c>
      <c r="V16" s="323" t="e">
        <f t="shared" si="9"/>
        <v>#DIV/0!</v>
      </c>
      <c r="W16" s="81">
        <v>0</v>
      </c>
      <c r="X16" s="81"/>
      <c r="Y16" s="84">
        <v>0</v>
      </c>
      <c r="Z16" s="85"/>
      <c r="AA16" s="84">
        <f t="shared" si="11"/>
        <v>0</v>
      </c>
      <c r="AB16" s="81"/>
      <c r="AC16" s="84">
        <f t="shared" si="12"/>
        <v>0</v>
      </c>
      <c r="AD16" s="85"/>
      <c r="AE16" s="84">
        <f t="shared" si="13"/>
        <v>0</v>
      </c>
      <c r="AF16" s="81"/>
      <c r="AG16" s="84">
        <f t="shared" si="14"/>
        <v>0</v>
      </c>
      <c r="AH16" s="85"/>
      <c r="AI16" s="84">
        <f t="shared" si="15"/>
        <v>0</v>
      </c>
      <c r="AJ16" s="85"/>
      <c r="AK16" s="84">
        <f t="shared" si="16"/>
        <v>0</v>
      </c>
      <c r="AL16" s="85"/>
      <c r="AM16" s="84">
        <f t="shared" si="17"/>
        <v>0</v>
      </c>
      <c r="AN16" s="85"/>
      <c r="AO16" s="84">
        <f t="shared" si="18"/>
        <v>0</v>
      </c>
      <c r="AP16" s="85"/>
      <c r="AQ16" s="84">
        <f t="shared" si="19"/>
        <v>0</v>
      </c>
      <c r="AR16" s="85"/>
      <c r="AS16" s="84">
        <f t="shared" si="20"/>
        <v>0</v>
      </c>
      <c r="AT16" s="81"/>
      <c r="AU16" s="214">
        <f t="shared" si="21"/>
        <v>0</v>
      </c>
    </row>
    <row r="17" spans="1:47" x14ac:dyDescent="0.35">
      <c r="A17" s="149"/>
      <c r="B17" s="180"/>
      <c r="C17" s="83"/>
      <c r="D17" s="142">
        <f t="shared" ref="D17:D22" si="22">C17</f>
        <v>0</v>
      </c>
      <c r="E17" s="304"/>
      <c r="F17" s="287"/>
      <c r="G17" s="288" t="e">
        <f t="shared" ref="G17:G22" si="23">F17/E17</f>
        <v>#DIV/0!</v>
      </c>
      <c r="H17" s="289"/>
      <c r="I17" s="290" t="e">
        <f t="shared" ref="I17:I22" si="24">H17/E17</f>
        <v>#DIV/0!</v>
      </c>
      <c r="J17" s="287"/>
      <c r="K17" s="288" t="e">
        <f t="shared" ref="K17:K22" si="25">J17/E17</f>
        <v>#DIV/0!</v>
      </c>
      <c r="L17" s="289"/>
      <c r="M17" s="290" t="e">
        <f t="shared" ref="M17:M22" si="26">L17/E17</f>
        <v>#DIV/0!</v>
      </c>
      <c r="N17" s="287"/>
      <c r="O17" s="288" t="e">
        <f t="shared" ref="O17:O22" si="27">N17/E17</f>
        <v>#DIV/0!</v>
      </c>
      <c r="P17" s="289"/>
      <c r="Q17" s="290" t="e">
        <f t="shared" ref="Q17:Q22" si="28">P17/E17</f>
        <v>#DIV/0!</v>
      </c>
      <c r="R17" s="287"/>
      <c r="S17" s="313" t="e">
        <f t="shared" ref="S17:S22" si="29">R17/E17</f>
        <v>#DIV/0!</v>
      </c>
      <c r="T17" s="287"/>
      <c r="U17" s="313" t="e">
        <f t="shared" ref="U17:U22" si="30">T17/E17</f>
        <v>#DIV/0!</v>
      </c>
      <c r="V17" s="323" t="e">
        <f t="shared" ref="V17:V22" si="31">U17+S17+Q17+O17+M17+K17+I17+G17</f>
        <v>#DIV/0!</v>
      </c>
      <c r="W17" s="81">
        <v>0</v>
      </c>
      <c r="X17" s="81"/>
      <c r="Y17" s="84">
        <f t="shared" ref="Y17:Y18" si="32">D17-W17</f>
        <v>0</v>
      </c>
      <c r="Z17" s="85"/>
      <c r="AA17" s="84">
        <f t="shared" ref="AA17:AA19" si="33">D17-W17-Y17</f>
        <v>0</v>
      </c>
      <c r="AB17" s="81"/>
      <c r="AC17" s="84">
        <f t="shared" ref="AC17:AC19" si="34">D17-W17-Y17-AA17</f>
        <v>0</v>
      </c>
      <c r="AD17" s="85"/>
      <c r="AE17" s="84">
        <f t="shared" ref="AE17:AE19" si="35">D17-W17-Y17-AA17-AC17</f>
        <v>0</v>
      </c>
      <c r="AF17" s="81"/>
      <c r="AG17" s="84">
        <f t="shared" ref="AG17:AG19" si="36">D17-W17-Y17-AA17-AC17-AE17</f>
        <v>0</v>
      </c>
      <c r="AH17" s="85"/>
      <c r="AI17" s="84">
        <f t="shared" ref="AI17:AI19" si="37">D17-W17-Y17-AA17-AC17-AE17-AG17</f>
        <v>0</v>
      </c>
      <c r="AJ17" s="85"/>
      <c r="AK17" s="84">
        <f t="shared" ref="AK17:AK19" si="38">D17-W17-Y17-AA17-AC17-AE17-AG17-AI17</f>
        <v>0</v>
      </c>
      <c r="AL17" s="85"/>
      <c r="AM17" s="84">
        <f t="shared" ref="AM17:AM19" si="39">D17-W17-Y17-AA17-AC17-AE17-AG17-AI17-AK17</f>
        <v>0</v>
      </c>
      <c r="AN17" s="85"/>
      <c r="AO17" s="84">
        <f t="shared" ref="AO17:AO19" si="40">D17-W17-Y17-AA17-AC17-AE17-AG17-AI17-AK17-AM17</f>
        <v>0</v>
      </c>
      <c r="AP17" s="85"/>
      <c r="AQ17" s="84">
        <f t="shared" ref="AQ17:AQ19" si="41">D17-W17-Y17-AA17-AC17-AE17-AG17-AI17-AK17-AM17-AO17</f>
        <v>0</v>
      </c>
      <c r="AR17" s="85"/>
      <c r="AS17" s="84">
        <f t="shared" ref="AS17:AS21" si="42">D17-W17-Y17-AA17-AC17-AE17-AG17-AI17-AK17-AM17-AO17-AQ17</f>
        <v>0</v>
      </c>
      <c r="AT17" s="81"/>
      <c r="AU17" s="214">
        <f t="shared" ref="AU17:AU22" si="43">D17-W17-Y17-AA17-AC17-AE17-AG17-AI17-AK17-AM17-AO17-AQ17-AS17</f>
        <v>0</v>
      </c>
    </row>
    <row r="18" spans="1:47" x14ac:dyDescent="0.35">
      <c r="A18" s="149"/>
      <c r="B18" s="180"/>
      <c r="C18" s="83"/>
      <c r="D18" s="142">
        <f t="shared" si="22"/>
        <v>0</v>
      </c>
      <c r="E18" s="304"/>
      <c r="F18" s="287"/>
      <c r="G18" s="288" t="e">
        <f t="shared" si="23"/>
        <v>#DIV/0!</v>
      </c>
      <c r="H18" s="289"/>
      <c r="I18" s="290" t="e">
        <f t="shared" si="24"/>
        <v>#DIV/0!</v>
      </c>
      <c r="J18" s="287"/>
      <c r="K18" s="288" t="e">
        <f t="shared" si="25"/>
        <v>#DIV/0!</v>
      </c>
      <c r="L18" s="289"/>
      <c r="M18" s="290" t="e">
        <f t="shared" si="26"/>
        <v>#DIV/0!</v>
      </c>
      <c r="N18" s="287"/>
      <c r="O18" s="288" t="e">
        <f t="shared" si="27"/>
        <v>#DIV/0!</v>
      </c>
      <c r="P18" s="289"/>
      <c r="Q18" s="290" t="e">
        <f t="shared" si="28"/>
        <v>#DIV/0!</v>
      </c>
      <c r="R18" s="287"/>
      <c r="S18" s="313" t="e">
        <f t="shared" si="29"/>
        <v>#DIV/0!</v>
      </c>
      <c r="T18" s="287"/>
      <c r="U18" s="313" t="e">
        <f t="shared" si="30"/>
        <v>#DIV/0!</v>
      </c>
      <c r="V18" s="323" t="e">
        <f t="shared" si="31"/>
        <v>#DIV/0!</v>
      </c>
      <c r="W18" s="81">
        <v>0</v>
      </c>
      <c r="X18" s="81"/>
      <c r="Y18" s="84">
        <f t="shared" si="32"/>
        <v>0</v>
      </c>
      <c r="Z18" s="85"/>
      <c r="AA18" s="84">
        <f t="shared" si="33"/>
        <v>0</v>
      </c>
      <c r="AB18" s="81"/>
      <c r="AC18" s="84">
        <f t="shared" si="34"/>
        <v>0</v>
      </c>
      <c r="AD18" s="85"/>
      <c r="AE18" s="84">
        <f t="shared" si="35"/>
        <v>0</v>
      </c>
      <c r="AF18" s="81"/>
      <c r="AG18" s="84">
        <f t="shared" si="36"/>
        <v>0</v>
      </c>
      <c r="AH18" s="85"/>
      <c r="AI18" s="84">
        <f t="shared" si="37"/>
        <v>0</v>
      </c>
      <c r="AJ18" s="85"/>
      <c r="AK18" s="84">
        <f t="shared" si="38"/>
        <v>0</v>
      </c>
      <c r="AL18" s="85"/>
      <c r="AM18" s="84">
        <f t="shared" si="39"/>
        <v>0</v>
      </c>
      <c r="AN18" s="85"/>
      <c r="AO18" s="84">
        <f t="shared" si="40"/>
        <v>0</v>
      </c>
      <c r="AP18" s="85"/>
      <c r="AQ18" s="84">
        <f t="shared" si="41"/>
        <v>0</v>
      </c>
      <c r="AR18" s="85"/>
      <c r="AS18" s="84">
        <f t="shared" si="42"/>
        <v>0</v>
      </c>
      <c r="AT18" s="81"/>
      <c r="AU18" s="214">
        <f t="shared" si="43"/>
        <v>0</v>
      </c>
    </row>
    <row r="19" spans="1:47" x14ac:dyDescent="0.35">
      <c r="A19" s="149"/>
      <c r="B19" s="180"/>
      <c r="C19" s="83"/>
      <c r="D19" s="142">
        <f t="shared" si="22"/>
        <v>0</v>
      </c>
      <c r="E19" s="304"/>
      <c r="F19" s="287"/>
      <c r="G19" s="288" t="e">
        <f t="shared" si="23"/>
        <v>#DIV/0!</v>
      </c>
      <c r="H19" s="289"/>
      <c r="I19" s="290" t="e">
        <f t="shared" si="24"/>
        <v>#DIV/0!</v>
      </c>
      <c r="J19" s="287"/>
      <c r="K19" s="288" t="e">
        <f t="shared" si="25"/>
        <v>#DIV/0!</v>
      </c>
      <c r="L19" s="289"/>
      <c r="M19" s="290" t="e">
        <f t="shared" si="26"/>
        <v>#DIV/0!</v>
      </c>
      <c r="N19" s="287"/>
      <c r="O19" s="288" t="e">
        <f t="shared" si="27"/>
        <v>#DIV/0!</v>
      </c>
      <c r="P19" s="289"/>
      <c r="Q19" s="290" t="e">
        <f t="shared" si="28"/>
        <v>#DIV/0!</v>
      </c>
      <c r="R19" s="287"/>
      <c r="S19" s="313" t="e">
        <f t="shared" si="29"/>
        <v>#DIV/0!</v>
      </c>
      <c r="T19" s="287"/>
      <c r="U19" s="313" t="e">
        <f t="shared" si="30"/>
        <v>#DIV/0!</v>
      </c>
      <c r="V19" s="323" t="e">
        <f t="shared" si="31"/>
        <v>#DIV/0!</v>
      </c>
      <c r="W19" s="81">
        <v>0</v>
      </c>
      <c r="X19" s="81"/>
      <c r="Y19" s="84">
        <v>0</v>
      </c>
      <c r="Z19" s="85"/>
      <c r="AA19" s="84">
        <f t="shared" si="33"/>
        <v>0</v>
      </c>
      <c r="AB19" s="81"/>
      <c r="AC19" s="84">
        <f t="shared" si="34"/>
        <v>0</v>
      </c>
      <c r="AD19" s="85"/>
      <c r="AE19" s="84">
        <f t="shared" si="35"/>
        <v>0</v>
      </c>
      <c r="AF19" s="81"/>
      <c r="AG19" s="84">
        <f t="shared" si="36"/>
        <v>0</v>
      </c>
      <c r="AH19" s="85"/>
      <c r="AI19" s="84">
        <f t="shared" si="37"/>
        <v>0</v>
      </c>
      <c r="AJ19" s="85"/>
      <c r="AK19" s="84">
        <f t="shared" si="38"/>
        <v>0</v>
      </c>
      <c r="AL19" s="85"/>
      <c r="AM19" s="84">
        <f t="shared" si="39"/>
        <v>0</v>
      </c>
      <c r="AN19" s="85"/>
      <c r="AO19" s="84">
        <f t="shared" si="40"/>
        <v>0</v>
      </c>
      <c r="AP19" s="85"/>
      <c r="AQ19" s="84">
        <f t="shared" si="41"/>
        <v>0</v>
      </c>
      <c r="AR19" s="85"/>
      <c r="AS19" s="84">
        <f t="shared" si="42"/>
        <v>0</v>
      </c>
      <c r="AT19" s="81"/>
      <c r="AU19" s="214">
        <f t="shared" si="43"/>
        <v>0</v>
      </c>
    </row>
    <row r="20" spans="1:47" x14ac:dyDescent="0.35">
      <c r="A20" s="353" t="s">
        <v>610</v>
      </c>
      <c r="B20" s="180"/>
      <c r="C20" s="83">
        <v>864</v>
      </c>
      <c r="D20" s="142">
        <f t="shared" si="22"/>
        <v>864</v>
      </c>
      <c r="E20" s="304">
        <f>D20</f>
        <v>864</v>
      </c>
      <c r="F20" s="287"/>
      <c r="G20" s="288">
        <f t="shared" si="23"/>
        <v>0</v>
      </c>
      <c r="H20" s="289"/>
      <c r="I20" s="290">
        <f t="shared" si="24"/>
        <v>0</v>
      </c>
      <c r="J20" s="287"/>
      <c r="K20" s="288">
        <f t="shared" si="25"/>
        <v>0</v>
      </c>
      <c r="L20" s="289"/>
      <c r="M20" s="290">
        <f t="shared" si="26"/>
        <v>0</v>
      </c>
      <c r="N20" s="287"/>
      <c r="O20" s="288">
        <f t="shared" si="27"/>
        <v>0</v>
      </c>
      <c r="P20" s="289"/>
      <c r="Q20" s="290">
        <f t="shared" si="28"/>
        <v>0</v>
      </c>
      <c r="R20" s="287"/>
      <c r="S20" s="313">
        <f t="shared" si="29"/>
        <v>0</v>
      </c>
      <c r="T20" s="287">
        <v>864</v>
      </c>
      <c r="U20" s="313">
        <f t="shared" si="30"/>
        <v>1</v>
      </c>
      <c r="V20" s="323">
        <f t="shared" si="31"/>
        <v>1</v>
      </c>
      <c r="W20" s="81">
        <v>0</v>
      </c>
      <c r="X20" s="81"/>
      <c r="Y20" s="84">
        <v>0</v>
      </c>
      <c r="Z20" s="85"/>
      <c r="AA20" s="84">
        <v>0</v>
      </c>
      <c r="AB20" s="81"/>
      <c r="AC20" s="84">
        <v>0</v>
      </c>
      <c r="AD20" s="85"/>
      <c r="AE20" s="84">
        <v>0</v>
      </c>
      <c r="AF20" s="81"/>
      <c r="AG20" s="84">
        <v>0</v>
      </c>
      <c r="AH20" s="85"/>
      <c r="AI20" s="84">
        <v>0</v>
      </c>
      <c r="AJ20" s="85"/>
      <c r="AK20" s="84">
        <v>0</v>
      </c>
      <c r="AL20" s="85"/>
      <c r="AM20" s="84">
        <v>0</v>
      </c>
      <c r="AN20" s="85"/>
      <c r="AO20" s="84">
        <v>0</v>
      </c>
      <c r="AP20" s="85"/>
      <c r="AQ20" s="84">
        <v>0</v>
      </c>
      <c r="AR20" s="85"/>
      <c r="AS20" s="230">
        <f t="shared" si="42"/>
        <v>864</v>
      </c>
      <c r="AT20" s="195">
        <v>864</v>
      </c>
      <c r="AU20" s="214">
        <f t="shared" si="43"/>
        <v>0</v>
      </c>
    </row>
    <row r="21" spans="1:47" x14ac:dyDescent="0.35">
      <c r="A21" s="151" t="s">
        <v>609</v>
      </c>
      <c r="B21" s="180"/>
      <c r="C21" s="83">
        <f>24478+1339.94</f>
        <v>25817.94</v>
      </c>
      <c r="D21" s="142">
        <f>23536+942+1339.94</f>
        <v>25817.94</v>
      </c>
      <c r="E21" s="304">
        <v>24478</v>
      </c>
      <c r="F21" s="287"/>
      <c r="G21" s="288">
        <f t="shared" si="23"/>
        <v>0</v>
      </c>
      <c r="H21" s="289"/>
      <c r="I21" s="290">
        <f t="shared" si="24"/>
        <v>0</v>
      </c>
      <c r="J21" s="287">
        <v>24478</v>
      </c>
      <c r="K21" s="288">
        <f t="shared" si="25"/>
        <v>1</v>
      </c>
      <c r="L21" s="289"/>
      <c r="M21" s="290">
        <f t="shared" si="26"/>
        <v>0</v>
      </c>
      <c r="N21" s="287"/>
      <c r="O21" s="288">
        <f t="shared" si="27"/>
        <v>0</v>
      </c>
      <c r="P21" s="289"/>
      <c r="Q21" s="290">
        <f t="shared" si="28"/>
        <v>0</v>
      </c>
      <c r="R21" s="287"/>
      <c r="S21" s="313">
        <f t="shared" si="29"/>
        <v>0</v>
      </c>
      <c r="T21" s="287"/>
      <c r="U21" s="313">
        <f t="shared" si="30"/>
        <v>0</v>
      </c>
      <c r="V21" s="323">
        <f t="shared" si="31"/>
        <v>1</v>
      </c>
      <c r="W21" s="81">
        <v>0</v>
      </c>
      <c r="X21" s="81"/>
      <c r="Y21" s="84">
        <v>0</v>
      </c>
      <c r="Z21" s="85"/>
      <c r="AA21" s="84">
        <v>0</v>
      </c>
      <c r="AB21" s="81"/>
      <c r="AC21" s="84">
        <v>0</v>
      </c>
      <c r="AD21" s="85"/>
      <c r="AE21" s="84">
        <v>0</v>
      </c>
      <c r="AF21" s="81"/>
      <c r="AG21" s="84">
        <v>0</v>
      </c>
      <c r="AH21" s="85"/>
      <c r="AI21" s="84">
        <v>0</v>
      </c>
      <c r="AJ21" s="85"/>
      <c r="AK21" s="84">
        <v>0</v>
      </c>
      <c r="AL21" s="85"/>
      <c r="AM21" s="84">
        <v>0</v>
      </c>
      <c r="AN21" s="85"/>
      <c r="AO21" s="84">
        <v>0</v>
      </c>
      <c r="AP21" s="85"/>
      <c r="AQ21" s="230">
        <v>24478</v>
      </c>
      <c r="AR21" s="231">
        <v>24478</v>
      </c>
      <c r="AS21" s="230">
        <f t="shared" si="42"/>
        <v>1339.9399999999987</v>
      </c>
      <c r="AT21" s="195">
        <v>1339.94</v>
      </c>
      <c r="AU21" s="214">
        <f t="shared" si="43"/>
        <v>0</v>
      </c>
    </row>
    <row r="22" spans="1:47" x14ac:dyDescent="0.35">
      <c r="A22" s="159" t="s">
        <v>534</v>
      </c>
      <c r="B22" s="180"/>
      <c r="C22" s="83">
        <v>51440.55</v>
      </c>
      <c r="D22" s="142">
        <f t="shared" si="22"/>
        <v>51440.55</v>
      </c>
      <c r="E22" s="304"/>
      <c r="F22" s="287"/>
      <c r="G22" s="288" t="e">
        <f t="shared" si="23"/>
        <v>#DIV/0!</v>
      </c>
      <c r="H22" s="289"/>
      <c r="I22" s="290" t="e">
        <f t="shared" si="24"/>
        <v>#DIV/0!</v>
      </c>
      <c r="J22" s="287"/>
      <c r="K22" s="288" t="e">
        <f t="shared" si="25"/>
        <v>#DIV/0!</v>
      </c>
      <c r="L22" s="289"/>
      <c r="M22" s="290" t="e">
        <f t="shared" si="26"/>
        <v>#DIV/0!</v>
      </c>
      <c r="N22" s="287"/>
      <c r="O22" s="288" t="e">
        <f t="shared" si="27"/>
        <v>#DIV/0!</v>
      </c>
      <c r="P22" s="289"/>
      <c r="Q22" s="290" t="e">
        <f t="shared" si="28"/>
        <v>#DIV/0!</v>
      </c>
      <c r="R22" s="287"/>
      <c r="S22" s="313" t="e">
        <f t="shared" si="29"/>
        <v>#DIV/0!</v>
      </c>
      <c r="T22" s="287"/>
      <c r="U22" s="313" t="e">
        <f t="shared" si="30"/>
        <v>#DIV/0!</v>
      </c>
      <c r="V22" s="323" t="e">
        <f t="shared" si="31"/>
        <v>#DIV/0!</v>
      </c>
      <c r="W22" s="81">
        <v>0</v>
      </c>
      <c r="X22" s="81"/>
      <c r="Y22" s="84">
        <v>0</v>
      </c>
      <c r="Z22" s="85"/>
      <c r="AA22" s="84">
        <v>0</v>
      </c>
      <c r="AB22" s="81"/>
      <c r="AC22" s="84">
        <v>0</v>
      </c>
      <c r="AD22" s="85"/>
      <c r="AE22" s="84">
        <v>0</v>
      </c>
      <c r="AF22" s="81"/>
      <c r="AG22" s="84">
        <v>0</v>
      </c>
      <c r="AH22" s="85"/>
      <c r="AI22" s="84">
        <v>0</v>
      </c>
      <c r="AJ22" s="85"/>
      <c r="AK22" s="84">
        <v>0</v>
      </c>
      <c r="AL22" s="85"/>
      <c r="AM22" s="84">
        <v>0</v>
      </c>
      <c r="AN22" s="85"/>
      <c r="AO22" s="84">
        <v>0</v>
      </c>
      <c r="AP22" s="85"/>
      <c r="AQ22" s="84">
        <v>0</v>
      </c>
      <c r="AR22" s="85"/>
      <c r="AS22" s="84">
        <v>0</v>
      </c>
      <c r="AT22" s="81"/>
      <c r="AU22" s="214">
        <f t="shared" si="43"/>
        <v>51440.55</v>
      </c>
    </row>
    <row r="23" spans="1:47" x14ac:dyDescent="0.35">
      <c r="A23" s="159" t="s">
        <v>608</v>
      </c>
      <c r="B23" s="180"/>
      <c r="C23" s="83">
        <v>20149.400000000001</v>
      </c>
      <c r="D23" s="142">
        <f t="shared" ref="D23:D34" si="44">C23</f>
        <v>20149.400000000001</v>
      </c>
      <c r="E23" s="304"/>
      <c r="F23" s="287"/>
      <c r="G23" s="288" t="e">
        <f t="shared" ref="G23:G34" si="45">F23/E23</f>
        <v>#DIV/0!</v>
      </c>
      <c r="H23" s="289"/>
      <c r="I23" s="290" t="e">
        <f t="shared" ref="I23:I34" si="46">H23/E23</f>
        <v>#DIV/0!</v>
      </c>
      <c r="J23" s="287"/>
      <c r="K23" s="288" t="e">
        <f t="shared" ref="K23:K34" si="47">J23/E23</f>
        <v>#DIV/0!</v>
      </c>
      <c r="L23" s="289"/>
      <c r="M23" s="290" t="e">
        <f t="shared" ref="M23:M34" si="48">L23/E23</f>
        <v>#DIV/0!</v>
      </c>
      <c r="N23" s="287"/>
      <c r="O23" s="288" t="e">
        <f t="shared" ref="O23:O34" si="49">N23/E23</f>
        <v>#DIV/0!</v>
      </c>
      <c r="P23" s="289"/>
      <c r="Q23" s="290" t="e">
        <f t="shared" ref="Q23:Q34" si="50">P23/E23</f>
        <v>#DIV/0!</v>
      </c>
      <c r="R23" s="287"/>
      <c r="S23" s="313" t="e">
        <f t="shared" ref="S23:S34" si="51">R23/E23</f>
        <v>#DIV/0!</v>
      </c>
      <c r="T23" s="287"/>
      <c r="U23" s="313" t="e">
        <f t="shared" ref="U23:U34" si="52">T23/E23</f>
        <v>#DIV/0!</v>
      </c>
      <c r="V23" s="323" t="e">
        <f t="shared" ref="V23:V34" si="53">U23+S23+Q23+O23+M23+K23+I23+G23</f>
        <v>#DIV/0!</v>
      </c>
      <c r="W23" s="81">
        <v>0</v>
      </c>
      <c r="X23" s="81"/>
      <c r="Y23" s="84">
        <v>0</v>
      </c>
      <c r="Z23" s="85"/>
      <c r="AA23" s="84">
        <v>0</v>
      </c>
      <c r="AB23" s="81"/>
      <c r="AC23" s="84">
        <v>0</v>
      </c>
      <c r="AD23" s="85"/>
      <c r="AE23" s="84">
        <v>0</v>
      </c>
      <c r="AF23" s="81"/>
      <c r="AG23" s="84">
        <v>0</v>
      </c>
      <c r="AH23" s="85"/>
      <c r="AI23" s="84">
        <v>0</v>
      </c>
      <c r="AJ23" s="85"/>
      <c r="AK23" s="84">
        <v>0</v>
      </c>
      <c r="AL23" s="85"/>
      <c r="AM23" s="84">
        <v>0</v>
      </c>
      <c r="AN23" s="85"/>
      <c r="AO23" s="84">
        <v>0</v>
      </c>
      <c r="AP23" s="85"/>
      <c r="AQ23" s="84">
        <v>0</v>
      </c>
      <c r="AR23" s="85"/>
      <c r="AS23" s="84">
        <v>0</v>
      </c>
      <c r="AT23" s="81"/>
      <c r="AU23" s="214">
        <f t="shared" ref="AU23:AU34" si="54">D23-W23-Y23-AA23-AC23-AE23-AG23-AI23-AK23-AM23-AO23-AQ23-AS23</f>
        <v>20149.400000000001</v>
      </c>
    </row>
    <row r="24" spans="1:47" x14ac:dyDescent="0.35">
      <c r="A24" s="159" t="s">
        <v>607</v>
      </c>
      <c r="B24" s="180"/>
      <c r="C24" s="83">
        <f>400+6799.86+887.11+9560.51+10014.49+2380.91</f>
        <v>30042.880000000001</v>
      </c>
      <c r="D24" s="142">
        <f t="shared" si="44"/>
        <v>30042.880000000001</v>
      </c>
      <c r="E24" s="304"/>
      <c r="F24" s="287"/>
      <c r="G24" s="288" t="e">
        <f t="shared" si="45"/>
        <v>#DIV/0!</v>
      </c>
      <c r="H24" s="289"/>
      <c r="I24" s="290" t="e">
        <f t="shared" si="46"/>
        <v>#DIV/0!</v>
      </c>
      <c r="J24" s="287"/>
      <c r="K24" s="288" t="e">
        <f t="shared" si="47"/>
        <v>#DIV/0!</v>
      </c>
      <c r="L24" s="289"/>
      <c r="M24" s="290" t="e">
        <f t="shared" si="48"/>
        <v>#DIV/0!</v>
      </c>
      <c r="N24" s="287"/>
      <c r="O24" s="288" t="e">
        <f t="shared" si="49"/>
        <v>#DIV/0!</v>
      </c>
      <c r="P24" s="289"/>
      <c r="Q24" s="290" t="e">
        <f t="shared" si="50"/>
        <v>#DIV/0!</v>
      </c>
      <c r="R24" s="287"/>
      <c r="S24" s="313" t="e">
        <f t="shared" si="51"/>
        <v>#DIV/0!</v>
      </c>
      <c r="T24" s="287"/>
      <c r="U24" s="313" t="e">
        <f t="shared" si="52"/>
        <v>#DIV/0!</v>
      </c>
      <c r="V24" s="323" t="e">
        <f t="shared" si="53"/>
        <v>#DIV/0!</v>
      </c>
      <c r="W24" s="81">
        <v>0</v>
      </c>
      <c r="X24" s="81"/>
      <c r="Y24" s="84">
        <v>0</v>
      </c>
      <c r="Z24" s="85"/>
      <c r="AA24" s="84">
        <v>0</v>
      </c>
      <c r="AB24" s="81"/>
      <c r="AC24" s="84">
        <v>0</v>
      </c>
      <c r="AD24" s="85"/>
      <c r="AE24" s="84">
        <v>0</v>
      </c>
      <c r="AF24" s="81"/>
      <c r="AG24" s="84">
        <v>0</v>
      </c>
      <c r="AH24" s="85"/>
      <c r="AI24" s="84">
        <v>0</v>
      </c>
      <c r="AJ24" s="85"/>
      <c r="AK24" s="84">
        <v>0</v>
      </c>
      <c r="AL24" s="85"/>
      <c r="AM24" s="84">
        <v>0</v>
      </c>
      <c r="AN24" s="85"/>
      <c r="AO24" s="84">
        <v>0</v>
      </c>
      <c r="AP24" s="85"/>
      <c r="AQ24" s="84">
        <v>0</v>
      </c>
      <c r="AR24" s="85"/>
      <c r="AS24" s="84">
        <v>0</v>
      </c>
      <c r="AT24" s="81"/>
      <c r="AU24" s="214">
        <f t="shared" si="54"/>
        <v>30042.880000000001</v>
      </c>
    </row>
    <row r="25" spans="1:47" x14ac:dyDescent="0.35">
      <c r="A25" s="151" t="s">
        <v>606</v>
      </c>
      <c r="B25" s="180"/>
      <c r="C25" s="83">
        <v>98094.97</v>
      </c>
      <c r="D25" s="142">
        <f t="shared" si="44"/>
        <v>98094.97</v>
      </c>
      <c r="E25" s="304"/>
      <c r="F25" s="287"/>
      <c r="G25" s="288" t="e">
        <f t="shared" si="45"/>
        <v>#DIV/0!</v>
      </c>
      <c r="H25" s="289"/>
      <c r="I25" s="290" t="e">
        <f t="shared" si="46"/>
        <v>#DIV/0!</v>
      </c>
      <c r="J25" s="287"/>
      <c r="K25" s="288" t="e">
        <f t="shared" si="47"/>
        <v>#DIV/0!</v>
      </c>
      <c r="L25" s="289"/>
      <c r="M25" s="290" t="e">
        <f t="shared" si="48"/>
        <v>#DIV/0!</v>
      </c>
      <c r="N25" s="287"/>
      <c r="O25" s="288" t="e">
        <f t="shared" si="49"/>
        <v>#DIV/0!</v>
      </c>
      <c r="P25" s="289"/>
      <c r="Q25" s="290" t="e">
        <f t="shared" si="50"/>
        <v>#DIV/0!</v>
      </c>
      <c r="R25" s="287"/>
      <c r="S25" s="313" t="e">
        <f t="shared" si="51"/>
        <v>#DIV/0!</v>
      </c>
      <c r="T25" s="287"/>
      <c r="U25" s="313" t="e">
        <f t="shared" si="52"/>
        <v>#DIV/0!</v>
      </c>
      <c r="V25" s="323" t="e">
        <f t="shared" si="53"/>
        <v>#DIV/0!</v>
      </c>
      <c r="W25" s="81">
        <v>0</v>
      </c>
      <c r="X25" s="81"/>
      <c r="Y25" s="84">
        <v>0</v>
      </c>
      <c r="Z25" s="85"/>
      <c r="AA25" s="84">
        <v>0</v>
      </c>
      <c r="AB25" s="81"/>
      <c r="AC25" s="84">
        <v>0</v>
      </c>
      <c r="AD25" s="85"/>
      <c r="AE25" s="84">
        <v>0</v>
      </c>
      <c r="AF25" s="81"/>
      <c r="AG25" s="84">
        <v>0</v>
      </c>
      <c r="AH25" s="85"/>
      <c r="AI25" s="84">
        <v>0</v>
      </c>
      <c r="AJ25" s="85"/>
      <c r="AK25" s="84">
        <v>0</v>
      </c>
      <c r="AL25" s="85"/>
      <c r="AM25" s="84">
        <v>0</v>
      </c>
      <c r="AN25" s="85"/>
      <c r="AO25" s="84">
        <v>0</v>
      </c>
      <c r="AP25" s="85"/>
      <c r="AQ25" s="84">
        <v>0</v>
      </c>
      <c r="AR25" s="85"/>
      <c r="AS25" s="84">
        <v>0</v>
      </c>
      <c r="AT25" s="81"/>
      <c r="AU25" s="214">
        <f t="shared" si="54"/>
        <v>98094.97</v>
      </c>
    </row>
    <row r="26" spans="1:47" x14ac:dyDescent="0.35">
      <c r="A26" s="187" t="s">
        <v>605</v>
      </c>
      <c r="B26" s="180"/>
      <c r="C26" s="83">
        <f>7808.84+12085.6</f>
        <v>19894.440000000002</v>
      </c>
      <c r="D26" s="107">
        <f t="shared" si="44"/>
        <v>19894.440000000002</v>
      </c>
      <c r="E26" s="304">
        <f>D26</f>
        <v>19894.440000000002</v>
      </c>
      <c r="F26" s="287"/>
      <c r="G26" s="288">
        <f t="shared" si="45"/>
        <v>0</v>
      </c>
      <c r="H26" s="289">
        <f>E26-480-576</f>
        <v>18838.440000000002</v>
      </c>
      <c r="I26" s="290">
        <f t="shared" si="46"/>
        <v>0.94691984293098974</v>
      </c>
      <c r="J26" s="287"/>
      <c r="K26" s="288">
        <f t="shared" si="47"/>
        <v>0</v>
      </c>
      <c r="L26" s="289"/>
      <c r="M26" s="290">
        <f t="shared" si="48"/>
        <v>0</v>
      </c>
      <c r="N26" s="287"/>
      <c r="O26" s="288">
        <f t="shared" si="49"/>
        <v>0</v>
      </c>
      <c r="P26" s="289"/>
      <c r="Q26" s="290">
        <f t="shared" si="50"/>
        <v>0</v>
      </c>
      <c r="R26" s="287"/>
      <c r="S26" s="313">
        <f t="shared" si="51"/>
        <v>0</v>
      </c>
      <c r="T26" s="287">
        <f>E26-H26</f>
        <v>1056</v>
      </c>
      <c r="U26" s="313">
        <f t="shared" si="52"/>
        <v>5.3080157069010231E-2</v>
      </c>
      <c r="V26" s="323">
        <f t="shared" si="53"/>
        <v>1</v>
      </c>
      <c r="W26" s="81">
        <v>0</v>
      </c>
      <c r="X26" s="81"/>
      <c r="Y26" s="84">
        <v>0</v>
      </c>
      <c r="Z26" s="85"/>
      <c r="AA26" s="84">
        <v>0</v>
      </c>
      <c r="AB26" s="81"/>
      <c r="AC26" s="84">
        <v>0</v>
      </c>
      <c r="AD26" s="85"/>
      <c r="AE26" s="84">
        <v>0</v>
      </c>
      <c r="AF26" s="81"/>
      <c r="AG26" s="84">
        <v>0</v>
      </c>
      <c r="AH26" s="85"/>
      <c r="AI26" s="84">
        <v>0</v>
      </c>
      <c r="AJ26" s="85"/>
      <c r="AK26" s="84">
        <v>0</v>
      </c>
      <c r="AL26" s="85"/>
      <c r="AM26" s="84">
        <v>0</v>
      </c>
      <c r="AN26" s="85"/>
      <c r="AO26" s="84">
        <v>0</v>
      </c>
      <c r="AP26" s="85"/>
      <c r="AQ26" s="84">
        <v>0</v>
      </c>
      <c r="AR26" s="85"/>
      <c r="AS26" s="230">
        <v>4384</v>
      </c>
      <c r="AT26" s="195">
        <f>1834.82+2549.19</f>
        <v>4384.01</v>
      </c>
      <c r="AU26" s="214">
        <f t="shared" si="54"/>
        <v>15510.440000000002</v>
      </c>
    </row>
    <row r="27" spans="1:47" x14ac:dyDescent="0.35">
      <c r="A27" s="151" t="s">
        <v>604</v>
      </c>
      <c r="B27" s="180"/>
      <c r="C27" s="83">
        <f>20418.25+366.7-141+1506</f>
        <v>22149.95</v>
      </c>
      <c r="D27" s="107">
        <f t="shared" si="44"/>
        <v>22149.95</v>
      </c>
      <c r="E27" s="304">
        <f>D27</f>
        <v>22149.95</v>
      </c>
      <c r="F27" s="287">
        <v>17058</v>
      </c>
      <c r="G27" s="288">
        <f t="shared" si="45"/>
        <v>0.77011460522484243</v>
      </c>
      <c r="H27" s="289"/>
      <c r="I27" s="290">
        <f t="shared" si="46"/>
        <v>0</v>
      </c>
      <c r="J27" s="287"/>
      <c r="K27" s="288">
        <f t="shared" si="47"/>
        <v>0</v>
      </c>
      <c r="L27" s="289"/>
      <c r="M27" s="290">
        <f t="shared" si="48"/>
        <v>0</v>
      </c>
      <c r="N27" s="287">
        <v>1975</v>
      </c>
      <c r="O27" s="288">
        <f t="shared" si="49"/>
        <v>8.9164986828412701E-2</v>
      </c>
      <c r="P27" s="289">
        <v>1506</v>
      </c>
      <c r="Q27" s="290">
        <f t="shared" si="50"/>
        <v>6.7991124133463046E-2</v>
      </c>
      <c r="R27" s="287"/>
      <c r="S27" s="313">
        <f t="shared" si="51"/>
        <v>0</v>
      </c>
      <c r="T27" s="287">
        <v>1614</v>
      </c>
      <c r="U27" s="313">
        <f t="shared" si="52"/>
        <v>7.2866981641042078E-2</v>
      </c>
      <c r="V27" s="323">
        <f t="shared" si="53"/>
        <v>1.0001376978277603</v>
      </c>
      <c r="W27" s="81">
        <v>0</v>
      </c>
      <c r="X27" s="81"/>
      <c r="Y27" s="84">
        <v>0</v>
      </c>
      <c r="Z27" s="85"/>
      <c r="AA27" s="84">
        <v>0</v>
      </c>
      <c r="AB27" s="81"/>
      <c r="AC27" s="84">
        <v>0</v>
      </c>
      <c r="AD27" s="85"/>
      <c r="AE27" s="84">
        <v>0</v>
      </c>
      <c r="AF27" s="81"/>
      <c r="AG27" s="84">
        <v>0</v>
      </c>
      <c r="AH27" s="85"/>
      <c r="AI27" s="84">
        <v>0</v>
      </c>
      <c r="AJ27" s="85"/>
      <c r="AK27" s="84">
        <v>0</v>
      </c>
      <c r="AL27" s="85"/>
      <c r="AM27" s="84"/>
      <c r="AN27" s="85"/>
      <c r="AO27" s="230">
        <f>20418.84+366.7</f>
        <v>20785.54</v>
      </c>
      <c r="AP27" s="231">
        <v>20786</v>
      </c>
      <c r="AQ27" s="230">
        <v>-142</v>
      </c>
      <c r="AR27" s="231">
        <v>-142</v>
      </c>
      <c r="AS27" s="230">
        <v>1506.81</v>
      </c>
      <c r="AT27" s="195">
        <v>1506.81</v>
      </c>
      <c r="AU27" s="214">
        <f t="shared" si="54"/>
        <v>-0.40000000000009095</v>
      </c>
    </row>
    <row r="28" spans="1:47" x14ac:dyDescent="0.35">
      <c r="A28" s="159" t="s">
        <v>603</v>
      </c>
      <c r="B28" s="180"/>
      <c r="C28" s="83">
        <v>55005</v>
      </c>
      <c r="D28" s="142">
        <f t="shared" si="44"/>
        <v>55005</v>
      </c>
      <c r="E28" s="304"/>
      <c r="F28" s="287"/>
      <c r="G28" s="288" t="e">
        <f t="shared" si="45"/>
        <v>#DIV/0!</v>
      </c>
      <c r="H28" s="289"/>
      <c r="I28" s="290" t="e">
        <f t="shared" si="46"/>
        <v>#DIV/0!</v>
      </c>
      <c r="J28" s="287"/>
      <c r="K28" s="288" t="e">
        <f t="shared" si="47"/>
        <v>#DIV/0!</v>
      </c>
      <c r="L28" s="289"/>
      <c r="M28" s="290" t="e">
        <f t="shared" si="48"/>
        <v>#DIV/0!</v>
      </c>
      <c r="N28" s="287"/>
      <c r="O28" s="288" t="e">
        <f t="shared" si="49"/>
        <v>#DIV/0!</v>
      </c>
      <c r="P28" s="289"/>
      <c r="Q28" s="290" t="e">
        <f t="shared" si="50"/>
        <v>#DIV/0!</v>
      </c>
      <c r="R28" s="287"/>
      <c r="S28" s="313" t="e">
        <f t="shared" si="51"/>
        <v>#DIV/0!</v>
      </c>
      <c r="T28" s="287"/>
      <c r="U28" s="313" t="e">
        <f t="shared" si="52"/>
        <v>#DIV/0!</v>
      </c>
      <c r="V28" s="323" t="e">
        <f t="shared" si="53"/>
        <v>#DIV/0!</v>
      </c>
      <c r="W28" s="81">
        <v>0</v>
      </c>
      <c r="X28" s="81"/>
      <c r="Y28" s="84">
        <v>0</v>
      </c>
      <c r="Z28" s="85"/>
      <c r="AA28" s="84">
        <v>0</v>
      </c>
      <c r="AB28" s="81"/>
      <c r="AC28" s="84">
        <v>0</v>
      </c>
      <c r="AD28" s="85"/>
      <c r="AE28" s="84">
        <v>0</v>
      </c>
      <c r="AF28" s="81"/>
      <c r="AG28" s="84">
        <v>0</v>
      </c>
      <c r="AH28" s="85"/>
      <c r="AI28" s="84">
        <v>0</v>
      </c>
      <c r="AJ28" s="85"/>
      <c r="AK28" s="84">
        <v>0</v>
      </c>
      <c r="AL28" s="85"/>
      <c r="AM28" s="84">
        <v>0</v>
      </c>
      <c r="AN28" s="85"/>
      <c r="AO28" s="84">
        <v>0</v>
      </c>
      <c r="AP28" s="85"/>
      <c r="AQ28" s="84">
        <v>0</v>
      </c>
      <c r="AR28" s="85"/>
      <c r="AS28" s="84">
        <v>0</v>
      </c>
      <c r="AT28" s="81"/>
      <c r="AU28" s="214">
        <f t="shared" si="54"/>
        <v>55005</v>
      </c>
    </row>
    <row r="29" spans="1:47" x14ac:dyDescent="0.35">
      <c r="A29" s="159" t="s">
        <v>602</v>
      </c>
      <c r="B29" s="180"/>
      <c r="C29" s="83">
        <v>48991.13</v>
      </c>
      <c r="D29" s="107">
        <f t="shared" si="44"/>
        <v>48991.13</v>
      </c>
      <c r="E29" s="304">
        <v>48991</v>
      </c>
      <c r="F29" s="287">
        <v>17111.919999999998</v>
      </c>
      <c r="G29" s="288">
        <f t="shared" si="45"/>
        <v>0.34928701190014488</v>
      </c>
      <c r="H29" s="289">
        <v>7777.07</v>
      </c>
      <c r="I29" s="290">
        <f t="shared" si="46"/>
        <v>0.1587448715070115</v>
      </c>
      <c r="J29" s="287"/>
      <c r="K29" s="288">
        <f t="shared" si="47"/>
        <v>0</v>
      </c>
      <c r="L29" s="289">
        <v>17708.7</v>
      </c>
      <c r="M29" s="290">
        <f t="shared" si="48"/>
        <v>0.36146843297748565</v>
      </c>
      <c r="N29" s="287">
        <v>4953.4399999999996</v>
      </c>
      <c r="O29" s="288">
        <f t="shared" si="49"/>
        <v>0.10110918331938519</v>
      </c>
      <c r="P29" s="289"/>
      <c r="Q29" s="290">
        <f t="shared" si="50"/>
        <v>0</v>
      </c>
      <c r="R29" s="287"/>
      <c r="S29" s="313">
        <f t="shared" si="51"/>
        <v>0</v>
      </c>
      <c r="T29" s="287">
        <v>1440</v>
      </c>
      <c r="U29" s="313">
        <f t="shared" si="52"/>
        <v>2.93931538445837E-2</v>
      </c>
      <c r="V29" s="323">
        <f t="shared" si="53"/>
        <v>1.0000026535486111</v>
      </c>
      <c r="W29" s="81">
        <v>0</v>
      </c>
      <c r="X29" s="81"/>
      <c r="Y29" s="84">
        <v>0</v>
      </c>
      <c r="Z29" s="85"/>
      <c r="AA29" s="84">
        <v>0</v>
      </c>
      <c r="AB29" s="81"/>
      <c r="AC29" s="84">
        <v>0</v>
      </c>
      <c r="AD29" s="85"/>
      <c r="AE29" s="84">
        <v>0</v>
      </c>
      <c r="AF29" s="81"/>
      <c r="AG29" s="84">
        <v>0</v>
      </c>
      <c r="AH29" s="85"/>
      <c r="AI29" s="84">
        <v>0</v>
      </c>
      <c r="AJ29" s="85"/>
      <c r="AK29" s="84">
        <v>0</v>
      </c>
      <c r="AL29" s="85"/>
      <c r="AM29" s="84">
        <v>0</v>
      </c>
      <c r="AN29" s="85"/>
      <c r="AO29" s="84">
        <v>0</v>
      </c>
      <c r="AP29" s="85"/>
      <c r="AQ29" s="84">
        <v>0</v>
      </c>
      <c r="AR29" s="85"/>
      <c r="AS29" s="84">
        <v>0</v>
      </c>
      <c r="AT29" s="81"/>
      <c r="AU29" s="214">
        <f t="shared" si="54"/>
        <v>48991.13</v>
      </c>
    </row>
    <row r="30" spans="1:47" x14ac:dyDescent="0.35">
      <c r="A30" s="187" t="s">
        <v>601</v>
      </c>
      <c r="B30" s="180"/>
      <c r="C30" s="83">
        <v>9393.34</v>
      </c>
      <c r="D30" s="107">
        <f t="shared" si="44"/>
        <v>9393.34</v>
      </c>
      <c r="E30" s="304">
        <v>9393</v>
      </c>
      <c r="F30" s="287"/>
      <c r="G30" s="288">
        <f t="shared" si="45"/>
        <v>0</v>
      </c>
      <c r="H30" s="289">
        <v>9393</v>
      </c>
      <c r="I30" s="290">
        <f t="shared" si="46"/>
        <v>1</v>
      </c>
      <c r="J30" s="287"/>
      <c r="K30" s="288">
        <f t="shared" si="47"/>
        <v>0</v>
      </c>
      <c r="L30" s="289"/>
      <c r="M30" s="290">
        <f t="shared" si="48"/>
        <v>0</v>
      </c>
      <c r="N30" s="287"/>
      <c r="O30" s="288">
        <f t="shared" si="49"/>
        <v>0</v>
      </c>
      <c r="P30" s="289"/>
      <c r="Q30" s="290">
        <f t="shared" si="50"/>
        <v>0</v>
      </c>
      <c r="R30" s="287"/>
      <c r="S30" s="313">
        <f t="shared" si="51"/>
        <v>0</v>
      </c>
      <c r="T30" s="287"/>
      <c r="U30" s="313">
        <f t="shared" si="52"/>
        <v>0</v>
      </c>
      <c r="V30" s="323">
        <f t="shared" si="53"/>
        <v>1</v>
      </c>
      <c r="W30" s="81">
        <v>0</v>
      </c>
      <c r="X30" s="81"/>
      <c r="Y30" s="84">
        <v>0</v>
      </c>
      <c r="Z30" s="85"/>
      <c r="AA30" s="84">
        <v>0</v>
      </c>
      <c r="AB30" s="81"/>
      <c r="AC30" s="84">
        <v>0</v>
      </c>
      <c r="AD30" s="85"/>
      <c r="AE30" s="84">
        <v>0</v>
      </c>
      <c r="AF30" s="81"/>
      <c r="AG30" s="84">
        <v>0</v>
      </c>
      <c r="AH30" s="85"/>
      <c r="AI30" s="84">
        <v>0</v>
      </c>
      <c r="AJ30" s="85"/>
      <c r="AK30" s="84">
        <v>0</v>
      </c>
      <c r="AL30" s="85"/>
      <c r="AM30" s="84">
        <v>0</v>
      </c>
      <c r="AN30" s="85"/>
      <c r="AO30" s="84">
        <v>0</v>
      </c>
      <c r="AP30" s="85"/>
      <c r="AQ30" s="84">
        <v>0</v>
      </c>
      <c r="AR30" s="85"/>
      <c r="AS30" s="84">
        <v>0</v>
      </c>
      <c r="AT30" s="81"/>
      <c r="AU30" s="214">
        <f t="shared" si="54"/>
        <v>9393.34</v>
      </c>
    </row>
    <row r="31" spans="1:47" x14ac:dyDescent="0.35">
      <c r="A31" s="151"/>
      <c r="B31" s="180"/>
      <c r="C31" s="83"/>
      <c r="D31" s="107"/>
      <c r="E31" s="304"/>
      <c r="F31" s="287"/>
      <c r="G31" s="288" t="e">
        <f t="shared" si="45"/>
        <v>#DIV/0!</v>
      </c>
      <c r="H31" s="289"/>
      <c r="I31" s="290" t="e">
        <f t="shared" si="46"/>
        <v>#DIV/0!</v>
      </c>
      <c r="J31" s="287"/>
      <c r="K31" s="288" t="e">
        <f t="shared" si="47"/>
        <v>#DIV/0!</v>
      </c>
      <c r="L31" s="289"/>
      <c r="M31" s="290" t="e">
        <f t="shared" si="48"/>
        <v>#DIV/0!</v>
      </c>
      <c r="N31" s="287"/>
      <c r="O31" s="288" t="e">
        <f t="shared" si="49"/>
        <v>#DIV/0!</v>
      </c>
      <c r="P31" s="289"/>
      <c r="Q31" s="290" t="e">
        <f t="shared" si="50"/>
        <v>#DIV/0!</v>
      </c>
      <c r="R31" s="287"/>
      <c r="S31" s="313" t="e">
        <f t="shared" si="51"/>
        <v>#DIV/0!</v>
      </c>
      <c r="T31" s="287"/>
      <c r="U31" s="313" t="e">
        <f t="shared" si="52"/>
        <v>#DIV/0!</v>
      </c>
      <c r="V31" s="323" t="e">
        <f t="shared" si="53"/>
        <v>#DIV/0!</v>
      </c>
      <c r="W31" s="81">
        <v>0</v>
      </c>
      <c r="X31" s="81"/>
      <c r="Y31" s="84">
        <v>0</v>
      </c>
      <c r="Z31" s="85"/>
      <c r="AA31" s="84">
        <v>0</v>
      </c>
      <c r="AB31" s="81"/>
      <c r="AC31" s="84">
        <v>0</v>
      </c>
      <c r="AD31" s="85"/>
      <c r="AE31" s="84">
        <v>0</v>
      </c>
      <c r="AF31" s="81"/>
      <c r="AG31" s="84">
        <v>0</v>
      </c>
      <c r="AH31" s="85"/>
      <c r="AI31" s="84">
        <v>0</v>
      </c>
      <c r="AJ31" s="85"/>
      <c r="AK31" s="84">
        <v>0</v>
      </c>
      <c r="AL31" s="85"/>
      <c r="AM31" s="84">
        <v>0</v>
      </c>
      <c r="AN31" s="85"/>
      <c r="AO31" s="84">
        <f t="shared" ref="AO31:AO33" si="55">D31-W31-Y31-AA31-AC31-AE31-AG31-AI31-AK31-AM31</f>
        <v>0</v>
      </c>
      <c r="AP31" s="85"/>
      <c r="AQ31" s="84">
        <f t="shared" ref="AQ31:AQ33" si="56">D31-W31-Y31-AA31-AC31-AE31-AG31-AI31-AK31-AM31-AO31</f>
        <v>0</v>
      </c>
      <c r="AR31" s="85"/>
      <c r="AS31" s="84">
        <f t="shared" ref="AS31:AS33" si="57">D31-W31-Y31-AA31-AC31-AE31-AG31-AI31-AK31-AM31-AO31-AQ31</f>
        <v>0</v>
      </c>
      <c r="AT31" s="81"/>
      <c r="AU31" s="214">
        <f t="shared" si="54"/>
        <v>0</v>
      </c>
    </row>
    <row r="32" spans="1:47" x14ac:dyDescent="0.35">
      <c r="A32" s="159"/>
      <c r="B32" s="180"/>
      <c r="C32" s="83"/>
      <c r="D32" s="142"/>
      <c r="E32" s="304"/>
      <c r="F32" s="287"/>
      <c r="G32" s="288" t="e">
        <f t="shared" si="45"/>
        <v>#DIV/0!</v>
      </c>
      <c r="H32" s="289"/>
      <c r="I32" s="290" t="e">
        <f t="shared" si="46"/>
        <v>#DIV/0!</v>
      </c>
      <c r="J32" s="287"/>
      <c r="K32" s="288" t="e">
        <f t="shared" si="47"/>
        <v>#DIV/0!</v>
      </c>
      <c r="L32" s="289"/>
      <c r="M32" s="290" t="e">
        <f t="shared" si="48"/>
        <v>#DIV/0!</v>
      </c>
      <c r="N32" s="287"/>
      <c r="O32" s="288" t="e">
        <f t="shared" si="49"/>
        <v>#DIV/0!</v>
      </c>
      <c r="P32" s="289"/>
      <c r="Q32" s="290" t="e">
        <f t="shared" si="50"/>
        <v>#DIV/0!</v>
      </c>
      <c r="R32" s="287"/>
      <c r="S32" s="313" t="e">
        <f t="shared" si="51"/>
        <v>#DIV/0!</v>
      </c>
      <c r="T32" s="287"/>
      <c r="U32" s="313" t="e">
        <f t="shared" si="52"/>
        <v>#DIV/0!</v>
      </c>
      <c r="V32" s="323" t="e">
        <f t="shared" si="53"/>
        <v>#DIV/0!</v>
      </c>
      <c r="W32" s="81">
        <v>0</v>
      </c>
      <c r="X32" s="81"/>
      <c r="Y32" s="84">
        <v>0</v>
      </c>
      <c r="Z32" s="85"/>
      <c r="AA32" s="84">
        <v>0</v>
      </c>
      <c r="AB32" s="81"/>
      <c r="AC32" s="84">
        <v>0</v>
      </c>
      <c r="AD32" s="85"/>
      <c r="AE32" s="84">
        <v>0</v>
      </c>
      <c r="AF32" s="81"/>
      <c r="AG32" s="84">
        <v>0</v>
      </c>
      <c r="AH32" s="85"/>
      <c r="AI32" s="84">
        <v>0</v>
      </c>
      <c r="AJ32" s="85"/>
      <c r="AK32" s="84">
        <v>0</v>
      </c>
      <c r="AL32" s="85"/>
      <c r="AM32" s="84">
        <v>0</v>
      </c>
      <c r="AN32" s="85"/>
      <c r="AO32" s="84">
        <v>0</v>
      </c>
      <c r="AP32" s="85"/>
      <c r="AQ32" s="84">
        <v>0</v>
      </c>
      <c r="AR32" s="85"/>
      <c r="AS32" s="84">
        <v>0</v>
      </c>
      <c r="AT32" s="81"/>
      <c r="AU32" s="214">
        <f t="shared" si="54"/>
        <v>0</v>
      </c>
    </row>
    <row r="33" spans="1:47" x14ac:dyDescent="0.35">
      <c r="A33" s="151" t="s">
        <v>600</v>
      </c>
      <c r="B33" s="180"/>
      <c r="C33" s="83">
        <v>2559</v>
      </c>
      <c r="D33" s="107">
        <f t="shared" si="44"/>
        <v>2559</v>
      </c>
      <c r="E33" s="304">
        <v>2559</v>
      </c>
      <c r="F33" s="287"/>
      <c r="G33" s="288">
        <f t="shared" si="45"/>
        <v>0</v>
      </c>
      <c r="H33" s="289"/>
      <c r="I33" s="290">
        <f t="shared" si="46"/>
        <v>0</v>
      </c>
      <c r="J33" s="287">
        <v>2559</v>
      </c>
      <c r="K33" s="288">
        <f t="shared" si="47"/>
        <v>1</v>
      </c>
      <c r="L33" s="289"/>
      <c r="M33" s="290">
        <f t="shared" si="48"/>
        <v>0</v>
      </c>
      <c r="N33" s="287"/>
      <c r="O33" s="288">
        <f t="shared" si="49"/>
        <v>0</v>
      </c>
      <c r="P33" s="289"/>
      <c r="Q33" s="290">
        <f t="shared" si="50"/>
        <v>0</v>
      </c>
      <c r="R33" s="287"/>
      <c r="S33" s="313">
        <f t="shared" si="51"/>
        <v>0</v>
      </c>
      <c r="T33" s="287"/>
      <c r="U33" s="313">
        <f t="shared" si="52"/>
        <v>0</v>
      </c>
      <c r="V33" s="323">
        <f t="shared" si="53"/>
        <v>1</v>
      </c>
      <c r="W33" s="81">
        <v>0</v>
      </c>
      <c r="X33" s="81"/>
      <c r="Y33" s="84">
        <v>0</v>
      </c>
      <c r="Z33" s="85"/>
      <c r="AA33" s="84">
        <v>0</v>
      </c>
      <c r="AB33" s="81"/>
      <c r="AC33" s="84">
        <v>0</v>
      </c>
      <c r="AD33" s="85"/>
      <c r="AE33" s="84">
        <v>0</v>
      </c>
      <c r="AF33" s="81"/>
      <c r="AG33" s="84">
        <v>0</v>
      </c>
      <c r="AH33" s="85"/>
      <c r="AI33" s="84">
        <v>0</v>
      </c>
      <c r="AJ33" s="85"/>
      <c r="AK33" s="230">
        <f t="shared" ref="AK33" si="58">D33-W33-Y33-AA33-AC33-AE33-AG33-AI33</f>
        <v>2559</v>
      </c>
      <c r="AL33" s="231">
        <v>2559.5500000000002</v>
      </c>
      <c r="AM33" s="84">
        <f t="shared" ref="AM33" si="59">D33-W33-Y33-AA33-AC33-AE33-AG33-AI33-AK33</f>
        <v>0</v>
      </c>
      <c r="AN33" s="85"/>
      <c r="AO33" s="84">
        <f t="shared" si="55"/>
        <v>0</v>
      </c>
      <c r="AP33" s="85"/>
      <c r="AQ33" s="84">
        <f t="shared" si="56"/>
        <v>0</v>
      </c>
      <c r="AR33" s="85"/>
      <c r="AS33" s="84">
        <f t="shared" si="57"/>
        <v>0</v>
      </c>
      <c r="AT33" s="81"/>
      <c r="AU33" s="214">
        <f t="shared" si="54"/>
        <v>0</v>
      </c>
    </row>
    <row r="34" spans="1:47" x14ac:dyDescent="0.35">
      <c r="A34" s="187" t="s">
        <v>599</v>
      </c>
      <c r="B34" s="180"/>
      <c r="C34" s="83">
        <v>64547</v>
      </c>
      <c r="D34" s="142">
        <f t="shared" si="44"/>
        <v>64547</v>
      </c>
      <c r="E34" s="304"/>
      <c r="F34" s="287"/>
      <c r="G34" s="288" t="e">
        <f t="shared" si="45"/>
        <v>#DIV/0!</v>
      </c>
      <c r="H34" s="289"/>
      <c r="I34" s="290" t="e">
        <f t="shared" si="46"/>
        <v>#DIV/0!</v>
      </c>
      <c r="J34" s="287"/>
      <c r="K34" s="288" t="e">
        <f t="shared" si="47"/>
        <v>#DIV/0!</v>
      </c>
      <c r="L34" s="289"/>
      <c r="M34" s="290" t="e">
        <f t="shared" si="48"/>
        <v>#DIV/0!</v>
      </c>
      <c r="N34" s="287"/>
      <c r="O34" s="288" t="e">
        <f t="shared" si="49"/>
        <v>#DIV/0!</v>
      </c>
      <c r="P34" s="289"/>
      <c r="Q34" s="290" t="e">
        <f t="shared" si="50"/>
        <v>#DIV/0!</v>
      </c>
      <c r="R34" s="287"/>
      <c r="S34" s="313" t="e">
        <f t="shared" si="51"/>
        <v>#DIV/0!</v>
      </c>
      <c r="T34" s="287"/>
      <c r="U34" s="313" t="e">
        <f t="shared" si="52"/>
        <v>#DIV/0!</v>
      </c>
      <c r="V34" s="323" t="e">
        <f t="shared" si="53"/>
        <v>#DIV/0!</v>
      </c>
      <c r="W34" s="81">
        <v>0</v>
      </c>
      <c r="X34" s="81"/>
      <c r="Y34" s="84">
        <v>0</v>
      </c>
      <c r="Z34" s="85"/>
      <c r="AA34" s="84">
        <v>0</v>
      </c>
      <c r="AB34" s="81"/>
      <c r="AC34" s="84">
        <v>0</v>
      </c>
      <c r="AD34" s="85"/>
      <c r="AE34" s="84">
        <v>0</v>
      </c>
      <c r="AF34" s="81"/>
      <c r="AG34" s="84">
        <v>0</v>
      </c>
      <c r="AH34" s="85"/>
      <c r="AI34" s="84">
        <v>0</v>
      </c>
      <c r="AJ34" s="85"/>
      <c r="AK34" s="84">
        <v>0</v>
      </c>
      <c r="AL34" s="85"/>
      <c r="AM34" s="84">
        <v>0</v>
      </c>
      <c r="AN34" s="85"/>
      <c r="AO34" s="84">
        <v>0</v>
      </c>
      <c r="AP34" s="85"/>
      <c r="AQ34" s="84">
        <v>0</v>
      </c>
      <c r="AR34" s="85"/>
      <c r="AS34" s="84">
        <v>0</v>
      </c>
      <c r="AT34" s="81"/>
      <c r="AU34" s="214">
        <f t="shared" si="54"/>
        <v>64547</v>
      </c>
    </row>
    <row r="35" spans="1:47" x14ac:dyDescent="0.35">
      <c r="A35" s="159" t="s">
        <v>598</v>
      </c>
      <c r="B35" s="180"/>
      <c r="C35" s="83">
        <v>23000</v>
      </c>
      <c r="D35" s="107">
        <f t="shared" ref="D35:D36" si="60">C35</f>
        <v>23000</v>
      </c>
      <c r="E35" s="304">
        <v>23000</v>
      </c>
      <c r="F35" s="287"/>
      <c r="G35" s="288">
        <f t="shared" ref="G35:G37" si="61">F35/E35</f>
        <v>0</v>
      </c>
      <c r="H35" s="289"/>
      <c r="I35" s="290">
        <f t="shared" ref="I35:I37" si="62">H35/E35</f>
        <v>0</v>
      </c>
      <c r="J35" s="287"/>
      <c r="K35" s="288">
        <f t="shared" ref="K35:K37" si="63">J35/E35</f>
        <v>0</v>
      </c>
      <c r="L35" s="289"/>
      <c r="M35" s="290">
        <f t="shared" ref="M35:M37" si="64">L35/E35</f>
        <v>0</v>
      </c>
      <c r="N35" s="287"/>
      <c r="O35" s="288">
        <f t="shared" ref="O35:O37" si="65">N35/E35</f>
        <v>0</v>
      </c>
      <c r="P35" s="289"/>
      <c r="Q35" s="290">
        <f t="shared" ref="Q35:Q37" si="66">P35/E35</f>
        <v>0</v>
      </c>
      <c r="R35" s="287"/>
      <c r="S35" s="313">
        <f t="shared" ref="S35:S37" si="67">R35/E35</f>
        <v>0</v>
      </c>
      <c r="T35" s="287"/>
      <c r="U35" s="313">
        <f t="shared" ref="U35:U37" si="68">T35/E35</f>
        <v>0</v>
      </c>
      <c r="V35" s="323">
        <f t="shared" ref="V35:V37" si="69">U35+S35+Q35+O35+M35+K35+I35+G35</f>
        <v>0</v>
      </c>
      <c r="W35" s="81">
        <v>0</v>
      </c>
      <c r="X35" s="81"/>
      <c r="Y35" s="84">
        <v>0</v>
      </c>
      <c r="Z35" s="85"/>
      <c r="AA35" s="84">
        <v>0</v>
      </c>
      <c r="AB35" s="81"/>
      <c r="AC35" s="84">
        <v>0</v>
      </c>
      <c r="AD35" s="85"/>
      <c r="AE35" s="84">
        <v>0</v>
      </c>
      <c r="AF35" s="81"/>
      <c r="AG35" s="84">
        <v>0</v>
      </c>
      <c r="AH35" s="85"/>
      <c r="AI35" s="84">
        <v>0</v>
      </c>
      <c r="AJ35" s="85"/>
      <c r="AK35" s="84">
        <v>0</v>
      </c>
      <c r="AL35" s="85"/>
      <c r="AM35" s="84">
        <v>0</v>
      </c>
      <c r="AN35" s="85"/>
      <c r="AO35" s="84">
        <v>0</v>
      </c>
      <c r="AP35" s="85"/>
      <c r="AQ35" s="84">
        <v>0</v>
      </c>
      <c r="AR35" s="85"/>
      <c r="AS35" s="84">
        <v>0</v>
      </c>
      <c r="AT35" s="81"/>
      <c r="AU35" s="214">
        <f t="shared" ref="AU35:AU37" si="70">D35-W35-Y35-AA35-AC35-AE35-AG35-AI35-AK35-AM35-AO35-AQ35-AS35</f>
        <v>23000</v>
      </c>
    </row>
    <row r="36" spans="1:47" x14ac:dyDescent="0.35">
      <c r="A36" s="159" t="s">
        <v>597</v>
      </c>
      <c r="B36" s="180"/>
      <c r="C36" s="83">
        <f>36194.29-1143.13-4941.99+4912.2+744.92</f>
        <v>35766.29</v>
      </c>
      <c r="D36" s="107">
        <f t="shared" si="60"/>
        <v>35766.29</v>
      </c>
      <c r="E36" s="304">
        <f>D36</f>
        <v>35766.29</v>
      </c>
      <c r="F36" s="287">
        <f>3920.74</f>
        <v>3920.74</v>
      </c>
      <c r="G36" s="288">
        <f t="shared" si="61"/>
        <v>0.10962109852601429</v>
      </c>
      <c r="H36" s="289">
        <v>2018.6</v>
      </c>
      <c r="I36" s="290">
        <f t="shared" si="62"/>
        <v>5.6438618598686076E-2</v>
      </c>
      <c r="J36" s="287">
        <f>10127.62+744.92</f>
        <v>10872.54</v>
      </c>
      <c r="K36" s="288">
        <f t="shared" si="63"/>
        <v>0.30398847629989023</v>
      </c>
      <c r="L36" s="289">
        <v>8307.1</v>
      </c>
      <c r="M36" s="290">
        <f t="shared" si="64"/>
        <v>0.23226060069411728</v>
      </c>
      <c r="N36" s="287">
        <v>1332.34</v>
      </c>
      <c r="O36" s="288">
        <f t="shared" si="65"/>
        <v>3.7251277669559796E-2</v>
      </c>
      <c r="P36" s="289">
        <v>3442.77</v>
      </c>
      <c r="Q36" s="290">
        <f t="shared" si="66"/>
        <v>9.6257397678092979E-2</v>
      </c>
      <c r="R36" s="287"/>
      <c r="S36" s="313">
        <f t="shared" si="67"/>
        <v>0</v>
      </c>
      <c r="T36" s="287">
        <v>960</v>
      </c>
      <c r="U36" s="313">
        <f t="shared" si="68"/>
        <v>2.6840916404804634E-2</v>
      </c>
      <c r="V36" s="323">
        <f t="shared" si="69"/>
        <v>0.86265838587116528</v>
      </c>
      <c r="W36" s="81">
        <v>0</v>
      </c>
      <c r="X36" s="81"/>
      <c r="Y36" s="84">
        <v>0</v>
      </c>
      <c r="Z36" s="85"/>
      <c r="AA36" s="84">
        <v>0</v>
      </c>
      <c r="AB36" s="81"/>
      <c r="AC36" s="84">
        <v>0</v>
      </c>
      <c r="AD36" s="85"/>
      <c r="AE36" s="84">
        <v>0</v>
      </c>
      <c r="AF36" s="81"/>
      <c r="AG36" s="84">
        <v>0</v>
      </c>
      <c r="AH36" s="85"/>
      <c r="AI36" s="84">
        <v>0</v>
      </c>
      <c r="AJ36" s="85"/>
      <c r="AK36" s="84">
        <v>0</v>
      </c>
      <c r="AL36" s="85"/>
      <c r="AM36" s="84">
        <v>0</v>
      </c>
      <c r="AN36" s="85"/>
      <c r="AO36" s="230">
        <v>23268.65</v>
      </c>
      <c r="AP36" s="231">
        <v>23268.65</v>
      </c>
      <c r="AQ36" s="230">
        <f t="shared" ref="AQ36" si="71">D36-W36-Y36-AA36-AC36-AE36-AG36-AI36-AK36-AM36-AO36</f>
        <v>12497.64</v>
      </c>
      <c r="AR36" s="231">
        <f>4912.2+6840.5</f>
        <v>11752.7</v>
      </c>
      <c r="AS36" s="84">
        <v>744.92</v>
      </c>
      <c r="AT36" s="81">
        <v>744.92</v>
      </c>
      <c r="AU36" s="214">
        <f t="shared" si="70"/>
        <v>-744.92</v>
      </c>
    </row>
    <row r="37" spans="1:47" x14ac:dyDescent="0.35">
      <c r="A37" s="159" t="s">
        <v>596</v>
      </c>
      <c r="B37" s="180"/>
      <c r="C37" s="83">
        <v>22650.26</v>
      </c>
      <c r="D37" s="142">
        <f>C37</f>
        <v>22650.26</v>
      </c>
      <c r="E37" s="304"/>
      <c r="F37" s="287"/>
      <c r="G37" s="288" t="e">
        <f t="shared" si="61"/>
        <v>#DIV/0!</v>
      </c>
      <c r="H37" s="289"/>
      <c r="I37" s="290" t="e">
        <f t="shared" si="62"/>
        <v>#DIV/0!</v>
      </c>
      <c r="J37" s="287"/>
      <c r="K37" s="288" t="e">
        <f t="shared" si="63"/>
        <v>#DIV/0!</v>
      </c>
      <c r="L37" s="289"/>
      <c r="M37" s="290" t="e">
        <f t="shared" si="64"/>
        <v>#DIV/0!</v>
      </c>
      <c r="N37" s="287"/>
      <c r="O37" s="288" t="e">
        <f t="shared" si="65"/>
        <v>#DIV/0!</v>
      </c>
      <c r="P37" s="289"/>
      <c r="Q37" s="290" t="e">
        <f t="shared" si="66"/>
        <v>#DIV/0!</v>
      </c>
      <c r="R37" s="287"/>
      <c r="S37" s="313" t="e">
        <f t="shared" si="67"/>
        <v>#DIV/0!</v>
      </c>
      <c r="T37" s="287"/>
      <c r="U37" s="313" t="e">
        <f t="shared" si="68"/>
        <v>#DIV/0!</v>
      </c>
      <c r="V37" s="323" t="e">
        <f t="shared" si="69"/>
        <v>#DIV/0!</v>
      </c>
      <c r="W37" s="81">
        <v>0</v>
      </c>
      <c r="X37" s="81"/>
      <c r="Y37" s="84">
        <v>0</v>
      </c>
      <c r="Z37" s="85"/>
      <c r="AA37" s="84">
        <v>0</v>
      </c>
      <c r="AB37" s="81"/>
      <c r="AC37" s="84">
        <v>0</v>
      </c>
      <c r="AD37" s="85"/>
      <c r="AE37" s="84">
        <v>0</v>
      </c>
      <c r="AF37" s="81"/>
      <c r="AG37" s="84">
        <v>0</v>
      </c>
      <c r="AH37" s="85"/>
      <c r="AI37" s="84">
        <v>0</v>
      </c>
      <c r="AJ37" s="85"/>
      <c r="AK37" s="84">
        <v>0</v>
      </c>
      <c r="AL37" s="85"/>
      <c r="AM37" s="84">
        <v>0</v>
      </c>
      <c r="AN37" s="85"/>
      <c r="AO37" s="84">
        <v>0</v>
      </c>
      <c r="AP37" s="85"/>
      <c r="AQ37" s="84">
        <v>0</v>
      </c>
      <c r="AR37" s="85"/>
      <c r="AS37" s="84">
        <v>0</v>
      </c>
      <c r="AT37" s="81"/>
      <c r="AU37" s="214">
        <f t="shared" si="70"/>
        <v>22650.26</v>
      </c>
    </row>
    <row r="38" spans="1:47" x14ac:dyDescent="0.35">
      <c r="A38" s="151" t="s">
        <v>595</v>
      </c>
      <c r="B38" s="180"/>
      <c r="C38" s="83">
        <v>49135</v>
      </c>
      <c r="D38" s="107">
        <f t="shared" ref="D38:D48" si="72">C38</f>
        <v>49135</v>
      </c>
      <c r="E38" s="304">
        <v>49185</v>
      </c>
      <c r="F38" s="287"/>
      <c r="G38" s="288">
        <f t="shared" ref="G38:G48" si="73">F38/E38</f>
        <v>0</v>
      </c>
      <c r="H38" s="289"/>
      <c r="I38" s="290">
        <f t="shared" ref="I38:I48" si="74">H38/E38</f>
        <v>0</v>
      </c>
      <c r="J38" s="287"/>
      <c r="K38" s="288">
        <f t="shared" ref="K38:K48" si="75">J38/E38</f>
        <v>0</v>
      </c>
      <c r="L38" s="289"/>
      <c r="M38" s="290">
        <f t="shared" ref="M38:M48" si="76">L38/E38</f>
        <v>0</v>
      </c>
      <c r="N38" s="287"/>
      <c r="O38" s="288">
        <f t="shared" ref="O38:O48" si="77">N38/E38</f>
        <v>0</v>
      </c>
      <c r="P38" s="289"/>
      <c r="Q38" s="290">
        <f t="shared" ref="Q38:Q48" si="78">P38/E38</f>
        <v>0</v>
      </c>
      <c r="R38" s="287">
        <v>48157</v>
      </c>
      <c r="S38" s="313">
        <f t="shared" ref="S38:S48" si="79">R38/E38</f>
        <v>0.97909931889803803</v>
      </c>
      <c r="T38" s="287">
        <v>1028</v>
      </c>
      <c r="U38" s="313">
        <f t="shared" ref="U38:U45" si="80">T38/E38</f>
        <v>2.0900681101961981E-2</v>
      </c>
      <c r="V38" s="323">
        <f t="shared" ref="V38:V45" si="81">U38+S38+Q38+O38+M38+K38+I38+G38</f>
        <v>1</v>
      </c>
      <c r="W38" s="81">
        <v>0</v>
      </c>
      <c r="X38" s="81"/>
      <c r="Y38" s="84">
        <v>0</v>
      </c>
      <c r="Z38" s="85"/>
      <c r="AA38" s="84">
        <v>0</v>
      </c>
      <c r="AB38" s="81"/>
      <c r="AC38" s="84">
        <v>0</v>
      </c>
      <c r="AD38" s="85"/>
      <c r="AE38" s="84">
        <v>0</v>
      </c>
      <c r="AF38" s="81"/>
      <c r="AG38" s="84">
        <v>0</v>
      </c>
      <c r="AH38" s="85"/>
      <c r="AI38" s="84">
        <v>0</v>
      </c>
      <c r="AJ38" s="85"/>
      <c r="AK38" s="230">
        <v>35385.54</v>
      </c>
      <c r="AL38" s="231">
        <v>35385.54</v>
      </c>
      <c r="AM38" s="230">
        <v>13749.99</v>
      </c>
      <c r="AN38" s="231">
        <v>13749.99</v>
      </c>
      <c r="AO38" s="84">
        <v>0</v>
      </c>
      <c r="AP38" s="85"/>
      <c r="AQ38" s="84">
        <v>0</v>
      </c>
      <c r="AR38" s="85"/>
      <c r="AS38" s="84"/>
      <c r="AT38" s="81"/>
      <c r="AU38" s="214">
        <v>0</v>
      </c>
    </row>
    <row r="39" spans="1:47" x14ac:dyDescent="0.35">
      <c r="A39" s="187" t="s">
        <v>594</v>
      </c>
      <c r="B39" s="180"/>
      <c r="C39" s="83">
        <v>11900.45</v>
      </c>
      <c r="D39" s="107">
        <f t="shared" ref="D39:D42" si="82">C39</f>
        <v>11900.45</v>
      </c>
      <c r="E39" s="304">
        <v>11900.45</v>
      </c>
      <c r="F39" s="287"/>
      <c r="G39" s="288">
        <f t="shared" ref="G39:G42" si="83">F39/E39</f>
        <v>0</v>
      </c>
      <c r="H39" s="289">
        <f>11900.45-384</f>
        <v>11516.45</v>
      </c>
      <c r="I39" s="290">
        <f t="shared" ref="I39:I42" si="84">H39/E39</f>
        <v>0.96773231264363957</v>
      </c>
      <c r="J39" s="287"/>
      <c r="K39" s="288">
        <f t="shared" ref="K39:K42" si="85">J39/E39</f>
        <v>0</v>
      </c>
      <c r="L39" s="289"/>
      <c r="M39" s="290">
        <f t="shared" ref="M39:M42" si="86">L39/E39</f>
        <v>0</v>
      </c>
      <c r="N39" s="287"/>
      <c r="O39" s="288">
        <f t="shared" ref="O39:O42" si="87">N39/E39</f>
        <v>0</v>
      </c>
      <c r="P39" s="289"/>
      <c r="Q39" s="290">
        <f t="shared" ref="Q39:Q42" si="88">P39/E39</f>
        <v>0</v>
      </c>
      <c r="R39" s="287"/>
      <c r="S39" s="313">
        <f t="shared" ref="S39:S42" si="89">R39/E39</f>
        <v>0</v>
      </c>
      <c r="T39" s="287">
        <v>384</v>
      </c>
      <c r="U39" s="313">
        <f t="shared" si="80"/>
        <v>3.2267687356360472E-2</v>
      </c>
      <c r="V39" s="323">
        <f t="shared" si="81"/>
        <v>1</v>
      </c>
      <c r="W39" s="81">
        <v>0</v>
      </c>
      <c r="X39" s="81"/>
      <c r="Y39" s="84">
        <v>0</v>
      </c>
      <c r="Z39" s="85"/>
      <c r="AA39" s="84">
        <v>0</v>
      </c>
      <c r="AB39" s="81"/>
      <c r="AC39" s="84">
        <v>0</v>
      </c>
      <c r="AD39" s="85"/>
      <c r="AE39" s="84">
        <v>0</v>
      </c>
      <c r="AF39" s="81"/>
      <c r="AG39" s="84">
        <v>0</v>
      </c>
      <c r="AH39" s="85"/>
      <c r="AI39" s="230">
        <v>11900</v>
      </c>
      <c r="AJ39" s="231">
        <v>11900.45</v>
      </c>
      <c r="AK39" s="84">
        <f t="shared" ref="AK39:AK40" si="90">D39-W39-Y39-AA39-AC39-AE39-AG39-AI39</f>
        <v>0.4500000000007276</v>
      </c>
      <c r="AL39" s="85"/>
      <c r="AM39" s="84">
        <f t="shared" ref="AM39:AM40" si="91">D39-W39-Y39-AA39-AC39-AE39-AG39-AI39-AK39</f>
        <v>0</v>
      </c>
      <c r="AN39" s="85"/>
      <c r="AO39" s="84">
        <f t="shared" ref="AO39:AO40" si="92">D39-W39-Y39-AA39-AC39-AE39-AG39-AI39-AK39-AM39</f>
        <v>0</v>
      </c>
      <c r="AP39" s="85"/>
      <c r="AQ39" s="84">
        <f t="shared" ref="AQ39:AQ40" si="93">D39-W39-Y39-AA39-AC39-AE39-AG39-AI39-AK39-AM39-AO39</f>
        <v>0</v>
      </c>
      <c r="AR39" s="85"/>
      <c r="AS39" s="84">
        <f t="shared" ref="AS39:AS40" si="94">D39-W39-Y39-AA39-AC39-AE39-AG39-AI39-AK39-AM39-AO39-AQ39</f>
        <v>0</v>
      </c>
      <c r="AT39" s="81"/>
      <c r="AU39" s="214">
        <f t="shared" ref="AU39:AU42" si="95">D39-W39-Y39-AA39-AC39-AE39-AG39-AI39-AK39-AM39-AO39-AQ39-AS39</f>
        <v>0</v>
      </c>
    </row>
    <row r="40" spans="1:47" x14ac:dyDescent="0.35">
      <c r="A40" s="151" t="s">
        <v>593</v>
      </c>
      <c r="B40" s="180"/>
      <c r="C40" s="83">
        <v>954.55</v>
      </c>
      <c r="D40" s="107">
        <v>955</v>
      </c>
      <c r="E40" s="304">
        <v>955</v>
      </c>
      <c r="F40" s="287"/>
      <c r="G40" s="288">
        <f t="shared" si="83"/>
        <v>0</v>
      </c>
      <c r="H40" s="289"/>
      <c r="I40" s="290">
        <f t="shared" si="84"/>
        <v>0</v>
      </c>
      <c r="J40" s="287"/>
      <c r="K40" s="288">
        <f t="shared" si="85"/>
        <v>0</v>
      </c>
      <c r="L40" s="289"/>
      <c r="M40" s="290">
        <f t="shared" si="86"/>
        <v>0</v>
      </c>
      <c r="N40" s="287"/>
      <c r="O40" s="288">
        <f t="shared" si="87"/>
        <v>0</v>
      </c>
      <c r="P40" s="289">
        <v>955</v>
      </c>
      <c r="Q40" s="290">
        <f t="shared" si="88"/>
        <v>1</v>
      </c>
      <c r="R40" s="287"/>
      <c r="S40" s="313">
        <f t="shared" si="89"/>
        <v>0</v>
      </c>
      <c r="T40" s="287"/>
      <c r="U40" s="313">
        <f t="shared" si="80"/>
        <v>0</v>
      </c>
      <c r="V40" s="323">
        <f t="shared" si="81"/>
        <v>1</v>
      </c>
      <c r="W40" s="81">
        <v>0</v>
      </c>
      <c r="X40" s="81"/>
      <c r="Y40" s="84">
        <v>0</v>
      </c>
      <c r="Z40" s="85"/>
      <c r="AA40" s="84">
        <v>0</v>
      </c>
      <c r="AB40" s="81"/>
      <c r="AC40" s="84">
        <v>0</v>
      </c>
      <c r="AD40" s="85"/>
      <c r="AE40" s="84">
        <v>0</v>
      </c>
      <c r="AF40" s="81"/>
      <c r="AG40" s="230">
        <f t="shared" ref="AG40" si="96">D40-W40-Y40-AA40-AC40-AE40</f>
        <v>955</v>
      </c>
      <c r="AH40" s="231">
        <v>955</v>
      </c>
      <c r="AI40" s="84">
        <f t="shared" ref="AI40" si="97">D40-W40-Y40-AA40-AC40-AE40-AG40</f>
        <v>0</v>
      </c>
      <c r="AJ40" s="85"/>
      <c r="AK40" s="84">
        <f t="shared" si="90"/>
        <v>0</v>
      </c>
      <c r="AL40" s="85"/>
      <c r="AM40" s="84">
        <f t="shared" si="91"/>
        <v>0</v>
      </c>
      <c r="AN40" s="85"/>
      <c r="AO40" s="84">
        <f t="shared" si="92"/>
        <v>0</v>
      </c>
      <c r="AP40" s="85"/>
      <c r="AQ40" s="84">
        <f t="shared" si="93"/>
        <v>0</v>
      </c>
      <c r="AR40" s="85"/>
      <c r="AS40" s="84">
        <f t="shared" si="94"/>
        <v>0</v>
      </c>
      <c r="AT40" s="81"/>
      <c r="AU40" s="214">
        <f t="shared" si="95"/>
        <v>0</v>
      </c>
    </row>
    <row r="41" spans="1:47" x14ac:dyDescent="0.35">
      <c r="A41" s="159" t="s">
        <v>592</v>
      </c>
      <c r="B41" s="180"/>
      <c r="C41" s="83">
        <v>31728</v>
      </c>
      <c r="D41" s="107">
        <f t="shared" si="82"/>
        <v>31728</v>
      </c>
      <c r="E41" s="304">
        <v>31728</v>
      </c>
      <c r="F41" s="287"/>
      <c r="G41" s="288">
        <f t="shared" si="83"/>
        <v>0</v>
      </c>
      <c r="H41" s="289"/>
      <c r="I41" s="290">
        <f t="shared" si="84"/>
        <v>0</v>
      </c>
      <c r="J41" s="287"/>
      <c r="K41" s="288">
        <f t="shared" si="85"/>
        <v>0</v>
      </c>
      <c r="L41" s="289"/>
      <c r="M41" s="290">
        <f t="shared" si="86"/>
        <v>0</v>
      </c>
      <c r="N41" s="287"/>
      <c r="O41" s="288">
        <f t="shared" si="87"/>
        <v>0</v>
      </c>
      <c r="P41" s="289"/>
      <c r="Q41" s="290">
        <f t="shared" si="88"/>
        <v>0</v>
      </c>
      <c r="R41" s="287"/>
      <c r="S41" s="313">
        <f t="shared" si="89"/>
        <v>0</v>
      </c>
      <c r="T41" s="287"/>
      <c r="U41" s="313">
        <f t="shared" si="80"/>
        <v>0</v>
      </c>
      <c r="V41" s="323">
        <f t="shared" si="81"/>
        <v>0</v>
      </c>
      <c r="W41" s="81">
        <v>0</v>
      </c>
      <c r="X41" s="81"/>
      <c r="Y41" s="84">
        <v>0</v>
      </c>
      <c r="Z41" s="85"/>
      <c r="AA41" s="84">
        <v>0</v>
      </c>
      <c r="AB41" s="81"/>
      <c r="AC41" s="84">
        <v>0</v>
      </c>
      <c r="AD41" s="85"/>
      <c r="AE41" s="84">
        <v>0</v>
      </c>
      <c r="AF41" s="81"/>
      <c r="AG41" s="84">
        <v>0</v>
      </c>
      <c r="AH41" s="85"/>
      <c r="AI41" s="84">
        <v>0</v>
      </c>
      <c r="AJ41" s="85"/>
      <c r="AK41" s="84">
        <v>0</v>
      </c>
      <c r="AL41" s="85"/>
      <c r="AM41" s="84">
        <v>0</v>
      </c>
      <c r="AN41" s="85"/>
      <c r="AO41" s="84">
        <v>0</v>
      </c>
      <c r="AP41" s="85"/>
      <c r="AQ41" s="84">
        <v>0</v>
      </c>
      <c r="AR41" s="85"/>
      <c r="AS41" s="84">
        <v>0</v>
      </c>
      <c r="AT41" s="81"/>
      <c r="AU41" s="214">
        <f t="shared" si="95"/>
        <v>31728</v>
      </c>
    </row>
    <row r="42" spans="1:47" x14ac:dyDescent="0.35">
      <c r="A42" s="159" t="s">
        <v>591</v>
      </c>
      <c r="B42" s="180"/>
      <c r="C42" s="83">
        <f>2128.33+60399.07</f>
        <v>62527.4</v>
      </c>
      <c r="D42" s="107">
        <f t="shared" si="82"/>
        <v>62527.4</v>
      </c>
      <c r="E42" s="304">
        <v>66003</v>
      </c>
      <c r="F42" s="287"/>
      <c r="G42" s="288">
        <f t="shared" si="83"/>
        <v>0</v>
      </c>
      <c r="H42" s="289"/>
      <c r="I42" s="290">
        <f t="shared" si="84"/>
        <v>0</v>
      </c>
      <c r="J42" s="287"/>
      <c r="K42" s="288">
        <f t="shared" si="85"/>
        <v>0</v>
      </c>
      <c r="L42" s="289"/>
      <c r="M42" s="290">
        <f t="shared" si="86"/>
        <v>0</v>
      </c>
      <c r="N42" s="287"/>
      <c r="O42" s="288">
        <f t="shared" si="87"/>
        <v>0</v>
      </c>
      <c r="P42" s="289"/>
      <c r="Q42" s="290">
        <f t="shared" si="88"/>
        <v>0</v>
      </c>
      <c r="R42" s="287"/>
      <c r="S42" s="313">
        <f t="shared" si="89"/>
        <v>0</v>
      </c>
      <c r="T42" s="287"/>
      <c r="U42" s="313">
        <f t="shared" si="80"/>
        <v>0</v>
      </c>
      <c r="V42" s="323">
        <f t="shared" si="81"/>
        <v>0</v>
      </c>
      <c r="W42" s="81">
        <v>0</v>
      </c>
      <c r="X42" s="81"/>
      <c r="Y42" s="84">
        <v>0</v>
      </c>
      <c r="Z42" s="85"/>
      <c r="AA42" s="84">
        <v>0</v>
      </c>
      <c r="AB42" s="81"/>
      <c r="AC42" s="84">
        <v>0</v>
      </c>
      <c r="AD42" s="85"/>
      <c r="AE42" s="84">
        <v>0</v>
      </c>
      <c r="AF42" s="81"/>
      <c r="AG42" s="84">
        <v>0</v>
      </c>
      <c r="AH42" s="85"/>
      <c r="AI42" s="230">
        <v>10120</v>
      </c>
      <c r="AJ42" s="231">
        <v>10119.89</v>
      </c>
      <c r="AK42" s="84">
        <v>0</v>
      </c>
      <c r="AL42" s="85"/>
      <c r="AM42" s="230">
        <v>15668</v>
      </c>
      <c r="AN42" s="231">
        <v>15667.87</v>
      </c>
      <c r="AO42" s="230">
        <v>19840.759999999998</v>
      </c>
      <c r="AP42" s="231">
        <v>19840.759999999998</v>
      </c>
      <c r="AQ42" s="230">
        <v>3049</v>
      </c>
      <c r="AR42" s="231">
        <v>3049.48</v>
      </c>
      <c r="AS42" s="230">
        <v>12992</v>
      </c>
      <c r="AT42" s="195">
        <f>10863.43+2128.33</f>
        <v>12991.76</v>
      </c>
      <c r="AU42" s="214">
        <f t="shared" si="95"/>
        <v>857.64000000000306</v>
      </c>
    </row>
    <row r="43" spans="1:47" x14ac:dyDescent="0.35">
      <c r="A43" s="151" t="s">
        <v>590</v>
      </c>
      <c r="B43" s="180"/>
      <c r="C43" s="83">
        <v>432</v>
      </c>
      <c r="D43" s="107">
        <f t="shared" ref="D43:D44" si="98">C43</f>
        <v>432</v>
      </c>
      <c r="E43" s="304">
        <v>432</v>
      </c>
      <c r="F43" s="287"/>
      <c r="G43" s="288">
        <f t="shared" ref="G43:G45" si="99">F43/E43</f>
        <v>0</v>
      </c>
      <c r="H43" s="289"/>
      <c r="I43" s="290">
        <f t="shared" ref="I43:I45" si="100">H43/E43</f>
        <v>0</v>
      </c>
      <c r="J43" s="287"/>
      <c r="K43" s="288">
        <f t="shared" ref="K43:K45" si="101">J43/E43</f>
        <v>0</v>
      </c>
      <c r="L43" s="289"/>
      <c r="M43" s="290">
        <f t="shared" ref="M43:M45" si="102">L43/E43</f>
        <v>0</v>
      </c>
      <c r="N43" s="287"/>
      <c r="O43" s="288">
        <f t="shared" ref="O43:O45" si="103">N43/E43</f>
        <v>0</v>
      </c>
      <c r="P43" s="289"/>
      <c r="Q43" s="290">
        <f t="shared" ref="Q43:Q45" si="104">P43/E43</f>
        <v>0</v>
      </c>
      <c r="R43" s="287">
        <v>432</v>
      </c>
      <c r="S43" s="313">
        <f t="shared" ref="S43:S45" si="105">R43/E43</f>
        <v>1</v>
      </c>
      <c r="T43" s="287"/>
      <c r="U43" s="313">
        <f t="shared" si="80"/>
        <v>0</v>
      </c>
      <c r="V43" s="323">
        <f t="shared" si="81"/>
        <v>1</v>
      </c>
      <c r="W43" s="81">
        <v>0</v>
      </c>
      <c r="X43" s="81"/>
      <c r="Y43" s="84">
        <v>0</v>
      </c>
      <c r="Z43" s="85"/>
      <c r="AA43" s="84">
        <v>0</v>
      </c>
      <c r="AB43" s="81"/>
      <c r="AC43" s="84">
        <v>0</v>
      </c>
      <c r="AD43" s="85"/>
      <c r="AE43" s="84">
        <v>0</v>
      </c>
      <c r="AF43" s="81"/>
      <c r="AG43" s="230">
        <v>431.6</v>
      </c>
      <c r="AH43" s="231">
        <v>431.6</v>
      </c>
      <c r="AI43" s="84">
        <v>0</v>
      </c>
      <c r="AJ43" s="85"/>
      <c r="AK43" s="84">
        <f t="shared" ref="AK43:AK45" si="106">D43-W43-Y43-AA43-AC43-AE43-AG43-AI43</f>
        <v>0.39999999999997726</v>
      </c>
      <c r="AL43" s="85"/>
      <c r="AM43" s="84">
        <f t="shared" ref="AM43:AM45" si="107">D43-W43-Y43-AA43-AC43-AE43-AG43-AI43-AK43</f>
        <v>0</v>
      </c>
      <c r="AN43" s="85"/>
      <c r="AO43" s="84">
        <f t="shared" ref="AO43:AO45" si="108">D43-W43-Y43-AA43-AC43-AE43-AG43-AI43-AK43-AM43</f>
        <v>0</v>
      </c>
      <c r="AP43" s="85"/>
      <c r="AQ43" s="84">
        <f t="shared" ref="AQ43:AQ45" si="109">D43-W43-Y43-AA43-AC43-AE43-AG43-AI43-AK43-AM43-AO43</f>
        <v>0</v>
      </c>
      <c r="AR43" s="85"/>
      <c r="AS43" s="84">
        <f t="shared" ref="AS43:AS45" si="110">D43-W43-Y43-AA43-AC43-AE43-AG43-AI43-AK43-AM43-AO43-AQ43</f>
        <v>0</v>
      </c>
      <c r="AT43" s="81"/>
      <c r="AU43" s="214">
        <f t="shared" ref="AU43:AU45" si="111">D43-W43-Y43-AA43-AC43-AE43-AG43-AI43-AK43-AM43-AO43-AQ43-AS43</f>
        <v>0</v>
      </c>
    </row>
    <row r="44" spans="1:47" x14ac:dyDescent="0.35">
      <c r="A44" s="159" t="s">
        <v>589</v>
      </c>
      <c r="B44" s="180"/>
      <c r="C44" s="83">
        <v>107161</v>
      </c>
      <c r="D44" s="107">
        <f t="shared" si="98"/>
        <v>107161</v>
      </c>
      <c r="E44" s="304">
        <v>107161</v>
      </c>
      <c r="F44" s="287"/>
      <c r="G44" s="288">
        <f t="shared" si="99"/>
        <v>0</v>
      </c>
      <c r="H44" s="289"/>
      <c r="I44" s="290">
        <f t="shared" si="100"/>
        <v>0</v>
      </c>
      <c r="J44" s="287"/>
      <c r="K44" s="288">
        <f t="shared" si="101"/>
        <v>0</v>
      </c>
      <c r="L44" s="289"/>
      <c r="M44" s="290">
        <f t="shared" si="102"/>
        <v>0</v>
      </c>
      <c r="N44" s="287"/>
      <c r="O44" s="288">
        <f t="shared" si="103"/>
        <v>0</v>
      </c>
      <c r="P44" s="289"/>
      <c r="Q44" s="290">
        <f t="shared" si="104"/>
        <v>0</v>
      </c>
      <c r="R44" s="287"/>
      <c r="S44" s="313">
        <f t="shared" si="105"/>
        <v>0</v>
      </c>
      <c r="T44" s="287"/>
      <c r="U44" s="313">
        <f t="shared" si="80"/>
        <v>0</v>
      </c>
      <c r="V44" s="323">
        <f t="shared" si="81"/>
        <v>0</v>
      </c>
      <c r="W44" s="81">
        <v>0</v>
      </c>
      <c r="X44" s="81"/>
      <c r="Y44" s="84">
        <v>0</v>
      </c>
      <c r="Z44" s="85"/>
      <c r="AA44" s="84">
        <v>0</v>
      </c>
      <c r="AB44" s="81"/>
      <c r="AC44" s="84">
        <v>0</v>
      </c>
      <c r="AD44" s="85"/>
      <c r="AE44" s="84">
        <v>0</v>
      </c>
      <c r="AF44" s="81"/>
      <c r="AG44" s="84">
        <v>0</v>
      </c>
      <c r="AH44" s="85"/>
      <c r="AI44" s="84">
        <v>0</v>
      </c>
      <c r="AJ44" s="85"/>
      <c r="AK44" s="84">
        <v>0</v>
      </c>
      <c r="AL44" s="85"/>
      <c r="AM44" s="84">
        <v>0</v>
      </c>
      <c r="AN44" s="85"/>
      <c r="AO44" s="84">
        <v>0</v>
      </c>
      <c r="AP44" s="85"/>
      <c r="AQ44" s="84">
        <v>0</v>
      </c>
      <c r="AR44" s="85"/>
      <c r="AS44" s="230">
        <v>19199.990000000002</v>
      </c>
      <c r="AT44" s="195">
        <v>19199.990000000002</v>
      </c>
      <c r="AU44" s="214">
        <f t="shared" si="111"/>
        <v>87961.01</v>
      </c>
    </row>
    <row r="45" spans="1:47" x14ac:dyDescent="0.35">
      <c r="A45" s="160" t="s">
        <v>588</v>
      </c>
      <c r="B45" s="180"/>
      <c r="C45" s="83">
        <v>200</v>
      </c>
      <c r="D45" s="107">
        <v>200</v>
      </c>
      <c r="E45" s="304">
        <v>200</v>
      </c>
      <c r="F45" s="287"/>
      <c r="G45" s="288">
        <f t="shared" si="99"/>
        <v>0</v>
      </c>
      <c r="H45" s="289">
        <v>200</v>
      </c>
      <c r="I45" s="290">
        <f t="shared" si="100"/>
        <v>1</v>
      </c>
      <c r="J45" s="287"/>
      <c r="K45" s="288">
        <f t="shared" si="101"/>
        <v>0</v>
      </c>
      <c r="L45" s="289"/>
      <c r="M45" s="290">
        <f t="shared" si="102"/>
        <v>0</v>
      </c>
      <c r="N45" s="287"/>
      <c r="O45" s="288">
        <f t="shared" si="103"/>
        <v>0</v>
      </c>
      <c r="P45" s="289"/>
      <c r="Q45" s="290">
        <f t="shared" si="104"/>
        <v>0</v>
      </c>
      <c r="R45" s="287"/>
      <c r="S45" s="313">
        <f t="shared" si="105"/>
        <v>0</v>
      </c>
      <c r="T45" s="287"/>
      <c r="U45" s="313">
        <f t="shared" si="80"/>
        <v>0</v>
      </c>
      <c r="V45" s="323">
        <f t="shared" si="81"/>
        <v>1</v>
      </c>
      <c r="W45" s="81">
        <v>0</v>
      </c>
      <c r="X45" s="81"/>
      <c r="Y45" s="84">
        <v>0</v>
      </c>
      <c r="Z45" s="85"/>
      <c r="AA45" s="84">
        <v>0</v>
      </c>
      <c r="AB45" s="81"/>
      <c r="AC45" s="84">
        <v>0</v>
      </c>
      <c r="AD45" s="85"/>
      <c r="AE45" s="230">
        <f t="shared" ref="AE45" si="112">D45-W45-Y45-AA45-AC45</f>
        <v>200</v>
      </c>
      <c r="AF45" s="195">
        <v>200</v>
      </c>
      <c r="AG45" s="84">
        <f t="shared" ref="AG45" si="113">D45-W45-Y45-AA45-AC45-AE45</f>
        <v>0</v>
      </c>
      <c r="AH45" s="85"/>
      <c r="AI45" s="84">
        <f t="shared" ref="AI45" si="114">D45-W45-Y45-AA45-AC45-AE45-AG45</f>
        <v>0</v>
      </c>
      <c r="AJ45" s="85"/>
      <c r="AK45" s="84">
        <f t="shared" si="106"/>
        <v>0</v>
      </c>
      <c r="AL45" s="85"/>
      <c r="AM45" s="84">
        <f t="shared" si="107"/>
        <v>0</v>
      </c>
      <c r="AN45" s="85"/>
      <c r="AO45" s="84">
        <f t="shared" si="108"/>
        <v>0</v>
      </c>
      <c r="AP45" s="85"/>
      <c r="AQ45" s="84">
        <f t="shared" si="109"/>
        <v>0</v>
      </c>
      <c r="AR45" s="85"/>
      <c r="AS45" s="84">
        <f t="shared" si="110"/>
        <v>0</v>
      </c>
      <c r="AT45" s="81"/>
      <c r="AU45" s="214">
        <f t="shared" si="111"/>
        <v>0</v>
      </c>
    </row>
    <row r="46" spans="1:47" x14ac:dyDescent="0.35">
      <c r="A46" s="187" t="s">
        <v>587</v>
      </c>
      <c r="B46" s="180"/>
      <c r="C46" s="49">
        <v>3659</v>
      </c>
      <c r="D46" s="107">
        <f t="shared" si="72"/>
        <v>3659</v>
      </c>
      <c r="E46" s="304">
        <v>3659</v>
      </c>
      <c r="F46" s="287"/>
      <c r="G46" s="288">
        <f t="shared" si="73"/>
        <v>0</v>
      </c>
      <c r="H46" s="289">
        <v>3656</v>
      </c>
      <c r="I46" s="290">
        <f t="shared" si="74"/>
        <v>0.99918010385351186</v>
      </c>
      <c r="J46" s="287"/>
      <c r="K46" s="288">
        <f t="shared" si="75"/>
        <v>0</v>
      </c>
      <c r="L46" s="289"/>
      <c r="M46" s="290">
        <f t="shared" si="76"/>
        <v>0</v>
      </c>
      <c r="N46" s="287"/>
      <c r="O46" s="288">
        <f t="shared" si="77"/>
        <v>0</v>
      </c>
      <c r="P46" s="289"/>
      <c r="Q46" s="290">
        <f t="shared" si="78"/>
        <v>0</v>
      </c>
      <c r="R46" s="287"/>
      <c r="S46" s="313">
        <f t="shared" si="79"/>
        <v>0</v>
      </c>
      <c r="T46" s="287"/>
      <c r="U46" s="313">
        <f t="shared" ref="U46:U109" si="115">T46/E46</f>
        <v>0</v>
      </c>
      <c r="V46" s="323">
        <f t="shared" ref="V46:V109" si="116">U46+S46+Q46+O46+M46+K46+I46+G46</f>
        <v>0.99918010385351186</v>
      </c>
      <c r="W46" s="81">
        <v>0</v>
      </c>
      <c r="X46" s="81"/>
      <c r="Y46" s="84">
        <v>0</v>
      </c>
      <c r="Z46" s="85"/>
      <c r="AA46" s="84">
        <v>0</v>
      </c>
      <c r="AB46" s="81"/>
      <c r="AC46" s="84">
        <v>0</v>
      </c>
      <c r="AD46" s="85"/>
      <c r="AE46" s="84">
        <v>0</v>
      </c>
      <c r="AF46" s="81"/>
      <c r="AG46" s="84">
        <v>0</v>
      </c>
      <c r="AH46" s="85"/>
      <c r="AI46" s="84">
        <v>0</v>
      </c>
      <c r="AJ46" s="85"/>
      <c r="AK46" s="84">
        <v>0</v>
      </c>
      <c r="AL46" s="85"/>
      <c r="AM46" s="230">
        <v>3659</v>
      </c>
      <c r="AN46" s="231">
        <v>3658.89</v>
      </c>
      <c r="AO46" s="84">
        <f t="shared" ref="AO46:AO47" si="117">D46-W46-Y46-AA46-AC46-AE46-AG46-AI46-AK46-AM46</f>
        <v>0</v>
      </c>
      <c r="AP46" s="85"/>
      <c r="AQ46" s="84">
        <f t="shared" ref="AQ46:AQ47" si="118">D46-W46-Y46-AA46-AC46-AE46-AG46-AI46-AK46-AM46-AO46</f>
        <v>0</v>
      </c>
      <c r="AR46" s="85"/>
      <c r="AS46" s="84">
        <f t="shared" ref="AS46:AS47" si="119">D46-W46-Y46-AA46-AC46-AE46-AG46-AI46-AK46-AM46-AO46-AQ46</f>
        <v>0</v>
      </c>
      <c r="AT46" s="81"/>
      <c r="AU46" s="214">
        <f t="shared" ref="AU46:AU48" si="120">D46-W46-Y46-AA46-AC46-AE46-AG46-AI46-AK46-AM46-AO46-AQ46-AS46</f>
        <v>0</v>
      </c>
    </row>
    <row r="47" spans="1:47" x14ac:dyDescent="0.35">
      <c r="A47" s="151" t="s">
        <v>586</v>
      </c>
      <c r="B47" s="180"/>
      <c r="C47" s="83">
        <f>4548+3720</f>
        <v>8268</v>
      </c>
      <c r="D47" s="107">
        <f t="shared" si="72"/>
        <v>8268</v>
      </c>
      <c r="E47" s="304">
        <f>4548+3720</f>
        <v>8268</v>
      </c>
      <c r="F47" s="287"/>
      <c r="G47" s="288">
        <f t="shared" si="73"/>
        <v>0</v>
      </c>
      <c r="H47" s="289"/>
      <c r="I47" s="290">
        <f t="shared" si="74"/>
        <v>0</v>
      </c>
      <c r="J47" s="287"/>
      <c r="K47" s="288">
        <f t="shared" si="75"/>
        <v>0</v>
      </c>
      <c r="L47" s="289"/>
      <c r="M47" s="290">
        <f t="shared" si="76"/>
        <v>0</v>
      </c>
      <c r="N47" s="287"/>
      <c r="O47" s="288">
        <f t="shared" si="77"/>
        <v>0</v>
      </c>
      <c r="P47" s="289"/>
      <c r="Q47" s="290">
        <f t="shared" si="78"/>
        <v>0</v>
      </c>
      <c r="R47" s="287">
        <f>4548+3720</f>
        <v>8268</v>
      </c>
      <c r="S47" s="313">
        <f t="shared" si="79"/>
        <v>1</v>
      </c>
      <c r="T47" s="287"/>
      <c r="U47" s="313">
        <f t="shared" si="115"/>
        <v>0</v>
      </c>
      <c r="V47" s="323">
        <f t="shared" si="116"/>
        <v>1</v>
      </c>
      <c r="W47" s="81">
        <v>0</v>
      </c>
      <c r="X47" s="81"/>
      <c r="Y47" s="84">
        <v>0</v>
      </c>
      <c r="Z47" s="85"/>
      <c r="AA47" s="84">
        <v>0</v>
      </c>
      <c r="AB47" s="81"/>
      <c r="AC47" s="84">
        <v>0</v>
      </c>
      <c r="AD47" s="85"/>
      <c r="AE47" s="230">
        <v>4548</v>
      </c>
      <c r="AF47" s="195">
        <v>4548</v>
      </c>
      <c r="AG47" s="84">
        <v>0</v>
      </c>
      <c r="AH47" s="85"/>
      <c r="AI47" s="230">
        <f t="shared" ref="AI47" si="121">D47-W47-Y47-AA47-AC47-AE47-AG47</f>
        <v>3720</v>
      </c>
      <c r="AJ47" s="231">
        <v>3720</v>
      </c>
      <c r="AK47" s="84">
        <f t="shared" ref="AK47" si="122">D47-W47-Y47-AA47-AC47-AE47-AG47-AI47</f>
        <v>0</v>
      </c>
      <c r="AL47" s="85"/>
      <c r="AM47" s="84">
        <f t="shared" ref="AM47" si="123">D47-W47-Y47-AA47-AC47-AE47-AG47-AI47-AK47</f>
        <v>0</v>
      </c>
      <c r="AN47" s="85"/>
      <c r="AO47" s="84">
        <f t="shared" si="117"/>
        <v>0</v>
      </c>
      <c r="AP47" s="85"/>
      <c r="AQ47" s="84">
        <f t="shared" si="118"/>
        <v>0</v>
      </c>
      <c r="AR47" s="85"/>
      <c r="AS47" s="84">
        <f t="shared" si="119"/>
        <v>0</v>
      </c>
      <c r="AT47" s="81"/>
      <c r="AU47" s="214">
        <f t="shared" si="120"/>
        <v>0</v>
      </c>
    </row>
    <row r="48" spans="1:47" x14ac:dyDescent="0.35">
      <c r="A48" s="187" t="s">
        <v>585</v>
      </c>
      <c r="B48" s="180"/>
      <c r="C48" s="83">
        <f>210085.78+258777.24-13481</f>
        <v>455382.02</v>
      </c>
      <c r="D48" s="107">
        <f t="shared" si="72"/>
        <v>455382.02</v>
      </c>
      <c r="E48" s="304">
        <v>455382</v>
      </c>
      <c r="F48" s="287">
        <v>47742</v>
      </c>
      <c r="G48" s="288">
        <f t="shared" si="73"/>
        <v>0.10483945346983412</v>
      </c>
      <c r="H48" s="289">
        <f>16250+59169+59169+72474-(4665+4665+4665)</f>
        <v>193067</v>
      </c>
      <c r="I48" s="290">
        <f t="shared" si="74"/>
        <v>0.42396713089230581</v>
      </c>
      <c r="J48" s="287">
        <f>(4665*3)+28944</f>
        <v>42939</v>
      </c>
      <c r="K48" s="288">
        <f t="shared" si="75"/>
        <v>9.4292264516384047E-2</v>
      </c>
      <c r="L48" s="289">
        <f>39344+617</f>
        <v>39961</v>
      </c>
      <c r="M48" s="290">
        <f t="shared" si="76"/>
        <v>8.7752699931046896E-2</v>
      </c>
      <c r="N48" s="287">
        <f>8009+18517</f>
        <v>26526</v>
      </c>
      <c r="O48" s="288">
        <f t="shared" si="77"/>
        <v>5.8249996706062165E-2</v>
      </c>
      <c r="P48" s="289">
        <f>25837+5064</f>
        <v>30901</v>
      </c>
      <c r="Q48" s="290">
        <f t="shared" si="78"/>
        <v>6.7857315396743834E-2</v>
      </c>
      <c r="R48" s="287">
        <f>17745+51989</f>
        <v>69734</v>
      </c>
      <c r="S48" s="313">
        <f t="shared" si="79"/>
        <v>0.15313297407451326</v>
      </c>
      <c r="T48" s="287">
        <f>2016+2496</f>
        <v>4512</v>
      </c>
      <c r="U48" s="313">
        <f t="shared" si="115"/>
        <v>9.9081650131098726E-3</v>
      </c>
      <c r="V48" s="323">
        <f t="shared" si="116"/>
        <v>1</v>
      </c>
      <c r="W48" s="81">
        <v>0</v>
      </c>
      <c r="X48" s="81"/>
      <c r="Y48" s="84">
        <v>0</v>
      </c>
      <c r="Z48" s="85"/>
      <c r="AA48" s="84">
        <v>0</v>
      </c>
      <c r="AB48" s="81"/>
      <c r="AC48" s="84">
        <v>0</v>
      </c>
      <c r="AD48" s="85"/>
      <c r="AE48" s="84">
        <v>0</v>
      </c>
      <c r="AF48" s="81"/>
      <c r="AG48" s="84">
        <v>0</v>
      </c>
      <c r="AH48" s="51" t="s">
        <v>91</v>
      </c>
      <c r="AI48" s="84">
        <v>0</v>
      </c>
      <c r="AJ48" s="85"/>
      <c r="AK48" s="84">
        <v>0</v>
      </c>
      <c r="AL48" s="85"/>
      <c r="AM48" s="84">
        <v>0</v>
      </c>
      <c r="AN48" s="85"/>
      <c r="AO48" s="84">
        <v>0</v>
      </c>
      <c r="AP48" s="85"/>
      <c r="AQ48" s="230">
        <v>41303</v>
      </c>
      <c r="AR48" s="231">
        <v>41303.29</v>
      </c>
      <c r="AS48" s="84">
        <v>0</v>
      </c>
      <c r="AT48" s="81"/>
      <c r="AU48" s="214">
        <f t="shared" si="120"/>
        <v>414079.02</v>
      </c>
    </row>
    <row r="49" spans="1:47" x14ac:dyDescent="0.35">
      <c r="A49" s="151" t="s">
        <v>308</v>
      </c>
      <c r="B49" s="180"/>
      <c r="C49" s="83">
        <v>4088.95</v>
      </c>
      <c r="D49" s="107">
        <f t="shared" ref="D49:D50" si="124">C49</f>
        <v>4088.95</v>
      </c>
      <c r="E49" s="304">
        <v>4088.95</v>
      </c>
      <c r="F49" s="287"/>
      <c r="G49" s="288">
        <f t="shared" ref="G49:G50" si="125">F49/E49</f>
        <v>0</v>
      </c>
      <c r="H49" s="289"/>
      <c r="I49" s="290">
        <f t="shared" ref="I49:I50" si="126">H49/E49</f>
        <v>0</v>
      </c>
      <c r="J49" s="287"/>
      <c r="K49" s="288">
        <f t="shared" ref="K49:K50" si="127">J49/E49</f>
        <v>0</v>
      </c>
      <c r="L49" s="289">
        <v>4088.95</v>
      </c>
      <c r="M49" s="290">
        <f t="shared" ref="M49:M50" si="128">L49/E49</f>
        <v>1</v>
      </c>
      <c r="N49" s="287"/>
      <c r="O49" s="288">
        <f t="shared" ref="O49:O50" si="129">N49/E49</f>
        <v>0</v>
      </c>
      <c r="P49" s="289"/>
      <c r="Q49" s="290">
        <f t="shared" ref="Q49:Q50" si="130">P49/E49</f>
        <v>0</v>
      </c>
      <c r="R49" s="287"/>
      <c r="S49" s="313">
        <f t="shared" ref="S49:S50" si="131">R49/E49</f>
        <v>0</v>
      </c>
      <c r="T49" s="287"/>
      <c r="U49" s="313">
        <f t="shared" si="115"/>
        <v>0</v>
      </c>
      <c r="V49" s="323">
        <f t="shared" si="116"/>
        <v>1</v>
      </c>
      <c r="W49" s="81">
        <v>0</v>
      </c>
      <c r="X49" s="81"/>
      <c r="Y49" s="84">
        <v>0</v>
      </c>
      <c r="Z49" s="85"/>
      <c r="AA49" s="84">
        <v>0</v>
      </c>
      <c r="AB49" s="81"/>
      <c r="AC49" s="84">
        <v>0</v>
      </c>
      <c r="AD49" s="85"/>
      <c r="AE49" s="230">
        <f t="shared" ref="AE49" si="132">D49-W49-Y49-AA49-AC49</f>
        <v>4088.95</v>
      </c>
      <c r="AF49" s="195">
        <v>4088.95</v>
      </c>
      <c r="AG49" s="84">
        <f t="shared" ref="AG49" si="133">D49-W49-Y49-AA49-AC49-AE49</f>
        <v>0</v>
      </c>
      <c r="AH49" s="85"/>
      <c r="AI49" s="84">
        <f t="shared" ref="AI49" si="134">D49-W49-Y49-AA49-AC49-AE49-AG49</f>
        <v>0</v>
      </c>
      <c r="AJ49" s="85"/>
      <c r="AK49" s="84">
        <f t="shared" ref="AK49" si="135">D49-W49-Y49-AA49-AC49-AE49-AG49-AI49</f>
        <v>0</v>
      </c>
      <c r="AL49" s="85"/>
      <c r="AM49" s="84">
        <f t="shared" ref="AM49" si="136">D49-W49-Y49-AA49-AC49-AE49-AG49-AI49-AK49</f>
        <v>0</v>
      </c>
      <c r="AN49" s="85"/>
      <c r="AO49" s="84">
        <f t="shared" ref="AO49" si="137">D49-W49-Y49-AA49-AC49-AE49-AG49-AI49-AK49-AM49</f>
        <v>0</v>
      </c>
      <c r="AP49" s="85"/>
      <c r="AQ49" s="84">
        <f t="shared" ref="AQ49" si="138">D49-W49-Y49-AA49-AC49-AE49-AG49-AI49-AK49-AM49-AO49</f>
        <v>0</v>
      </c>
      <c r="AR49" s="85"/>
      <c r="AS49" s="84">
        <f t="shared" ref="AS49" si="139">D49-W49-Y49-AA49-AC49-AE49-AG49-AI49-AK49-AM49-AO49-AQ49</f>
        <v>0</v>
      </c>
      <c r="AT49" s="81"/>
      <c r="AU49" s="214">
        <f t="shared" ref="AU49:AU50" si="140">D49-W49-Y49-AA49-AC49-AE49-AG49-AI49-AK49-AM49-AO49-AQ49-AS49</f>
        <v>0</v>
      </c>
    </row>
    <row r="50" spans="1:47" x14ac:dyDescent="0.35">
      <c r="A50" s="187" t="s">
        <v>584</v>
      </c>
      <c r="B50" s="180"/>
      <c r="C50" s="83">
        <v>22500</v>
      </c>
      <c r="D50" s="142">
        <f t="shared" si="124"/>
        <v>22500</v>
      </c>
      <c r="E50" s="304"/>
      <c r="F50" s="287"/>
      <c r="G50" s="288" t="e">
        <f t="shared" si="125"/>
        <v>#DIV/0!</v>
      </c>
      <c r="H50" s="289"/>
      <c r="I50" s="290" t="e">
        <f t="shared" si="126"/>
        <v>#DIV/0!</v>
      </c>
      <c r="J50" s="287"/>
      <c r="K50" s="288" t="e">
        <f t="shared" si="127"/>
        <v>#DIV/0!</v>
      </c>
      <c r="L50" s="289"/>
      <c r="M50" s="290" t="e">
        <f t="shared" si="128"/>
        <v>#DIV/0!</v>
      </c>
      <c r="N50" s="287"/>
      <c r="O50" s="288" t="e">
        <f t="shared" si="129"/>
        <v>#DIV/0!</v>
      </c>
      <c r="P50" s="289"/>
      <c r="Q50" s="290" t="e">
        <f t="shared" si="130"/>
        <v>#DIV/0!</v>
      </c>
      <c r="R50" s="287"/>
      <c r="S50" s="313" t="e">
        <f t="shared" si="131"/>
        <v>#DIV/0!</v>
      </c>
      <c r="T50" s="287"/>
      <c r="U50" s="313" t="e">
        <f t="shared" si="115"/>
        <v>#DIV/0!</v>
      </c>
      <c r="V50" s="323" t="e">
        <f t="shared" si="116"/>
        <v>#DIV/0!</v>
      </c>
      <c r="W50" s="81">
        <v>0</v>
      </c>
      <c r="X50" s="81"/>
      <c r="Y50" s="84">
        <v>0</v>
      </c>
      <c r="Z50" s="85"/>
      <c r="AA50" s="84">
        <v>0</v>
      </c>
      <c r="AB50" s="81"/>
      <c r="AC50" s="84">
        <v>0</v>
      </c>
      <c r="AD50" s="85"/>
      <c r="AE50" s="84">
        <v>0</v>
      </c>
      <c r="AF50" s="81"/>
      <c r="AG50" s="84">
        <v>0</v>
      </c>
      <c r="AH50" s="85"/>
      <c r="AI50" s="84">
        <v>0</v>
      </c>
      <c r="AJ50" s="85"/>
      <c r="AK50" s="84">
        <v>0</v>
      </c>
      <c r="AL50" s="85"/>
      <c r="AM50" s="84">
        <v>0</v>
      </c>
      <c r="AN50" s="85"/>
      <c r="AO50" s="84">
        <v>0</v>
      </c>
      <c r="AP50" s="85"/>
      <c r="AQ50" s="84">
        <v>0</v>
      </c>
      <c r="AR50" s="85"/>
      <c r="AS50" s="84">
        <v>0</v>
      </c>
      <c r="AT50" s="81"/>
      <c r="AU50" s="214">
        <f t="shared" si="140"/>
        <v>22500</v>
      </c>
    </row>
    <row r="51" spans="1:47" x14ac:dyDescent="0.35">
      <c r="A51" s="151" t="s">
        <v>583</v>
      </c>
      <c r="B51" s="180"/>
      <c r="C51" s="83">
        <v>3201.05</v>
      </c>
      <c r="D51" s="107">
        <f t="shared" ref="D51" si="141">C51</f>
        <v>3201.05</v>
      </c>
      <c r="E51" s="304">
        <v>3201.05</v>
      </c>
      <c r="F51" s="287"/>
      <c r="G51" s="288">
        <f t="shared" ref="G51" si="142">F51/E51</f>
        <v>0</v>
      </c>
      <c r="H51" s="289"/>
      <c r="I51" s="290">
        <f t="shared" ref="I51" si="143">H51/E51</f>
        <v>0</v>
      </c>
      <c r="J51" s="287"/>
      <c r="K51" s="288">
        <f t="shared" ref="K51" si="144">J51/E51</f>
        <v>0</v>
      </c>
      <c r="L51" s="289"/>
      <c r="M51" s="290">
        <f t="shared" ref="M51" si="145">L51/E51</f>
        <v>0</v>
      </c>
      <c r="N51" s="287"/>
      <c r="O51" s="288">
        <f t="shared" ref="O51" si="146">N51/E51</f>
        <v>0</v>
      </c>
      <c r="P51" s="289"/>
      <c r="Q51" s="290">
        <f t="shared" ref="Q51" si="147">P51/E51</f>
        <v>0</v>
      </c>
      <c r="R51" s="287">
        <v>3201.05</v>
      </c>
      <c r="S51" s="313">
        <f t="shared" ref="S51" si="148">R51/E51</f>
        <v>1</v>
      </c>
      <c r="T51" s="287"/>
      <c r="U51" s="313">
        <f t="shared" si="115"/>
        <v>0</v>
      </c>
      <c r="V51" s="323">
        <f t="shared" si="116"/>
        <v>1</v>
      </c>
      <c r="W51" s="81">
        <v>0</v>
      </c>
      <c r="X51" s="81"/>
      <c r="Y51" s="84">
        <v>0</v>
      </c>
      <c r="Z51" s="85"/>
      <c r="AA51" s="84">
        <v>0</v>
      </c>
      <c r="AB51" s="81"/>
      <c r="AC51" s="84">
        <v>0</v>
      </c>
      <c r="AD51" s="85"/>
      <c r="AE51" s="230">
        <v>988</v>
      </c>
      <c r="AF51" s="195">
        <v>988</v>
      </c>
      <c r="AG51" s="230">
        <f t="shared" ref="AG51" si="149">D51-W51-Y51-AA51-AC51-AE51</f>
        <v>2213.0500000000002</v>
      </c>
      <c r="AH51" s="231">
        <v>2213</v>
      </c>
      <c r="AI51" s="84">
        <f t="shared" ref="AI51" si="150">D51-W51-Y51-AA51-AC51-AE51-AG51</f>
        <v>0</v>
      </c>
      <c r="AJ51" s="85"/>
      <c r="AK51" s="84">
        <f t="shared" ref="AK51" si="151">D51-W51-Y51-AA51-AC51-AE51-AG51-AI51</f>
        <v>0</v>
      </c>
      <c r="AL51" s="85"/>
      <c r="AM51" s="84">
        <f t="shared" ref="AM51" si="152">D51-W51-Y51-AA51-AC51-AE51-AG51-AI51-AK51</f>
        <v>0</v>
      </c>
      <c r="AN51" s="85"/>
      <c r="AO51" s="84">
        <f t="shared" ref="AO51" si="153">D51-W51-Y51-AA51-AC51-AE51-AG51-AI51-AK51-AM51</f>
        <v>0</v>
      </c>
      <c r="AP51" s="85"/>
      <c r="AQ51" s="84">
        <f t="shared" ref="AQ51" si="154">D51-W51-Y51-AA51-AC51-AE51-AG51-AI51-AK51-AM51-AO51</f>
        <v>0</v>
      </c>
      <c r="AR51" s="85"/>
      <c r="AS51" s="84">
        <f t="shared" ref="AS51" si="155">D51-W51-Y51-AA51-AC51-AE51-AG51-AI51-AK51-AM51-AO51-AQ51</f>
        <v>0</v>
      </c>
      <c r="AT51" s="81"/>
      <c r="AU51" s="214">
        <f t="shared" ref="AU51" si="156">D51-W51-Y51-AA51-AC51-AE51-AG51-AI51-AK51-AM51-AO51-AQ51-AS51</f>
        <v>0</v>
      </c>
    </row>
    <row r="52" spans="1:47" s="350" customFormat="1" x14ac:dyDescent="0.35">
      <c r="A52" s="151" t="s">
        <v>582</v>
      </c>
      <c r="B52" s="167"/>
      <c r="C52" s="107">
        <v>8630.91</v>
      </c>
      <c r="D52" s="107">
        <f t="shared" ref="D52:D57" si="157">C52</f>
        <v>8630.91</v>
      </c>
      <c r="E52" s="304">
        <v>8630.91</v>
      </c>
      <c r="F52" s="291">
        <v>7839.41</v>
      </c>
      <c r="G52" s="292">
        <f t="shared" ref="G52:G56" si="158">F52/E52</f>
        <v>0.9082947221092561</v>
      </c>
      <c r="H52" s="293"/>
      <c r="I52" s="344">
        <f t="shared" ref="I52:I56" si="159">H52/E52</f>
        <v>0</v>
      </c>
      <c r="J52" s="291"/>
      <c r="K52" s="292">
        <f t="shared" ref="K52:K56" si="160">J52/E52</f>
        <v>0</v>
      </c>
      <c r="L52" s="293"/>
      <c r="M52" s="344">
        <f t="shared" ref="M52:M56" si="161">L52/E52</f>
        <v>0</v>
      </c>
      <c r="N52" s="291"/>
      <c r="O52" s="292">
        <f t="shared" ref="O52:O56" si="162">N52/E52</f>
        <v>0</v>
      </c>
      <c r="P52" s="293"/>
      <c r="Q52" s="344">
        <f t="shared" ref="Q52:Q56" si="163">P52/E52</f>
        <v>0</v>
      </c>
      <c r="R52" s="291">
        <v>503.5</v>
      </c>
      <c r="S52" s="345">
        <f t="shared" ref="S52:S56" si="164">R52/E52</f>
        <v>5.8336838178129541E-2</v>
      </c>
      <c r="T52" s="291">
        <v>288</v>
      </c>
      <c r="U52" s="345">
        <f t="shared" si="115"/>
        <v>3.3368439712614315E-2</v>
      </c>
      <c r="V52" s="346">
        <f t="shared" si="116"/>
        <v>1</v>
      </c>
      <c r="W52" s="347">
        <v>0</v>
      </c>
      <c r="X52" s="347"/>
      <c r="Y52" s="281">
        <v>0</v>
      </c>
      <c r="Z52" s="348"/>
      <c r="AA52" s="281">
        <v>0</v>
      </c>
      <c r="AB52" s="347"/>
      <c r="AC52" s="281">
        <v>0</v>
      </c>
      <c r="AD52" s="348"/>
      <c r="AE52" s="343">
        <v>2640.21</v>
      </c>
      <c r="AF52" s="196">
        <v>2640</v>
      </c>
      <c r="AG52" s="343">
        <f t="shared" ref="AG52" si="165">D52-W52-Y52-AA52-AC52-AE52</f>
        <v>5990.7</v>
      </c>
      <c r="AH52" s="351">
        <v>5991</v>
      </c>
      <c r="AI52" s="281">
        <f t="shared" ref="AI52" si="166">D52-W52-Y52-AA52-AC52-AE52-AG52</f>
        <v>0</v>
      </c>
      <c r="AJ52" s="348"/>
      <c r="AK52" s="281">
        <f t="shared" ref="AK52" si="167">D52-W52-Y52-AA52-AC52-AE52-AG52-AI52</f>
        <v>0</v>
      </c>
      <c r="AL52" s="348"/>
      <c r="AM52" s="281">
        <f t="shared" ref="AM52" si="168">D52-W52-Y52-AA52-AC52-AE52-AG52-AI52-AK52</f>
        <v>0</v>
      </c>
      <c r="AN52" s="348"/>
      <c r="AO52" s="281">
        <f t="shared" ref="AO52" si="169">D52-W52-Y52-AA52-AC52-AE52-AG52-AI52-AK52-AM52</f>
        <v>0</v>
      </c>
      <c r="AP52" s="348"/>
      <c r="AQ52" s="281">
        <f t="shared" ref="AQ52" si="170">D52-W52-Y52-AA52-AC52-AE52-AG52-AI52-AK52-AM52-AO52</f>
        <v>0</v>
      </c>
      <c r="AR52" s="348"/>
      <c r="AS52" s="281">
        <f t="shared" ref="AS52" si="171">D52-W52-Y52-AA52-AC52-AE52-AG52-AI52-AK52-AM52-AO52-AQ52</f>
        <v>0</v>
      </c>
      <c r="AT52" s="347"/>
      <c r="AU52" s="349">
        <f t="shared" ref="AU52:AU56" si="172">D52-W52-Y52-AA52-AC52-AE52-AG52-AI52-AK52-AM52-AO52-AQ52-AS52</f>
        <v>0</v>
      </c>
    </row>
    <row r="53" spans="1:47" x14ac:dyDescent="0.35">
      <c r="A53" s="159" t="s">
        <v>581</v>
      </c>
      <c r="B53" s="180"/>
      <c r="C53" s="83">
        <f>49996.2-8477.39-2106.65-144.52</f>
        <v>39267.64</v>
      </c>
      <c r="D53" s="107">
        <f>C53</f>
        <v>39267.64</v>
      </c>
      <c r="E53" s="304">
        <f>D53</f>
        <v>39267.64</v>
      </c>
      <c r="F53" s="287">
        <v>6910.14</v>
      </c>
      <c r="G53" s="288">
        <f>F53/E53</f>
        <v>0.17597543422522974</v>
      </c>
      <c r="H53" s="289">
        <v>4214.16</v>
      </c>
      <c r="I53" s="290">
        <f>H53/E53</f>
        <v>0.10731890177255368</v>
      </c>
      <c r="J53" s="287">
        <v>9670.67</v>
      </c>
      <c r="K53" s="288">
        <f>J53/E53</f>
        <v>0.24627581387626046</v>
      </c>
      <c r="L53" s="289">
        <v>10770.55</v>
      </c>
      <c r="M53" s="290">
        <f>L53/E53</f>
        <v>0.27428564589061116</v>
      </c>
      <c r="N53" s="287">
        <v>2373.9499999999998</v>
      </c>
      <c r="O53" s="288">
        <f>N53/E53</f>
        <v>6.0455632169389345E-2</v>
      </c>
      <c r="P53" s="289">
        <v>4272.6899999999996</v>
      </c>
      <c r="Q53" s="290">
        <f>P53/E53</f>
        <v>0.10880944207495026</v>
      </c>
      <c r="R53" s="287"/>
      <c r="S53" s="313">
        <f>R53/E53</f>
        <v>0</v>
      </c>
      <c r="T53" s="287">
        <v>1200</v>
      </c>
      <c r="U53" s="313">
        <f t="shared" si="115"/>
        <v>3.0559514144471122E-2</v>
      </c>
      <c r="V53" s="323">
        <f t="shared" si="116"/>
        <v>1.0036803841534656</v>
      </c>
      <c r="W53" s="81">
        <v>0</v>
      </c>
      <c r="X53" s="81"/>
      <c r="Y53" s="84">
        <v>0</v>
      </c>
      <c r="Z53" s="85"/>
      <c r="AA53" s="84">
        <v>0</v>
      </c>
      <c r="AB53" s="81"/>
      <c r="AC53" s="84">
        <v>0</v>
      </c>
      <c r="AD53" s="85"/>
      <c r="AE53" s="84">
        <v>0</v>
      </c>
      <c r="AF53" s="81"/>
      <c r="AG53" s="84">
        <v>0</v>
      </c>
      <c r="AH53" s="85"/>
      <c r="AI53" s="84">
        <v>0</v>
      </c>
      <c r="AJ53" s="85"/>
      <c r="AK53" s="84">
        <v>0</v>
      </c>
      <c r="AL53" s="85"/>
      <c r="AM53" s="84">
        <v>0</v>
      </c>
      <c r="AN53" s="85"/>
      <c r="AO53" s="84">
        <v>0</v>
      </c>
      <c r="AP53" s="85"/>
      <c r="AQ53" s="84">
        <v>0</v>
      </c>
      <c r="AR53" s="85"/>
      <c r="AS53" s="230">
        <v>6351</v>
      </c>
      <c r="AT53" s="195">
        <v>6351.15</v>
      </c>
      <c r="AU53" s="214">
        <f>D53-W53-Y53-AA53-AC53-AE53-AG53-AI53-AK53-AM53-AO53-AQ53-AS53</f>
        <v>32916.639999999999</v>
      </c>
    </row>
    <row r="54" spans="1:47" x14ac:dyDescent="0.35">
      <c r="A54" s="159" t="s">
        <v>579</v>
      </c>
      <c r="B54" s="180"/>
      <c r="C54" s="83">
        <f>26978.9+3418.83</f>
        <v>30397.730000000003</v>
      </c>
      <c r="D54" s="107">
        <f t="shared" si="157"/>
        <v>30397.730000000003</v>
      </c>
      <c r="E54" s="304">
        <v>26978.9</v>
      </c>
      <c r="F54" s="287">
        <v>4208.3900000000003</v>
      </c>
      <c r="G54" s="288">
        <f t="shared" si="158"/>
        <v>0.15598819818450715</v>
      </c>
      <c r="H54" s="289">
        <v>1677.97</v>
      </c>
      <c r="I54" s="290">
        <f t="shared" si="159"/>
        <v>6.2195641779316427E-2</v>
      </c>
      <c r="J54" s="287">
        <v>3857.98</v>
      </c>
      <c r="K54" s="288">
        <f t="shared" si="160"/>
        <v>0.14299989992179071</v>
      </c>
      <c r="L54" s="289">
        <v>7778.41</v>
      </c>
      <c r="M54" s="290">
        <f t="shared" si="161"/>
        <v>0.28831457175792935</v>
      </c>
      <c r="N54" s="287">
        <v>1402.22</v>
      </c>
      <c r="O54" s="288">
        <f t="shared" si="162"/>
        <v>5.1974691332856413E-2</v>
      </c>
      <c r="P54" s="289">
        <v>2534.5100000000002</v>
      </c>
      <c r="Q54" s="290">
        <f t="shared" si="163"/>
        <v>9.3944156359228884E-2</v>
      </c>
      <c r="R54" s="287">
        <v>4319.42</v>
      </c>
      <c r="S54" s="313">
        <f t="shared" si="164"/>
        <v>0.16010363654559673</v>
      </c>
      <c r="T54" s="287">
        <v>1200</v>
      </c>
      <c r="U54" s="313">
        <f t="shared" si="115"/>
        <v>4.4479204118774297E-2</v>
      </c>
      <c r="V54" s="323">
        <f t="shared" si="116"/>
        <v>1</v>
      </c>
      <c r="W54" s="81">
        <v>0</v>
      </c>
      <c r="X54" s="81"/>
      <c r="Y54" s="84">
        <v>0</v>
      </c>
      <c r="Z54" s="85"/>
      <c r="AA54" s="84">
        <v>0</v>
      </c>
      <c r="AB54" s="81"/>
      <c r="AC54" s="84">
        <v>0</v>
      </c>
      <c r="AD54" s="85"/>
      <c r="AE54" s="84">
        <v>0</v>
      </c>
      <c r="AF54" s="81"/>
      <c r="AG54" s="84">
        <v>0</v>
      </c>
      <c r="AH54" s="85"/>
      <c r="AI54" s="84">
        <v>0</v>
      </c>
      <c r="AJ54" s="85"/>
      <c r="AK54" s="84">
        <v>0</v>
      </c>
      <c r="AL54" s="85"/>
      <c r="AM54" s="230">
        <v>2699.08</v>
      </c>
      <c r="AN54" s="231">
        <v>2699.08</v>
      </c>
      <c r="AO54" s="84">
        <v>0</v>
      </c>
      <c r="AP54" s="85"/>
      <c r="AQ54" s="230">
        <v>5408</v>
      </c>
      <c r="AR54" s="231">
        <v>5408.39</v>
      </c>
      <c r="AS54" s="230">
        <v>22290</v>
      </c>
      <c r="AT54" s="195">
        <f>18871.43+3418.83</f>
        <v>22290.260000000002</v>
      </c>
      <c r="AU54" s="214">
        <v>0</v>
      </c>
    </row>
    <row r="55" spans="1:47" x14ac:dyDescent="0.35">
      <c r="A55" s="159" t="s">
        <v>578</v>
      </c>
      <c r="B55" s="180"/>
      <c r="C55" s="83">
        <v>54260</v>
      </c>
      <c r="D55" s="142">
        <f t="shared" si="157"/>
        <v>54260</v>
      </c>
      <c r="E55" s="304"/>
      <c r="F55" s="287"/>
      <c r="G55" s="288" t="e">
        <f t="shared" si="158"/>
        <v>#DIV/0!</v>
      </c>
      <c r="H55" s="289"/>
      <c r="I55" s="290" t="e">
        <f t="shared" si="159"/>
        <v>#DIV/0!</v>
      </c>
      <c r="J55" s="287"/>
      <c r="K55" s="288" t="e">
        <f t="shared" si="160"/>
        <v>#DIV/0!</v>
      </c>
      <c r="L55" s="289"/>
      <c r="M55" s="290" t="e">
        <f t="shared" si="161"/>
        <v>#DIV/0!</v>
      </c>
      <c r="N55" s="287"/>
      <c r="O55" s="288" t="e">
        <f t="shared" si="162"/>
        <v>#DIV/0!</v>
      </c>
      <c r="P55" s="289"/>
      <c r="Q55" s="290" t="e">
        <f t="shared" si="163"/>
        <v>#DIV/0!</v>
      </c>
      <c r="R55" s="287"/>
      <c r="S55" s="313" t="e">
        <f t="shared" si="164"/>
        <v>#DIV/0!</v>
      </c>
      <c r="T55" s="287"/>
      <c r="U55" s="313" t="e">
        <f t="shared" si="115"/>
        <v>#DIV/0!</v>
      </c>
      <c r="V55" s="323" t="e">
        <f t="shared" si="116"/>
        <v>#DIV/0!</v>
      </c>
      <c r="W55" s="81">
        <v>0</v>
      </c>
      <c r="X55" s="81"/>
      <c r="Y55" s="84">
        <v>0</v>
      </c>
      <c r="Z55" s="85"/>
      <c r="AA55" s="84">
        <v>0</v>
      </c>
      <c r="AB55" s="81"/>
      <c r="AC55" s="84">
        <v>0</v>
      </c>
      <c r="AD55" s="85"/>
      <c r="AE55" s="84">
        <v>0</v>
      </c>
      <c r="AF55" s="81"/>
      <c r="AG55" s="84">
        <v>0</v>
      </c>
      <c r="AH55" s="85"/>
      <c r="AI55" s="84">
        <v>0</v>
      </c>
      <c r="AJ55" s="85"/>
      <c r="AK55" s="84">
        <v>0</v>
      </c>
      <c r="AL55" s="85"/>
      <c r="AM55" s="84">
        <v>0</v>
      </c>
      <c r="AN55" s="85"/>
      <c r="AO55" s="84">
        <v>0</v>
      </c>
      <c r="AP55" s="85"/>
      <c r="AQ55" s="84">
        <v>0</v>
      </c>
      <c r="AR55" s="85"/>
      <c r="AS55" s="84">
        <v>0</v>
      </c>
      <c r="AT55" s="81"/>
      <c r="AU55" s="214">
        <f t="shared" si="172"/>
        <v>54260</v>
      </c>
    </row>
    <row r="56" spans="1:47" x14ac:dyDescent="0.35">
      <c r="A56" s="187" t="s">
        <v>576</v>
      </c>
      <c r="B56" s="180"/>
      <c r="C56" s="83">
        <f>34335+3454.21</f>
        <v>37789.21</v>
      </c>
      <c r="D56" s="107">
        <f t="shared" si="157"/>
        <v>37789.21</v>
      </c>
      <c r="E56" s="304">
        <f>D56</f>
        <v>37789.21</v>
      </c>
      <c r="F56" s="287"/>
      <c r="G56" s="288">
        <f t="shared" si="158"/>
        <v>0</v>
      </c>
      <c r="H56" s="289">
        <f>D56</f>
        <v>37789.21</v>
      </c>
      <c r="I56" s="290">
        <f t="shared" si="159"/>
        <v>1</v>
      </c>
      <c r="J56" s="287"/>
      <c r="K56" s="288">
        <f t="shared" si="160"/>
        <v>0</v>
      </c>
      <c r="L56" s="289"/>
      <c r="M56" s="290">
        <f t="shared" si="161"/>
        <v>0</v>
      </c>
      <c r="N56" s="287"/>
      <c r="O56" s="288">
        <f t="shared" si="162"/>
        <v>0</v>
      </c>
      <c r="P56" s="289"/>
      <c r="Q56" s="290">
        <f t="shared" si="163"/>
        <v>0</v>
      </c>
      <c r="R56" s="287"/>
      <c r="S56" s="313">
        <f t="shared" si="164"/>
        <v>0</v>
      </c>
      <c r="T56" s="287"/>
      <c r="U56" s="313">
        <f t="shared" si="115"/>
        <v>0</v>
      </c>
      <c r="V56" s="323">
        <f t="shared" si="116"/>
        <v>1</v>
      </c>
      <c r="W56" s="81">
        <v>0</v>
      </c>
      <c r="X56" s="81"/>
      <c r="Y56" s="84">
        <v>0</v>
      </c>
      <c r="Z56" s="85"/>
      <c r="AA56" s="84">
        <v>0</v>
      </c>
      <c r="AB56" s="81"/>
      <c r="AC56" s="84">
        <v>0</v>
      </c>
      <c r="AD56" s="85"/>
      <c r="AE56" s="84">
        <v>0</v>
      </c>
      <c r="AF56" s="81"/>
      <c r="AG56" s="84">
        <v>0</v>
      </c>
      <c r="AH56" s="85"/>
      <c r="AI56" s="84">
        <v>0</v>
      </c>
      <c r="AJ56" s="85"/>
      <c r="AK56" s="84">
        <v>0</v>
      </c>
      <c r="AL56" s="85"/>
      <c r="AM56" s="230">
        <v>23029</v>
      </c>
      <c r="AN56" s="231">
        <v>23029.07</v>
      </c>
      <c r="AO56" s="230">
        <v>11306</v>
      </c>
      <c r="AP56" s="231">
        <v>11306</v>
      </c>
      <c r="AQ56" s="84"/>
      <c r="AR56" s="85"/>
      <c r="AS56" s="230">
        <v>3454.21</v>
      </c>
      <c r="AT56" s="195">
        <v>3454.21</v>
      </c>
      <c r="AU56" s="214">
        <f t="shared" si="172"/>
        <v>0</v>
      </c>
    </row>
    <row r="57" spans="1:47" x14ac:dyDescent="0.35">
      <c r="A57" s="159" t="s">
        <v>577</v>
      </c>
      <c r="B57" s="180"/>
      <c r="C57" s="83">
        <f>35361.59-2550.74</f>
        <v>32810.85</v>
      </c>
      <c r="D57" s="107">
        <f t="shared" si="157"/>
        <v>32810.85</v>
      </c>
      <c r="E57" s="304">
        <v>35361.589999999997</v>
      </c>
      <c r="F57" s="287">
        <v>6752.67</v>
      </c>
      <c r="G57" s="288">
        <f>F57/E57</f>
        <v>0.19096058746227193</v>
      </c>
      <c r="H57" s="289">
        <v>5918.13</v>
      </c>
      <c r="I57" s="290">
        <f>H57/E57</f>
        <v>0.16736040432571048</v>
      </c>
      <c r="J57" s="287">
        <v>5499.62</v>
      </c>
      <c r="K57" s="288">
        <f>J57/E57</f>
        <v>0.15552524646091989</v>
      </c>
      <c r="L57" s="289">
        <v>11024.42</v>
      </c>
      <c r="M57" s="290">
        <f>L57/E57</f>
        <v>0.31176256497516092</v>
      </c>
      <c r="N57" s="287">
        <v>1861.39</v>
      </c>
      <c r="O57" s="288">
        <f>N57/E57</f>
        <v>5.2638752952002446E-2</v>
      </c>
      <c r="P57" s="289">
        <v>2395.86</v>
      </c>
      <c r="Q57" s="290">
        <f>P57/E57</f>
        <v>6.7753175125892254E-2</v>
      </c>
      <c r="R57" s="287"/>
      <c r="S57" s="313">
        <f>R57/E57</f>
        <v>0</v>
      </c>
      <c r="T57" s="287">
        <f>709.5+1200</f>
        <v>1909.5</v>
      </c>
      <c r="U57" s="313">
        <f t="shared" si="115"/>
        <v>5.3999268698042148E-2</v>
      </c>
      <c r="V57" s="323">
        <f t="shared" si="116"/>
        <v>1</v>
      </c>
      <c r="W57" s="81"/>
      <c r="X57" s="81"/>
      <c r="Y57" s="84">
        <v>0</v>
      </c>
      <c r="Z57" s="85"/>
      <c r="AA57" s="48">
        <v>0</v>
      </c>
      <c r="AB57" s="81"/>
      <c r="AC57" s="84">
        <v>0</v>
      </c>
      <c r="AD57" s="85"/>
      <c r="AE57" s="84">
        <v>0</v>
      </c>
      <c r="AF57" s="81"/>
      <c r="AG57" s="84">
        <v>0</v>
      </c>
      <c r="AH57" s="85"/>
      <c r="AI57" s="84">
        <v>0</v>
      </c>
      <c r="AJ57" s="85"/>
      <c r="AK57" s="84">
        <v>0</v>
      </c>
      <c r="AL57" s="85"/>
      <c r="AM57" s="84">
        <v>0</v>
      </c>
      <c r="AN57" s="85"/>
      <c r="AO57" s="230">
        <v>20258.82</v>
      </c>
      <c r="AP57" s="231">
        <v>20259</v>
      </c>
      <c r="AQ57" s="230">
        <v>3888</v>
      </c>
      <c r="AR57" s="231">
        <v>3887.72</v>
      </c>
      <c r="AS57" s="230">
        <v>8664</v>
      </c>
      <c r="AT57" s="195">
        <f>11215.05-2550.74</f>
        <v>8664.31</v>
      </c>
      <c r="AU57" s="214">
        <f t="shared" ref="AU57" si="173">D57-W57-Y57-AA57-AC57-AE57-AG57-AI57-AK57-AM57-AO57-AQ57-AS57</f>
        <v>2.9999999998835847E-2</v>
      </c>
    </row>
    <row r="58" spans="1:47" x14ac:dyDescent="0.35">
      <c r="A58" s="159" t="s">
        <v>569</v>
      </c>
      <c r="B58" s="180"/>
      <c r="C58" s="83">
        <v>13324.99</v>
      </c>
      <c r="D58" s="105">
        <f>+C58</f>
        <v>13324.99</v>
      </c>
      <c r="E58" s="305">
        <v>13325</v>
      </c>
      <c r="F58" s="287">
        <f>9408.73+480</f>
        <v>9888.73</v>
      </c>
      <c r="G58" s="288">
        <f>F58/E58</f>
        <v>0.74211857410881799</v>
      </c>
      <c r="H58" s="289"/>
      <c r="I58" s="290">
        <f>H58/E58</f>
        <v>0</v>
      </c>
      <c r="J58" s="287">
        <v>505.12</v>
      </c>
      <c r="K58" s="288">
        <f>J58/E58</f>
        <v>3.7907692307692309E-2</v>
      </c>
      <c r="L58" s="289"/>
      <c r="M58" s="290">
        <f>L58/E58</f>
        <v>0</v>
      </c>
      <c r="N58" s="287">
        <v>1846.94</v>
      </c>
      <c r="O58" s="288">
        <f>N58/E58</f>
        <v>0.13860712945590994</v>
      </c>
      <c r="P58" s="289">
        <v>1084.2</v>
      </c>
      <c r="Q58" s="290">
        <f>P58/E58</f>
        <v>8.1365853658536588E-2</v>
      </c>
      <c r="R58" s="287"/>
      <c r="S58" s="313">
        <f>R58/E58</f>
        <v>0</v>
      </c>
      <c r="T58" s="287"/>
      <c r="U58" s="313">
        <f t="shared" si="115"/>
        <v>0</v>
      </c>
      <c r="V58" s="323">
        <f t="shared" si="116"/>
        <v>0.99999924953095687</v>
      </c>
      <c r="W58" s="81"/>
      <c r="X58" s="81"/>
      <c r="Y58" s="230">
        <f t="shared" ref="Y58" si="174">D58-W58</f>
        <v>13324.99</v>
      </c>
      <c r="Z58" s="231">
        <v>13325</v>
      </c>
      <c r="AA58" s="48">
        <f t="shared" ref="AA58:AA65" si="175">D58-W58-Y58</f>
        <v>0</v>
      </c>
      <c r="AB58" s="81"/>
      <c r="AC58" s="84">
        <f t="shared" ref="AC58:AC65" si="176">D58-W58-Y58-AA58</f>
        <v>0</v>
      </c>
      <c r="AD58" s="85"/>
      <c r="AE58" s="84">
        <f t="shared" ref="AE58:AE65" si="177">D58-W58-Y58-AA58-AC58</f>
        <v>0</v>
      </c>
      <c r="AF58" s="81"/>
      <c r="AG58" s="84">
        <f t="shared" ref="AG58:AG65" si="178">D58-W58-Y58-AA58-AC58-AE58</f>
        <v>0</v>
      </c>
      <c r="AH58" s="85"/>
      <c r="AI58" s="84">
        <f t="shared" ref="AI58:AI65" si="179">D58-W58-Y58-AA58-AC58-AE58-AG58</f>
        <v>0</v>
      </c>
      <c r="AJ58" s="85"/>
      <c r="AK58" s="84">
        <f t="shared" ref="AK58:AK65" si="180">D58-W58-Y58-AA58-AC58-AE58-AG58-AI58</f>
        <v>0</v>
      </c>
      <c r="AL58" s="85"/>
      <c r="AM58" s="84">
        <f t="shared" ref="AM58:AM65" si="181">D58-W58-Y58-AA58-AC58-AE58-AG58-AI58-AK58</f>
        <v>0</v>
      </c>
      <c r="AN58" s="85"/>
      <c r="AO58" s="84">
        <f t="shared" ref="AO58:AO65" si="182">D58-W58-Y58-AA58-AC58-AE58-AG58-AI58-AK58-AM58</f>
        <v>0</v>
      </c>
      <c r="AP58" s="85"/>
      <c r="AQ58" s="84">
        <f t="shared" ref="AQ58:AQ64" si="183">D58-W58-Y58-AA58-AC58-AE58-AG58-AI58-AK58-AM58-AO58</f>
        <v>0</v>
      </c>
      <c r="AR58" s="85"/>
      <c r="AS58" s="84">
        <f t="shared" ref="AS58:AS64" si="184">D58-W58-Y58-AA58-AC58-AE58-AG58-AI58-AK58-AM58-AO58-AQ58</f>
        <v>0</v>
      </c>
      <c r="AT58" s="81"/>
      <c r="AU58" s="214">
        <f t="shared" ref="AU58:AU97" si="185">D58-W58-Y58-AA58-AC58-AE58-AG58-AI58-AK58-AM58-AO58-AQ58-AS58</f>
        <v>0</v>
      </c>
    </row>
    <row r="59" spans="1:47" x14ac:dyDescent="0.35">
      <c r="A59" s="149" t="s">
        <v>567</v>
      </c>
      <c r="B59" s="180"/>
      <c r="C59" s="83">
        <v>119143.21</v>
      </c>
      <c r="D59" s="107">
        <f>C59</f>
        <v>119143.21</v>
      </c>
      <c r="E59" s="304">
        <v>119143</v>
      </c>
      <c r="F59" s="287">
        <f>38415.83+1223.99</f>
        <v>39639.82</v>
      </c>
      <c r="G59" s="288">
        <f>F59/E59</f>
        <v>0.33270792241256303</v>
      </c>
      <c r="H59" s="289">
        <v>11636.36</v>
      </c>
      <c r="I59" s="290">
        <f>H59/E59</f>
        <v>9.766717306094358E-2</v>
      </c>
      <c r="J59" s="287">
        <v>22545.9</v>
      </c>
      <c r="K59" s="288">
        <f>J59/E59</f>
        <v>0.18923394576265498</v>
      </c>
      <c r="L59" s="289">
        <v>41656.39</v>
      </c>
      <c r="M59" s="290">
        <f>L59/E59</f>
        <v>0.34963354960006043</v>
      </c>
      <c r="N59" s="287">
        <v>2764.74</v>
      </c>
      <c r="O59" s="288">
        <f>N59/E59</f>
        <v>2.3205223974551586E-2</v>
      </c>
      <c r="P59" s="289"/>
      <c r="Q59" s="290">
        <f>P59/E59</f>
        <v>0</v>
      </c>
      <c r="R59" s="287"/>
      <c r="S59" s="313">
        <f>R59/E59</f>
        <v>0</v>
      </c>
      <c r="T59" s="287">
        <v>900</v>
      </c>
      <c r="U59" s="313">
        <f t="shared" si="115"/>
        <v>7.5539477770410349E-3</v>
      </c>
      <c r="V59" s="323">
        <f t="shared" si="116"/>
        <v>1.0000017625878146</v>
      </c>
      <c r="W59" s="81"/>
      <c r="X59" s="81"/>
      <c r="Y59" s="84">
        <v>0</v>
      </c>
      <c r="Z59" s="85"/>
      <c r="AA59" s="48">
        <v>0</v>
      </c>
      <c r="AB59" s="81"/>
      <c r="AC59" s="84">
        <v>0</v>
      </c>
      <c r="AD59" s="85"/>
      <c r="AE59" s="84">
        <v>0</v>
      </c>
      <c r="AF59" s="81"/>
      <c r="AG59" s="230">
        <v>15915.33</v>
      </c>
      <c r="AH59" s="231">
        <v>15915.33</v>
      </c>
      <c r="AI59" s="230">
        <v>52900</v>
      </c>
      <c r="AJ59" s="231">
        <v>52900.19</v>
      </c>
      <c r="AK59" s="230">
        <v>2646.86</v>
      </c>
      <c r="AL59" s="231">
        <v>2646.86</v>
      </c>
      <c r="AM59" s="230">
        <v>20400</v>
      </c>
      <c r="AN59" s="231">
        <v>20400.400000000001</v>
      </c>
      <c r="AO59" s="230">
        <v>27281</v>
      </c>
      <c r="AP59" s="231">
        <v>27281</v>
      </c>
      <c r="AQ59" s="84">
        <f t="shared" si="183"/>
        <v>2.0000000004074536E-2</v>
      </c>
      <c r="AR59" s="85"/>
      <c r="AS59" s="84">
        <f t="shared" si="184"/>
        <v>0</v>
      </c>
      <c r="AT59" s="81"/>
      <c r="AU59" s="214">
        <f t="shared" si="185"/>
        <v>0</v>
      </c>
    </row>
    <row r="60" spans="1:47" x14ac:dyDescent="0.35">
      <c r="A60" s="150" t="s">
        <v>566</v>
      </c>
      <c r="B60" s="180"/>
      <c r="C60" s="83">
        <f>5791.04+8453.84</f>
        <v>14244.880000000001</v>
      </c>
      <c r="D60" s="107">
        <f>+C60</f>
        <v>14244.880000000001</v>
      </c>
      <c r="E60" s="304">
        <v>14225</v>
      </c>
      <c r="F60" s="287"/>
      <c r="G60" s="288">
        <f>F60/E60</f>
        <v>0</v>
      </c>
      <c r="H60" s="289"/>
      <c r="I60" s="290">
        <f>H60/E60</f>
        <v>0</v>
      </c>
      <c r="J60" s="287"/>
      <c r="K60" s="288">
        <f>J60/E60</f>
        <v>0</v>
      </c>
      <c r="L60" s="289"/>
      <c r="M60" s="290">
        <f>L60/E60</f>
        <v>0</v>
      </c>
      <c r="N60" s="287"/>
      <c r="O60" s="288">
        <f>N60/E60</f>
        <v>0</v>
      </c>
      <c r="P60" s="289"/>
      <c r="Q60" s="290">
        <f>P60/E60</f>
        <v>0</v>
      </c>
      <c r="R60" s="287">
        <v>14225</v>
      </c>
      <c r="S60" s="313">
        <f>R60/E60</f>
        <v>1</v>
      </c>
      <c r="T60" s="287"/>
      <c r="U60" s="313">
        <f t="shared" si="115"/>
        <v>0</v>
      </c>
      <c r="V60" s="323">
        <f t="shared" si="116"/>
        <v>1</v>
      </c>
      <c r="W60" s="81"/>
      <c r="X60" s="81"/>
      <c r="Y60" s="84">
        <v>0</v>
      </c>
      <c r="Z60" s="85"/>
      <c r="AA60" s="48">
        <v>0</v>
      </c>
      <c r="AB60" s="81"/>
      <c r="AC60" s="84">
        <v>0</v>
      </c>
      <c r="AD60" s="85"/>
      <c r="AE60" s="84">
        <v>0</v>
      </c>
      <c r="AF60" s="81"/>
      <c r="AG60" s="84">
        <v>0</v>
      </c>
      <c r="AH60" s="85"/>
      <c r="AI60" s="84">
        <v>0</v>
      </c>
      <c r="AJ60" s="85"/>
      <c r="AK60" s="84">
        <v>0</v>
      </c>
      <c r="AL60" s="85"/>
      <c r="AM60" s="84">
        <v>0</v>
      </c>
      <c r="AN60" s="85"/>
      <c r="AO60" s="84">
        <v>0</v>
      </c>
      <c r="AP60" s="85"/>
      <c r="AQ60" s="84">
        <v>0</v>
      </c>
      <c r="AR60" s="85"/>
      <c r="AS60" s="84">
        <v>0</v>
      </c>
      <c r="AT60" s="81"/>
      <c r="AU60" s="214">
        <f t="shared" ref="AU60" si="186">D60-W60-Y60-AA60-AC60-AE60-AG60-AI60-AK60-AM60-AO60-AQ60-AS60</f>
        <v>14244.880000000001</v>
      </c>
    </row>
    <row r="61" spans="1:47" x14ac:dyDescent="0.35">
      <c r="A61" s="159" t="s">
        <v>565</v>
      </c>
      <c r="B61" s="180"/>
      <c r="C61" s="83">
        <v>92777</v>
      </c>
      <c r="D61" s="63">
        <f>+C61</f>
        <v>92777</v>
      </c>
      <c r="E61" s="302"/>
      <c r="F61" s="287"/>
      <c r="G61" s="288" t="e">
        <f t="shared" ref="G61:G62" si="187">F61/E61</f>
        <v>#DIV/0!</v>
      </c>
      <c r="H61" s="289"/>
      <c r="I61" s="290" t="e">
        <f t="shared" ref="I61:I62" si="188">H61/E61</f>
        <v>#DIV/0!</v>
      </c>
      <c r="J61" s="287"/>
      <c r="K61" s="288" t="e">
        <f t="shared" ref="K61:K62" si="189">J61/E61</f>
        <v>#DIV/0!</v>
      </c>
      <c r="L61" s="289"/>
      <c r="M61" s="290" t="e">
        <f t="shared" ref="M61:M62" si="190">L61/E61</f>
        <v>#DIV/0!</v>
      </c>
      <c r="N61" s="287"/>
      <c r="O61" s="288" t="e">
        <f t="shared" ref="O61:O62" si="191">N61/E61</f>
        <v>#DIV/0!</v>
      </c>
      <c r="P61" s="289"/>
      <c r="Q61" s="290" t="e">
        <f t="shared" ref="Q61:Q62" si="192">P61/E61</f>
        <v>#DIV/0!</v>
      </c>
      <c r="R61" s="287"/>
      <c r="S61" s="313" t="e">
        <f t="shared" ref="S61:S62" si="193">R61/E61</f>
        <v>#DIV/0!</v>
      </c>
      <c r="T61" s="287"/>
      <c r="U61" s="313" t="e">
        <f t="shared" si="115"/>
        <v>#DIV/0!</v>
      </c>
      <c r="V61" s="323" t="e">
        <f t="shared" si="116"/>
        <v>#DIV/0!</v>
      </c>
      <c r="W61" s="81"/>
      <c r="X61" s="81"/>
      <c r="Y61" s="84">
        <v>0</v>
      </c>
      <c r="Z61" s="85"/>
      <c r="AA61" s="48">
        <v>0</v>
      </c>
      <c r="AB61" s="81"/>
      <c r="AC61" s="84">
        <v>0</v>
      </c>
      <c r="AD61" s="85"/>
      <c r="AE61" s="84">
        <v>0</v>
      </c>
      <c r="AF61" s="81"/>
      <c r="AG61" s="84">
        <v>0</v>
      </c>
      <c r="AH61" s="85"/>
      <c r="AI61" s="84">
        <v>0</v>
      </c>
      <c r="AJ61" s="85"/>
      <c r="AK61" s="84">
        <v>0</v>
      </c>
      <c r="AL61" s="85"/>
      <c r="AM61" s="84">
        <v>0</v>
      </c>
      <c r="AN61" s="85"/>
      <c r="AO61" s="84">
        <v>0</v>
      </c>
      <c r="AP61" s="85"/>
      <c r="AQ61" s="84">
        <v>0</v>
      </c>
      <c r="AR61" s="85"/>
      <c r="AS61" s="84">
        <v>0</v>
      </c>
      <c r="AT61" s="81"/>
      <c r="AU61" s="214">
        <f t="shared" si="185"/>
        <v>92777</v>
      </c>
    </row>
    <row r="62" spans="1:47" x14ac:dyDescent="0.35">
      <c r="A62" s="159" t="s">
        <v>564</v>
      </c>
      <c r="B62" s="180"/>
      <c r="C62" s="83">
        <f>17461-2233-80</f>
        <v>15148</v>
      </c>
      <c r="D62" s="107">
        <f>C62</f>
        <v>15148</v>
      </c>
      <c r="E62" s="304">
        <v>17461</v>
      </c>
      <c r="F62" s="287"/>
      <c r="G62" s="288">
        <f t="shared" si="187"/>
        <v>0</v>
      </c>
      <c r="H62" s="289"/>
      <c r="I62" s="290">
        <f t="shared" si="188"/>
        <v>0</v>
      </c>
      <c r="J62" s="287"/>
      <c r="K62" s="288">
        <f t="shared" si="189"/>
        <v>0</v>
      </c>
      <c r="L62" s="289"/>
      <c r="M62" s="290">
        <f t="shared" si="190"/>
        <v>0</v>
      </c>
      <c r="N62" s="287"/>
      <c r="O62" s="288">
        <f t="shared" si="191"/>
        <v>0</v>
      </c>
      <c r="P62" s="289"/>
      <c r="Q62" s="290">
        <f t="shared" si="192"/>
        <v>0</v>
      </c>
      <c r="R62" s="287"/>
      <c r="S62" s="313">
        <f t="shared" si="193"/>
        <v>0</v>
      </c>
      <c r="T62" s="287"/>
      <c r="U62" s="313">
        <f t="shared" si="115"/>
        <v>0</v>
      </c>
      <c r="V62" s="323">
        <f t="shared" si="116"/>
        <v>0</v>
      </c>
      <c r="W62" s="81"/>
      <c r="X62" s="81"/>
      <c r="Y62" s="84">
        <v>0</v>
      </c>
      <c r="Z62" s="85"/>
      <c r="AA62" s="48">
        <v>0</v>
      </c>
      <c r="AB62" s="81"/>
      <c r="AC62" s="230">
        <v>3579.71</v>
      </c>
      <c r="AD62" s="231">
        <v>3579.71</v>
      </c>
      <c r="AE62" s="84">
        <v>0</v>
      </c>
      <c r="AF62" s="81"/>
      <c r="AG62" s="230">
        <v>1922.31</v>
      </c>
      <c r="AH62" s="231">
        <v>1922.31</v>
      </c>
      <c r="AI62" s="230">
        <v>4050</v>
      </c>
      <c r="AJ62" s="231">
        <v>4050.16</v>
      </c>
      <c r="AK62" s="230">
        <v>4685</v>
      </c>
      <c r="AL62" s="231">
        <v>4684.54</v>
      </c>
      <c r="AM62" s="230">
        <v>911</v>
      </c>
      <c r="AN62" s="231">
        <v>911.42</v>
      </c>
      <c r="AO62" s="84">
        <f t="shared" ref="AO62" si="194">D62-W62-Y62-AA62-AC62-AE62-AG62-AI62-AK62-AM62</f>
        <v>-1.9999999998617568E-2</v>
      </c>
      <c r="AP62" s="85"/>
      <c r="AQ62" s="84">
        <f t="shared" ref="AQ62" si="195">D62-W62-Y62-AA62-AC62-AE62-AG62-AI62-AK62-AM62-AO62</f>
        <v>0</v>
      </c>
      <c r="AR62" s="85"/>
      <c r="AS62" s="84">
        <f t="shared" ref="AS62" si="196">D62-W62-Y62-AA62-AC62-AE62-AG62-AI62-AK62-AM62-AO62-AQ62</f>
        <v>0</v>
      </c>
      <c r="AT62" s="81"/>
      <c r="AU62" s="214">
        <f t="shared" ref="AU62" si="197">D62-W62-Y62-AA62-AC62-AE62-AG62-AI62-AK62-AM62-AO62-AQ62-AS62</f>
        <v>0</v>
      </c>
    </row>
    <row r="63" spans="1:47" x14ac:dyDescent="0.35">
      <c r="A63" s="187" t="s">
        <v>563</v>
      </c>
      <c r="B63" s="180"/>
      <c r="C63" s="83">
        <v>22843</v>
      </c>
      <c r="D63" s="107">
        <v>22843</v>
      </c>
      <c r="E63" s="304">
        <v>22843</v>
      </c>
      <c r="F63" s="287"/>
      <c r="G63" s="288">
        <f t="shared" ref="G63" si="198">F63/E63</f>
        <v>0</v>
      </c>
      <c r="H63" s="289">
        <v>22843</v>
      </c>
      <c r="I63" s="290">
        <f t="shared" ref="I63" si="199">H63/E63</f>
        <v>1</v>
      </c>
      <c r="J63" s="287"/>
      <c r="K63" s="288">
        <f t="shared" ref="K63" si="200">J63/E63</f>
        <v>0</v>
      </c>
      <c r="L63" s="289"/>
      <c r="M63" s="290">
        <f t="shared" ref="M63" si="201">L63/E63</f>
        <v>0</v>
      </c>
      <c r="N63" s="287"/>
      <c r="O63" s="288">
        <f t="shared" ref="O63" si="202">N63/E63</f>
        <v>0</v>
      </c>
      <c r="P63" s="289"/>
      <c r="Q63" s="290">
        <f t="shared" ref="Q63" si="203">P63/E63</f>
        <v>0</v>
      </c>
      <c r="R63" s="287"/>
      <c r="S63" s="313">
        <f t="shared" ref="S63" si="204">R63/E63</f>
        <v>0</v>
      </c>
      <c r="T63" s="287"/>
      <c r="U63" s="313">
        <f t="shared" si="115"/>
        <v>0</v>
      </c>
      <c r="V63" s="323">
        <f t="shared" si="116"/>
        <v>1</v>
      </c>
      <c r="W63" s="81"/>
      <c r="X63" s="81"/>
      <c r="Y63" s="84">
        <v>0</v>
      </c>
      <c r="Z63" s="85"/>
      <c r="AA63" s="342">
        <v>5982</v>
      </c>
      <c r="AB63" s="195">
        <v>5981.51</v>
      </c>
      <c r="AC63" s="230">
        <v>5170.3999999999996</v>
      </c>
      <c r="AD63" s="231">
        <v>5170.3999999999996</v>
      </c>
      <c r="AE63" s="64">
        <v>10056.18</v>
      </c>
      <c r="AF63" s="195">
        <v>10056.18</v>
      </c>
      <c r="AG63" s="84"/>
      <c r="AH63" s="85"/>
      <c r="AI63" s="230">
        <v>1634</v>
      </c>
      <c r="AJ63" s="231">
        <v>1634</v>
      </c>
      <c r="AK63" s="84">
        <f t="shared" ref="AK63" si="205">D63-W63-Y63-AA63-AC63-AE63-AG63-AI63</f>
        <v>0.42000000000007276</v>
      </c>
      <c r="AL63" s="85"/>
      <c r="AM63" s="84">
        <f t="shared" ref="AM63" si="206">D63-W63-Y63-AA63-AC63-AE63-AG63-AI63-AK63</f>
        <v>0</v>
      </c>
      <c r="AN63" s="85"/>
      <c r="AO63" s="84">
        <f t="shared" ref="AO63" si="207">D63-W63-Y63-AA63-AC63-AE63-AG63-AI63-AK63-AM63</f>
        <v>0</v>
      </c>
      <c r="AP63" s="85"/>
      <c r="AQ63" s="84">
        <f t="shared" ref="AQ63" si="208">D63-W63-Y63-AA63-AC63-AE63-AG63-AI63-AK63-AM63-AO63</f>
        <v>0</v>
      </c>
      <c r="AR63" s="85"/>
      <c r="AS63" s="84">
        <f t="shared" ref="AS63" si="209">D63-W63-Y63-AA63-AC63-AE63-AG63-AI63-AK63-AM63-AO63-AQ63</f>
        <v>0</v>
      </c>
      <c r="AT63" s="81"/>
      <c r="AU63" s="214">
        <f t="shared" ref="AU63" si="210">D63-W63-Y63-AA63-AC63-AE63-AG63-AI63-AK63-AM63-AO63-AQ63-AS63</f>
        <v>0</v>
      </c>
    </row>
    <row r="64" spans="1:47" x14ac:dyDescent="0.35">
      <c r="A64" s="187" t="s">
        <v>562</v>
      </c>
      <c r="B64" s="180"/>
      <c r="C64" s="83">
        <v>7139</v>
      </c>
      <c r="D64" s="107">
        <v>7139</v>
      </c>
      <c r="E64" s="304">
        <v>7139</v>
      </c>
      <c r="F64" s="287"/>
      <c r="G64" s="288">
        <f t="shared" ref="G64:G136" si="211">F64/E64</f>
        <v>0</v>
      </c>
      <c r="H64" s="289">
        <v>7139</v>
      </c>
      <c r="I64" s="290">
        <f t="shared" ref="I64:I136" si="212">H64/E64</f>
        <v>1</v>
      </c>
      <c r="J64" s="287"/>
      <c r="K64" s="288">
        <f t="shared" ref="K64:K136" si="213">J64/E64</f>
        <v>0</v>
      </c>
      <c r="L64" s="289"/>
      <c r="M64" s="290">
        <f t="shared" ref="M64:M136" si="214">L64/E64</f>
        <v>0</v>
      </c>
      <c r="N64" s="287"/>
      <c r="O64" s="288">
        <f t="shared" ref="O64:O136" si="215">N64/E64</f>
        <v>0</v>
      </c>
      <c r="P64" s="289"/>
      <c r="Q64" s="290">
        <f t="shared" ref="Q64:Q136" si="216">P64/E64</f>
        <v>0</v>
      </c>
      <c r="R64" s="287"/>
      <c r="S64" s="313">
        <f t="shared" ref="S64:S136" si="217">R64/E64</f>
        <v>0</v>
      </c>
      <c r="T64" s="287"/>
      <c r="U64" s="313">
        <f t="shared" si="115"/>
        <v>0</v>
      </c>
      <c r="V64" s="323">
        <f t="shared" si="116"/>
        <v>1</v>
      </c>
      <c r="W64" s="81"/>
      <c r="X64" s="81"/>
      <c r="Y64" s="50">
        <v>0</v>
      </c>
      <c r="Z64" s="85"/>
      <c r="AA64" s="48">
        <v>0</v>
      </c>
      <c r="AB64" s="81"/>
      <c r="AC64" s="230">
        <f t="shared" si="176"/>
        <v>7139</v>
      </c>
      <c r="AD64" s="231">
        <v>7139.65</v>
      </c>
      <c r="AE64" s="84">
        <f t="shared" si="177"/>
        <v>0</v>
      </c>
      <c r="AF64" s="81"/>
      <c r="AG64" s="84">
        <f t="shared" si="178"/>
        <v>0</v>
      </c>
      <c r="AH64" s="85"/>
      <c r="AI64" s="84">
        <f t="shared" si="179"/>
        <v>0</v>
      </c>
      <c r="AJ64" s="85"/>
      <c r="AK64" s="84">
        <f t="shared" si="180"/>
        <v>0</v>
      </c>
      <c r="AL64" s="85"/>
      <c r="AM64" s="84">
        <f t="shared" si="181"/>
        <v>0</v>
      </c>
      <c r="AN64" s="85"/>
      <c r="AO64" s="84">
        <f t="shared" si="182"/>
        <v>0</v>
      </c>
      <c r="AP64" s="85"/>
      <c r="AQ64" s="84">
        <f t="shared" si="183"/>
        <v>0</v>
      </c>
      <c r="AR64" s="85"/>
      <c r="AS64" s="84">
        <f t="shared" si="184"/>
        <v>0</v>
      </c>
      <c r="AT64" s="81"/>
      <c r="AU64" s="214">
        <f t="shared" si="185"/>
        <v>0</v>
      </c>
    </row>
    <row r="65" spans="1:47" x14ac:dyDescent="0.35">
      <c r="A65" s="151" t="s">
        <v>430</v>
      </c>
      <c r="B65" s="180"/>
      <c r="C65" s="83">
        <f>2096.04+22767.26</f>
        <v>24863.3</v>
      </c>
      <c r="D65" s="105">
        <f>C65</f>
        <v>24863.3</v>
      </c>
      <c r="E65" s="304">
        <f>D65</f>
        <v>24863.3</v>
      </c>
      <c r="F65" s="287"/>
      <c r="G65" s="288">
        <f t="shared" si="211"/>
        <v>0</v>
      </c>
      <c r="H65" s="289"/>
      <c r="I65" s="290">
        <f t="shared" si="212"/>
        <v>0</v>
      </c>
      <c r="J65" s="287">
        <v>22767.26</v>
      </c>
      <c r="K65" s="288">
        <f t="shared" si="213"/>
        <v>0.91569743356674294</v>
      </c>
      <c r="L65" s="289"/>
      <c r="M65" s="290">
        <f t="shared" si="214"/>
        <v>0</v>
      </c>
      <c r="N65" s="287">
        <v>2096.04</v>
      </c>
      <c r="O65" s="288">
        <f t="shared" si="215"/>
        <v>8.4302566433257051E-2</v>
      </c>
      <c r="P65" s="289"/>
      <c r="Q65" s="290">
        <f t="shared" si="216"/>
        <v>0</v>
      </c>
      <c r="R65" s="287"/>
      <c r="S65" s="313">
        <f t="shared" si="217"/>
        <v>0</v>
      </c>
      <c r="T65" s="287"/>
      <c r="U65" s="313">
        <f t="shared" si="115"/>
        <v>0</v>
      </c>
      <c r="V65" s="323">
        <f t="shared" si="116"/>
        <v>1</v>
      </c>
      <c r="W65" s="81">
        <v>0</v>
      </c>
      <c r="X65" s="48"/>
      <c r="Y65" s="84">
        <v>0</v>
      </c>
      <c r="Z65" s="85"/>
      <c r="AA65" s="342">
        <f t="shared" si="175"/>
        <v>24863.3</v>
      </c>
      <c r="AB65" s="195">
        <v>24863</v>
      </c>
      <c r="AC65" s="84">
        <f t="shared" si="176"/>
        <v>0</v>
      </c>
      <c r="AD65" s="85"/>
      <c r="AE65" s="84">
        <f t="shared" si="177"/>
        <v>0</v>
      </c>
      <c r="AF65" s="81"/>
      <c r="AG65" s="84">
        <f t="shared" si="178"/>
        <v>0</v>
      </c>
      <c r="AH65" s="85"/>
      <c r="AI65" s="84">
        <f t="shared" si="179"/>
        <v>0</v>
      </c>
      <c r="AJ65" s="85"/>
      <c r="AK65" s="84">
        <f t="shared" si="180"/>
        <v>0</v>
      </c>
      <c r="AL65" s="85"/>
      <c r="AM65" s="84">
        <f t="shared" si="181"/>
        <v>0</v>
      </c>
      <c r="AN65" s="85"/>
      <c r="AO65" s="84">
        <f t="shared" si="182"/>
        <v>0</v>
      </c>
      <c r="AP65" s="85"/>
      <c r="AQ65" s="230">
        <v>314.11</v>
      </c>
      <c r="AR65" s="231">
        <v>314.11</v>
      </c>
      <c r="AS65" s="84"/>
      <c r="AT65" s="81"/>
      <c r="AU65" s="214">
        <v>0</v>
      </c>
    </row>
    <row r="66" spans="1:47" x14ac:dyDescent="0.35">
      <c r="A66" s="159" t="s">
        <v>558</v>
      </c>
      <c r="B66" s="180"/>
      <c r="C66" s="83">
        <f>'2020-21'!AS16-976.86</f>
        <v>22456.67</v>
      </c>
      <c r="D66" s="107">
        <f t="shared" ref="D66:D71" si="218">C66</f>
        <v>22456.67</v>
      </c>
      <c r="E66" s="304">
        <v>23434</v>
      </c>
      <c r="F66" s="287">
        <f>5274.01</f>
        <v>5274.01</v>
      </c>
      <c r="G66" s="288">
        <f t="shared" ref="G66:G71" si="219">F66/E66</f>
        <v>0.22505803533327645</v>
      </c>
      <c r="H66" s="289">
        <v>1870.13</v>
      </c>
      <c r="I66" s="290">
        <f t="shared" ref="I66:I71" si="220">H66/E66</f>
        <v>7.9804130750192034E-2</v>
      </c>
      <c r="J66" s="287">
        <v>3332.67</v>
      </c>
      <c r="K66" s="288">
        <f t="shared" ref="K66:K71" si="221">J66/E66</f>
        <v>0.14221515746351454</v>
      </c>
      <c r="L66" s="289">
        <v>6800.94</v>
      </c>
      <c r="M66" s="290">
        <f t="shared" ref="M66:M71" si="222">L66/E66</f>
        <v>0.29021677903900311</v>
      </c>
      <c r="N66" s="287">
        <v>1406.23</v>
      </c>
      <c r="O66" s="288">
        <f t="shared" ref="O66:O71" si="223">N66/E66</f>
        <v>6.0008107877443033E-2</v>
      </c>
      <c r="P66" s="289">
        <v>2475.19</v>
      </c>
      <c r="Q66" s="290">
        <f t="shared" ref="Q66:Q71" si="224">P66/E66</f>
        <v>0.10562387983272169</v>
      </c>
      <c r="R66" s="287">
        <f>976.86</f>
        <v>976.86</v>
      </c>
      <c r="S66" s="313">
        <f t="shared" ref="S66:S71" si="225">R66/E66</f>
        <v>4.1685585047367073E-2</v>
      </c>
      <c r="T66" s="287">
        <f>397.5+900</f>
        <v>1297.5</v>
      </c>
      <c r="U66" s="313">
        <f t="shared" si="115"/>
        <v>5.5368268328070326E-2</v>
      </c>
      <c r="V66" s="323">
        <f t="shared" si="116"/>
        <v>0.99997994367158816</v>
      </c>
      <c r="W66" s="81">
        <v>0</v>
      </c>
      <c r="X66" s="81"/>
      <c r="Y66" s="230">
        <v>4830</v>
      </c>
      <c r="Z66" s="231">
        <v>4829.8999999999996</v>
      </c>
      <c r="AA66" s="342">
        <v>5578</v>
      </c>
      <c r="AB66" s="195">
        <v>5578.39</v>
      </c>
      <c r="AC66" s="230">
        <v>2741.58</v>
      </c>
      <c r="AD66" s="231">
        <v>2742</v>
      </c>
      <c r="AE66" s="230">
        <v>8254.7199999999993</v>
      </c>
      <c r="AF66" s="195">
        <v>8254.7199999999993</v>
      </c>
      <c r="AG66" s="230">
        <f t="shared" ref="AG66:AG79" si="226">D66-W66-Y66-AA66-AC66-AE66</f>
        <v>1052.369999999999</v>
      </c>
      <c r="AH66" s="231">
        <f>-976.86+2028.94</f>
        <v>1052.08</v>
      </c>
      <c r="AI66" s="84">
        <f t="shared" ref="AI66:AI79" si="227">D66-W66-Y66-AA66-AC66-AE66-AG66</f>
        <v>0</v>
      </c>
      <c r="AJ66" s="85"/>
      <c r="AK66" s="84">
        <f t="shared" ref="AK66:AK79" si="228">D66-W66-Y66-AA66-AC66-AE66-AG66-AI66</f>
        <v>0</v>
      </c>
      <c r="AL66" s="85"/>
      <c r="AM66" s="84">
        <f t="shared" ref="AM66:AM79" si="229">D66-W66-Y66-AA66-AC66-AE66-AG66-AI66-AK66</f>
        <v>0</v>
      </c>
      <c r="AN66" s="85"/>
      <c r="AO66" s="84">
        <f t="shared" ref="AO66:AO79" si="230">D66-W66-Y66-AA66-AC66-AE66-AG66-AI66-AK66-AM66</f>
        <v>0</v>
      </c>
      <c r="AP66" s="85"/>
      <c r="AQ66" s="84">
        <f t="shared" ref="AQ66:AQ79" si="231">D66-W66-Y66-AA66-AC66-AE66-AG66-AI66-AK66-AM66-AO66</f>
        <v>0</v>
      </c>
      <c r="AR66" s="85"/>
      <c r="AS66" s="84">
        <f t="shared" ref="AS66:AS79" si="232">D66-W66-Y66-AA66-AC66-AE66-AG66-AI66-AK66-AM66-AO66-AQ66</f>
        <v>0</v>
      </c>
      <c r="AT66" s="81"/>
      <c r="AU66" s="214">
        <f t="shared" ref="AU66:AU79" si="233">D66-W66-Y66-AA66-AC66-AE66-AG66-AI66-AK66-AM66-AO66-AQ66-AS66</f>
        <v>0</v>
      </c>
    </row>
    <row r="67" spans="1:47" x14ac:dyDescent="0.35">
      <c r="A67" s="187" t="s">
        <v>537</v>
      </c>
      <c r="B67" s="180"/>
      <c r="C67" s="83">
        <f>'2020-21'!AS17</f>
        <v>22357</v>
      </c>
      <c r="D67" s="107">
        <f t="shared" si="218"/>
        <v>22357</v>
      </c>
      <c r="E67" s="304">
        <v>22356.5</v>
      </c>
      <c r="F67" s="287"/>
      <c r="G67" s="288">
        <f t="shared" si="219"/>
        <v>0</v>
      </c>
      <c r="H67" s="289">
        <f>18576.5</f>
        <v>18576.5</v>
      </c>
      <c r="I67" s="290">
        <f t="shared" si="220"/>
        <v>0.83092165589425893</v>
      </c>
      <c r="J67" s="287"/>
      <c r="K67" s="288">
        <f t="shared" si="221"/>
        <v>0</v>
      </c>
      <c r="L67" s="289"/>
      <c r="M67" s="290">
        <f t="shared" si="222"/>
        <v>0</v>
      </c>
      <c r="N67" s="287"/>
      <c r="O67" s="288">
        <f t="shared" si="223"/>
        <v>0</v>
      </c>
      <c r="P67" s="289"/>
      <c r="Q67" s="290">
        <f t="shared" si="224"/>
        <v>0</v>
      </c>
      <c r="R67" s="287">
        <f>1440+1440</f>
        <v>2880</v>
      </c>
      <c r="S67" s="313">
        <f t="shared" si="225"/>
        <v>0.12882159550913605</v>
      </c>
      <c r="T67" s="287">
        <v>900</v>
      </c>
      <c r="U67" s="313">
        <f t="shared" si="115"/>
        <v>4.0256748596605017E-2</v>
      </c>
      <c r="V67" s="323">
        <f t="shared" si="116"/>
        <v>1</v>
      </c>
      <c r="W67" s="81">
        <v>0</v>
      </c>
      <c r="X67" s="81"/>
      <c r="Y67" s="84">
        <v>0</v>
      </c>
      <c r="Z67" s="85"/>
      <c r="AA67" s="48">
        <v>0</v>
      </c>
      <c r="AB67" s="81"/>
      <c r="AC67" s="84">
        <v>0</v>
      </c>
      <c r="AD67" s="85"/>
      <c r="AE67" s="84">
        <v>0</v>
      </c>
      <c r="AF67" s="81"/>
      <c r="AG67" s="230">
        <f t="shared" si="226"/>
        <v>22357</v>
      </c>
      <c r="AH67" s="231">
        <v>22357</v>
      </c>
      <c r="AI67" s="84">
        <f t="shared" si="227"/>
        <v>0</v>
      </c>
      <c r="AJ67" s="85"/>
      <c r="AK67" s="84">
        <f t="shared" si="228"/>
        <v>0</v>
      </c>
      <c r="AL67" s="85"/>
      <c r="AM67" s="84">
        <f t="shared" si="229"/>
        <v>0</v>
      </c>
      <c r="AN67" s="85"/>
      <c r="AO67" s="84">
        <f t="shared" si="230"/>
        <v>0</v>
      </c>
      <c r="AP67" s="85"/>
      <c r="AQ67" s="84">
        <f t="shared" si="231"/>
        <v>0</v>
      </c>
      <c r="AR67" s="85"/>
      <c r="AS67" s="84">
        <f t="shared" si="232"/>
        <v>0</v>
      </c>
      <c r="AT67" s="81"/>
      <c r="AU67" s="214">
        <f t="shared" si="233"/>
        <v>0</v>
      </c>
    </row>
    <row r="68" spans="1:47" ht="15" customHeight="1" x14ac:dyDescent="0.35">
      <c r="A68" s="159" t="s">
        <v>536</v>
      </c>
      <c r="B68" s="180"/>
      <c r="C68" s="83">
        <v>8503</v>
      </c>
      <c r="D68" s="107">
        <f t="shared" si="218"/>
        <v>8503</v>
      </c>
      <c r="E68" s="304">
        <v>8503</v>
      </c>
      <c r="F68" s="287"/>
      <c r="G68" s="288">
        <f t="shared" si="219"/>
        <v>0</v>
      </c>
      <c r="H68" s="289">
        <f>4263.46+857.31+744</f>
        <v>5864.77</v>
      </c>
      <c r="I68" s="290">
        <f t="shared" si="220"/>
        <v>0.6897295072327414</v>
      </c>
      <c r="J68" s="287">
        <v>2638.69</v>
      </c>
      <c r="K68" s="288">
        <f t="shared" si="221"/>
        <v>0.31032459132071033</v>
      </c>
      <c r="L68" s="289"/>
      <c r="M68" s="290">
        <f t="shared" si="222"/>
        <v>0</v>
      </c>
      <c r="N68" s="287"/>
      <c r="O68" s="288">
        <f t="shared" si="223"/>
        <v>0</v>
      </c>
      <c r="P68" s="289"/>
      <c r="Q68" s="290">
        <f t="shared" si="224"/>
        <v>0</v>
      </c>
      <c r="R68" s="287">
        <v>12602.14</v>
      </c>
      <c r="S68" s="313">
        <f t="shared" si="225"/>
        <v>1.4820816182523815</v>
      </c>
      <c r="T68" s="287"/>
      <c r="U68" s="313">
        <f t="shared" si="115"/>
        <v>0</v>
      </c>
      <c r="V68" s="323">
        <f t="shared" si="116"/>
        <v>2.4821357168058333</v>
      </c>
      <c r="W68" s="81">
        <v>0</v>
      </c>
      <c r="X68" s="81"/>
      <c r="Y68" s="230">
        <v>1896</v>
      </c>
      <c r="Z68" s="85">
        <v>1895.84</v>
      </c>
      <c r="AA68" s="48">
        <v>0</v>
      </c>
      <c r="AB68" s="81"/>
      <c r="AC68" s="84">
        <v>0</v>
      </c>
      <c r="AD68" s="85"/>
      <c r="AE68" s="230">
        <v>5956.34</v>
      </c>
      <c r="AF68" s="195">
        <v>5956.35</v>
      </c>
      <c r="AG68" s="50">
        <v>0</v>
      </c>
      <c r="AH68" s="351">
        <f>-12098.68+12749.96</f>
        <v>651.27999999999884</v>
      </c>
      <c r="AI68" s="343">
        <f t="shared" si="227"/>
        <v>650.65999999999985</v>
      </c>
      <c r="AJ68" s="85"/>
      <c r="AK68" s="84">
        <f t="shared" si="228"/>
        <v>0</v>
      </c>
      <c r="AL68" s="85"/>
      <c r="AM68" s="84">
        <f t="shared" si="229"/>
        <v>0</v>
      </c>
      <c r="AN68" s="85"/>
      <c r="AO68" s="230">
        <f t="shared" si="230"/>
        <v>0</v>
      </c>
      <c r="AP68" s="231"/>
      <c r="AQ68" s="84">
        <f t="shared" si="231"/>
        <v>0</v>
      </c>
      <c r="AR68" s="85"/>
      <c r="AS68" s="84">
        <f t="shared" si="232"/>
        <v>0</v>
      </c>
      <c r="AT68" s="81"/>
      <c r="AU68" s="214">
        <f t="shared" si="233"/>
        <v>0</v>
      </c>
    </row>
    <row r="69" spans="1:47" x14ac:dyDescent="0.35">
      <c r="A69" s="159" t="s">
        <v>535</v>
      </c>
      <c r="B69" s="180"/>
      <c r="C69" s="83">
        <f>'2020-21'!AS19+8371.22+1819.82</f>
        <v>71691.040000000008</v>
      </c>
      <c r="D69" s="107">
        <f>C69</f>
        <v>71691.040000000008</v>
      </c>
      <c r="E69" s="304">
        <v>61500.9</v>
      </c>
      <c r="F69" s="287">
        <f>900+9152.75</f>
        <v>10052.75</v>
      </c>
      <c r="G69" s="288">
        <f t="shared" si="219"/>
        <v>0.16345695754045875</v>
      </c>
      <c r="H69" s="289">
        <v>10436.290000000001</v>
      </c>
      <c r="I69" s="290">
        <f t="shared" si="220"/>
        <v>0.1696932890412986</v>
      </c>
      <c r="J69" s="287">
        <v>8633.3799999999992</v>
      </c>
      <c r="K69" s="288">
        <f t="shared" si="221"/>
        <v>0.14037810828784617</v>
      </c>
      <c r="L69" s="289">
        <v>11140.11</v>
      </c>
      <c r="M69" s="290">
        <f t="shared" si="222"/>
        <v>0.18113734920952376</v>
      </c>
      <c r="N69" s="287">
        <v>3363.76</v>
      </c>
      <c r="O69" s="288">
        <f t="shared" si="223"/>
        <v>5.4694484145760468E-2</v>
      </c>
      <c r="P69" s="289">
        <v>14190.61</v>
      </c>
      <c r="Q69" s="290">
        <f t="shared" si="224"/>
        <v>0.23073824935895249</v>
      </c>
      <c r="R69" s="287"/>
      <c r="S69" s="313">
        <f t="shared" si="225"/>
        <v>0</v>
      </c>
      <c r="T69" s="287">
        <v>3685</v>
      </c>
      <c r="U69" s="313">
        <f t="shared" si="115"/>
        <v>5.9917822340811271E-2</v>
      </c>
      <c r="V69" s="323">
        <f t="shared" si="116"/>
        <v>1.0000162599246514</v>
      </c>
      <c r="W69" s="81">
        <v>0</v>
      </c>
      <c r="X69" s="81"/>
      <c r="Y69" s="230">
        <v>10765</v>
      </c>
      <c r="Z69" s="231">
        <v>10765.17</v>
      </c>
      <c r="AA69" s="48"/>
      <c r="AB69" s="81"/>
      <c r="AC69" s="230">
        <v>16004.75</v>
      </c>
      <c r="AD69" s="231">
        <v>16004.75</v>
      </c>
      <c r="AE69" s="230">
        <v>12197.14</v>
      </c>
      <c r="AF69" s="195">
        <v>12197.14</v>
      </c>
      <c r="AG69" s="230">
        <v>16912.36</v>
      </c>
      <c r="AH69" s="231">
        <v>16912.36</v>
      </c>
      <c r="AI69" s="230">
        <v>12946</v>
      </c>
      <c r="AJ69" s="231">
        <f>6283.15+1472.69+5189.92</f>
        <v>12945.76</v>
      </c>
      <c r="AK69" s="84">
        <v>0</v>
      </c>
      <c r="AL69" s="85"/>
      <c r="AM69" s="84">
        <v>0</v>
      </c>
      <c r="AN69" s="85"/>
      <c r="AO69" s="84">
        <v>0</v>
      </c>
      <c r="AP69" s="85"/>
      <c r="AQ69" s="230">
        <f t="shared" si="231"/>
        <v>2865.7900000000081</v>
      </c>
      <c r="AR69" s="231">
        <v>2866</v>
      </c>
      <c r="AS69" s="84">
        <f t="shared" si="232"/>
        <v>0</v>
      </c>
      <c r="AT69" s="81"/>
      <c r="AU69" s="214">
        <f t="shared" si="233"/>
        <v>0</v>
      </c>
    </row>
    <row r="70" spans="1:47" x14ac:dyDescent="0.35">
      <c r="A70" s="151" t="s">
        <v>556</v>
      </c>
      <c r="B70" s="180"/>
      <c r="C70" s="83">
        <f>'2020-21'!AS29+9455.68-9276</f>
        <v>9455.68</v>
      </c>
      <c r="D70" s="107">
        <f t="shared" si="218"/>
        <v>9455.68</v>
      </c>
      <c r="E70" s="305">
        <v>9456</v>
      </c>
      <c r="F70" s="287"/>
      <c r="G70" s="288">
        <f t="shared" si="219"/>
        <v>0</v>
      </c>
      <c r="H70" s="289"/>
      <c r="I70" s="290">
        <f t="shared" si="220"/>
        <v>0</v>
      </c>
      <c r="J70" s="287"/>
      <c r="K70" s="288">
        <f t="shared" si="221"/>
        <v>0</v>
      </c>
      <c r="L70" s="289">
        <v>9176</v>
      </c>
      <c r="M70" s="290">
        <f t="shared" si="222"/>
        <v>0.97038917089678511</v>
      </c>
      <c r="N70" s="287"/>
      <c r="O70" s="288">
        <f t="shared" si="223"/>
        <v>0</v>
      </c>
      <c r="P70" s="289"/>
      <c r="Q70" s="290">
        <f t="shared" si="224"/>
        <v>0</v>
      </c>
      <c r="R70" s="287"/>
      <c r="S70" s="313">
        <f t="shared" si="225"/>
        <v>0</v>
      </c>
      <c r="T70" s="287"/>
      <c r="U70" s="313">
        <f t="shared" si="115"/>
        <v>0</v>
      </c>
      <c r="V70" s="323">
        <f t="shared" si="116"/>
        <v>0.97038917089678511</v>
      </c>
      <c r="W70" s="81"/>
      <c r="X70" s="81"/>
      <c r="Y70" s="84"/>
      <c r="Z70" s="85"/>
      <c r="AA70" s="48">
        <v>0</v>
      </c>
      <c r="AB70" s="81"/>
      <c r="AC70" s="84">
        <v>0</v>
      </c>
      <c r="AD70" s="85"/>
      <c r="AE70" s="84">
        <v>0</v>
      </c>
      <c r="AF70" s="81"/>
      <c r="AG70" s="230">
        <v>9456</v>
      </c>
      <c r="AH70" s="231">
        <v>9455.68</v>
      </c>
      <c r="AI70" s="84">
        <f t="shared" si="227"/>
        <v>-0.31999999999970896</v>
      </c>
      <c r="AJ70" s="85"/>
      <c r="AK70" s="84">
        <f t="shared" si="228"/>
        <v>0</v>
      </c>
      <c r="AL70" s="85"/>
      <c r="AM70" s="84">
        <f t="shared" si="229"/>
        <v>0</v>
      </c>
      <c r="AN70" s="85"/>
      <c r="AO70" s="84">
        <f t="shared" si="230"/>
        <v>0</v>
      </c>
      <c r="AP70" s="85"/>
      <c r="AQ70" s="84">
        <f t="shared" si="231"/>
        <v>0</v>
      </c>
      <c r="AR70" s="85"/>
      <c r="AS70" s="84">
        <f t="shared" si="232"/>
        <v>0</v>
      </c>
      <c r="AT70" s="81"/>
      <c r="AU70" s="214">
        <f t="shared" si="233"/>
        <v>0</v>
      </c>
    </row>
    <row r="71" spans="1:47" x14ac:dyDescent="0.35">
      <c r="A71" s="149" t="s">
        <v>573</v>
      </c>
      <c r="B71" s="180"/>
      <c r="C71" s="83">
        <v>124584.16</v>
      </c>
      <c r="D71" s="107">
        <f t="shared" si="218"/>
        <v>124584.16</v>
      </c>
      <c r="E71" s="304">
        <v>125299</v>
      </c>
      <c r="F71" s="287">
        <f>32632.97+672</f>
        <v>33304.97</v>
      </c>
      <c r="G71" s="288">
        <f t="shared" si="219"/>
        <v>0.26580395693501147</v>
      </c>
      <c r="H71" s="289">
        <v>13276.2</v>
      </c>
      <c r="I71" s="290">
        <f t="shared" si="220"/>
        <v>0.10595615288230553</v>
      </c>
      <c r="J71" s="287">
        <v>23415.25</v>
      </c>
      <c r="K71" s="288">
        <f t="shared" si="221"/>
        <v>0.18687499501193147</v>
      </c>
      <c r="L71" s="289">
        <v>25040.68</v>
      </c>
      <c r="M71" s="290">
        <f t="shared" si="222"/>
        <v>0.19984740500722273</v>
      </c>
      <c r="N71" s="287">
        <v>7455.07</v>
      </c>
      <c r="O71" s="288">
        <f t="shared" si="223"/>
        <v>5.9498240209419066E-2</v>
      </c>
      <c r="P71" s="289">
        <f>20999.5+1812.52</f>
        <v>22812.02</v>
      </c>
      <c r="Q71" s="290">
        <f t="shared" si="224"/>
        <v>0.18206067087526637</v>
      </c>
      <c r="R71" s="287"/>
      <c r="S71" s="313">
        <f t="shared" si="225"/>
        <v>0</v>
      </c>
      <c r="T71" s="287"/>
      <c r="U71" s="313">
        <f t="shared" si="115"/>
        <v>0</v>
      </c>
      <c r="V71" s="323">
        <f t="shared" si="116"/>
        <v>1.0000414209211566</v>
      </c>
      <c r="W71" s="81">
        <v>0</v>
      </c>
      <c r="X71" s="81"/>
      <c r="Y71" s="84">
        <v>0</v>
      </c>
      <c r="Z71" s="85"/>
      <c r="AA71" s="342">
        <v>6107</v>
      </c>
      <c r="AB71" s="195">
        <v>6106.55</v>
      </c>
      <c r="AC71" s="84">
        <v>0</v>
      </c>
      <c r="AD71" s="85"/>
      <c r="AE71" s="230">
        <v>46840</v>
      </c>
      <c r="AF71" s="195">
        <v>46840.37</v>
      </c>
      <c r="AG71" s="230">
        <v>15425.31</v>
      </c>
      <c r="AH71" s="231">
        <v>15425.31</v>
      </c>
      <c r="AI71" s="230">
        <v>36139</v>
      </c>
      <c r="AJ71" s="231">
        <v>36139.120000000003</v>
      </c>
      <c r="AK71" s="230">
        <v>17233.86</v>
      </c>
      <c r="AL71" s="231">
        <v>17233.86</v>
      </c>
      <c r="AM71" s="230">
        <v>2142</v>
      </c>
      <c r="AN71" s="231">
        <v>2141.52</v>
      </c>
      <c r="AO71" s="230">
        <f t="shared" si="230"/>
        <v>696.99000000000524</v>
      </c>
      <c r="AP71" s="231">
        <v>697</v>
      </c>
      <c r="AQ71" s="84">
        <f t="shared" si="231"/>
        <v>0</v>
      </c>
      <c r="AR71" s="85"/>
      <c r="AS71" s="84">
        <f t="shared" si="232"/>
        <v>0</v>
      </c>
      <c r="AT71" s="81"/>
      <c r="AU71" s="214">
        <f t="shared" si="233"/>
        <v>0</v>
      </c>
    </row>
    <row r="72" spans="1:47" x14ac:dyDescent="0.35">
      <c r="A72" s="149" t="s">
        <v>571</v>
      </c>
      <c r="B72" s="180"/>
      <c r="C72" s="83">
        <v>149437</v>
      </c>
      <c r="D72" s="142">
        <f t="shared" ref="D72:D80" si="234">C72</f>
        <v>149437</v>
      </c>
      <c r="E72" s="304"/>
      <c r="F72" s="287"/>
      <c r="G72" s="288" t="e">
        <f t="shared" ref="G72:G80" si="235">F72/E72</f>
        <v>#DIV/0!</v>
      </c>
      <c r="H72" s="289"/>
      <c r="I72" s="290" t="e">
        <f t="shared" ref="I72:I80" si="236">H72/E72</f>
        <v>#DIV/0!</v>
      </c>
      <c r="J72" s="287"/>
      <c r="K72" s="288" t="e">
        <f t="shared" ref="K72:K80" si="237">J72/E72</f>
        <v>#DIV/0!</v>
      </c>
      <c r="L72" s="289"/>
      <c r="M72" s="290" t="e">
        <f t="shared" ref="M72:M80" si="238">L72/E72</f>
        <v>#DIV/0!</v>
      </c>
      <c r="N72" s="287"/>
      <c r="O72" s="288" t="e">
        <f t="shared" ref="O72:O80" si="239">N72/E72</f>
        <v>#DIV/0!</v>
      </c>
      <c r="P72" s="289"/>
      <c r="Q72" s="290" t="e">
        <f t="shared" ref="Q72:Q80" si="240">P72/E72</f>
        <v>#DIV/0!</v>
      </c>
      <c r="R72" s="287"/>
      <c r="S72" s="313" t="e">
        <f t="shared" ref="S72:S80" si="241">R72/E72</f>
        <v>#DIV/0!</v>
      </c>
      <c r="T72" s="287"/>
      <c r="U72" s="313" t="e">
        <f t="shared" si="115"/>
        <v>#DIV/0!</v>
      </c>
      <c r="V72" s="323" t="e">
        <f t="shared" si="116"/>
        <v>#DIV/0!</v>
      </c>
      <c r="W72" s="81">
        <v>0</v>
      </c>
      <c r="X72" s="81"/>
      <c r="Y72" s="84">
        <v>0</v>
      </c>
      <c r="Z72" s="85"/>
      <c r="AA72" s="84">
        <v>0</v>
      </c>
      <c r="AB72" s="81"/>
      <c r="AC72" s="84">
        <v>0</v>
      </c>
      <c r="AD72" s="85"/>
      <c r="AE72" s="84">
        <v>0</v>
      </c>
      <c r="AF72" s="81"/>
      <c r="AG72" s="84">
        <v>0</v>
      </c>
      <c r="AH72" s="85"/>
      <c r="AI72" s="84">
        <v>0</v>
      </c>
      <c r="AJ72" s="85"/>
      <c r="AK72" s="84">
        <v>0</v>
      </c>
      <c r="AL72" s="85"/>
      <c r="AM72" s="84">
        <v>0</v>
      </c>
      <c r="AN72" s="85"/>
      <c r="AO72" s="84">
        <v>0</v>
      </c>
      <c r="AP72" s="85"/>
      <c r="AQ72" s="84">
        <v>0</v>
      </c>
      <c r="AR72" s="85"/>
      <c r="AS72" s="84">
        <v>0</v>
      </c>
      <c r="AT72" s="81"/>
      <c r="AU72" s="214">
        <f t="shared" si="233"/>
        <v>149437</v>
      </c>
    </row>
    <row r="73" spans="1:47" x14ac:dyDescent="0.35">
      <c r="A73" s="149" t="s">
        <v>572</v>
      </c>
      <c r="B73" s="180"/>
      <c r="C73" s="83">
        <f>125081+10460.23-583.33-450</f>
        <v>134507.90000000002</v>
      </c>
      <c r="D73" s="107">
        <f t="shared" si="234"/>
        <v>134507.90000000002</v>
      </c>
      <c r="E73" s="304">
        <f>+D73</f>
        <v>134507.90000000002</v>
      </c>
      <c r="F73" s="287">
        <f>900+28844</f>
        <v>29744</v>
      </c>
      <c r="G73" s="288">
        <f t="shared" si="235"/>
        <v>0.22113199299074623</v>
      </c>
      <c r="H73" s="289">
        <v>34045</v>
      </c>
      <c r="I73" s="290">
        <f t="shared" si="236"/>
        <v>0.25310781002454125</v>
      </c>
      <c r="J73" s="287">
        <v>25730</v>
      </c>
      <c r="K73" s="288">
        <f t="shared" si="237"/>
        <v>0.19128987962788799</v>
      </c>
      <c r="L73" s="289">
        <v>28569</v>
      </c>
      <c r="M73" s="290">
        <f t="shared" si="238"/>
        <v>0.21239644660276455</v>
      </c>
      <c r="N73" s="287">
        <v>5504</v>
      </c>
      <c r="O73" s="288">
        <f t="shared" si="239"/>
        <v>4.0919529633575417E-2</v>
      </c>
      <c r="P73" s="289"/>
      <c r="Q73" s="290">
        <f t="shared" si="240"/>
        <v>0</v>
      </c>
      <c r="R73" s="287">
        <v>1489</v>
      </c>
      <c r="S73" s="313">
        <f t="shared" si="241"/>
        <v>1.1069981763152943E-2</v>
      </c>
      <c r="T73" s="287"/>
      <c r="U73" s="313">
        <f t="shared" si="115"/>
        <v>0</v>
      </c>
      <c r="V73" s="323">
        <f t="shared" si="116"/>
        <v>0.92991564064266852</v>
      </c>
      <c r="W73" s="81">
        <v>0</v>
      </c>
      <c r="X73" s="81"/>
      <c r="Y73" s="84">
        <v>0</v>
      </c>
      <c r="Z73" s="85"/>
      <c r="AA73" s="84">
        <v>0</v>
      </c>
      <c r="AB73" s="81"/>
      <c r="AC73" s="343">
        <v>20959.009999999998</v>
      </c>
      <c r="AD73" s="231">
        <v>20959.009999999998</v>
      </c>
      <c r="AE73" s="84">
        <v>0</v>
      </c>
      <c r="AF73" s="81"/>
      <c r="AG73" s="230">
        <v>56324.17</v>
      </c>
      <c r="AH73" s="231">
        <v>56324</v>
      </c>
      <c r="AI73" s="84">
        <v>0</v>
      </c>
      <c r="AJ73" s="85"/>
      <c r="AK73" s="230">
        <v>37224</v>
      </c>
      <c r="AL73" s="231">
        <v>37224.01</v>
      </c>
      <c r="AM73" s="230">
        <v>19593</v>
      </c>
      <c r="AN73" s="231">
        <f>9716.38+9876.9</f>
        <v>19593.28</v>
      </c>
      <c r="AO73" s="230">
        <f t="shared" si="230"/>
        <v>407.72000000003027</v>
      </c>
      <c r="AP73" s="231">
        <v>408</v>
      </c>
      <c r="AQ73" s="84">
        <f t="shared" si="231"/>
        <v>0</v>
      </c>
      <c r="AR73" s="85"/>
      <c r="AS73" s="84">
        <f t="shared" si="232"/>
        <v>0</v>
      </c>
      <c r="AT73" s="81"/>
      <c r="AU73" s="214">
        <f t="shared" si="233"/>
        <v>0</v>
      </c>
    </row>
    <row r="74" spans="1:47" x14ac:dyDescent="0.35">
      <c r="A74" s="211" t="s">
        <v>407</v>
      </c>
      <c r="B74" s="180"/>
      <c r="C74" s="83">
        <v>117072</v>
      </c>
      <c r="D74" s="178">
        <f t="shared" ref="D74:D79" si="242">C74</f>
        <v>117072</v>
      </c>
      <c r="E74" s="304"/>
      <c r="F74" s="287"/>
      <c r="G74" s="288" t="e">
        <f t="shared" ref="G74:G79" si="243">F74/E74</f>
        <v>#DIV/0!</v>
      </c>
      <c r="H74" s="289"/>
      <c r="I74" s="290" t="e">
        <f t="shared" ref="I74:I79" si="244">H74/E74</f>
        <v>#DIV/0!</v>
      </c>
      <c r="J74" s="287"/>
      <c r="K74" s="288" t="e">
        <f t="shared" ref="K74:K79" si="245">J74/E74</f>
        <v>#DIV/0!</v>
      </c>
      <c r="L74" s="289"/>
      <c r="M74" s="290" t="e">
        <f t="shared" ref="M74:M79" si="246">L74/E74</f>
        <v>#DIV/0!</v>
      </c>
      <c r="N74" s="287"/>
      <c r="O74" s="288" t="e">
        <f t="shared" ref="O74:O79" si="247">N74/E74</f>
        <v>#DIV/0!</v>
      </c>
      <c r="P74" s="289"/>
      <c r="Q74" s="290" t="e">
        <f t="shared" ref="Q74:Q79" si="248">P74/E74</f>
        <v>#DIV/0!</v>
      </c>
      <c r="R74" s="287"/>
      <c r="S74" s="313" t="e">
        <f t="shared" ref="S74:S79" si="249">R74/E74</f>
        <v>#DIV/0!</v>
      </c>
      <c r="T74" s="287"/>
      <c r="U74" s="313" t="e">
        <f t="shared" si="115"/>
        <v>#DIV/0!</v>
      </c>
      <c r="V74" s="323" t="e">
        <f t="shared" si="116"/>
        <v>#DIV/0!</v>
      </c>
      <c r="W74" s="81">
        <v>0</v>
      </c>
      <c r="X74" s="81"/>
      <c r="Y74" s="84">
        <v>0</v>
      </c>
      <c r="Z74" s="85"/>
      <c r="AA74" s="84">
        <v>0</v>
      </c>
      <c r="AB74" s="81"/>
      <c r="AC74" s="84">
        <v>0</v>
      </c>
      <c r="AD74" s="85"/>
      <c r="AE74" s="84">
        <v>0</v>
      </c>
      <c r="AF74" s="81"/>
      <c r="AG74" s="84">
        <v>0</v>
      </c>
      <c r="AH74" s="85"/>
      <c r="AI74" s="84">
        <v>0</v>
      </c>
      <c r="AJ74" s="85"/>
      <c r="AK74" s="84">
        <v>0</v>
      </c>
      <c r="AL74" s="85"/>
      <c r="AM74" s="84">
        <v>0</v>
      </c>
      <c r="AN74" s="85"/>
      <c r="AO74" s="84">
        <v>0</v>
      </c>
      <c r="AP74" s="85"/>
      <c r="AQ74" s="84">
        <v>0</v>
      </c>
      <c r="AR74" s="85"/>
      <c r="AS74" s="84">
        <v>0</v>
      </c>
      <c r="AT74" s="81"/>
      <c r="AU74" s="214">
        <f t="shared" si="233"/>
        <v>117072</v>
      </c>
    </row>
    <row r="75" spans="1:47" x14ac:dyDescent="0.35">
      <c r="A75" s="187" t="s">
        <v>574</v>
      </c>
      <c r="B75" s="180"/>
      <c r="C75" s="83">
        <v>19250</v>
      </c>
      <c r="D75" s="107">
        <f t="shared" si="242"/>
        <v>19250</v>
      </c>
      <c r="E75" s="304">
        <v>19250</v>
      </c>
      <c r="F75" s="287"/>
      <c r="G75" s="288">
        <f t="shared" si="243"/>
        <v>0</v>
      </c>
      <c r="H75" s="289">
        <v>19250</v>
      </c>
      <c r="I75" s="290">
        <f t="shared" si="244"/>
        <v>1</v>
      </c>
      <c r="J75" s="287"/>
      <c r="K75" s="288">
        <f t="shared" si="245"/>
        <v>0</v>
      </c>
      <c r="L75" s="289"/>
      <c r="M75" s="290">
        <f t="shared" si="246"/>
        <v>0</v>
      </c>
      <c r="N75" s="287"/>
      <c r="O75" s="288">
        <f t="shared" si="247"/>
        <v>0</v>
      </c>
      <c r="P75" s="289"/>
      <c r="Q75" s="290">
        <f t="shared" si="248"/>
        <v>0</v>
      </c>
      <c r="R75" s="287"/>
      <c r="S75" s="313">
        <f t="shared" si="249"/>
        <v>0</v>
      </c>
      <c r="T75" s="287"/>
      <c r="U75" s="313">
        <f t="shared" si="115"/>
        <v>0</v>
      </c>
      <c r="V75" s="323">
        <f t="shared" si="116"/>
        <v>1</v>
      </c>
      <c r="W75" s="81">
        <v>0</v>
      </c>
      <c r="X75" s="81"/>
      <c r="Y75" s="84">
        <v>0</v>
      </c>
      <c r="Z75" s="85"/>
      <c r="AA75" s="84">
        <v>0</v>
      </c>
      <c r="AB75" s="81"/>
      <c r="AC75" s="230">
        <f t="shared" ref="AC75:AC79" si="250">D75-W75-Y75-AA75</f>
        <v>19250</v>
      </c>
      <c r="AD75" s="231">
        <v>19250</v>
      </c>
      <c r="AE75" s="84">
        <f t="shared" ref="AE75:AE79" si="251">D75-W75-Y75-AA75-AC75</f>
        <v>0</v>
      </c>
      <c r="AF75" s="81"/>
      <c r="AG75" s="84">
        <f t="shared" si="226"/>
        <v>0</v>
      </c>
      <c r="AH75" s="85"/>
      <c r="AI75" s="84">
        <f t="shared" si="227"/>
        <v>0</v>
      </c>
      <c r="AJ75" s="85"/>
      <c r="AK75" s="84">
        <f t="shared" si="228"/>
        <v>0</v>
      </c>
      <c r="AL75" s="85"/>
      <c r="AM75" s="84">
        <f t="shared" si="229"/>
        <v>0</v>
      </c>
      <c r="AN75" s="85"/>
      <c r="AO75" s="84">
        <f t="shared" si="230"/>
        <v>0</v>
      </c>
      <c r="AP75" s="85"/>
      <c r="AQ75" s="84">
        <f t="shared" si="231"/>
        <v>0</v>
      </c>
      <c r="AR75" s="85"/>
      <c r="AS75" s="84">
        <f t="shared" si="232"/>
        <v>0</v>
      </c>
      <c r="AT75" s="81"/>
      <c r="AU75" s="214">
        <f t="shared" si="233"/>
        <v>0</v>
      </c>
    </row>
    <row r="76" spans="1:47" x14ac:dyDescent="0.35">
      <c r="A76" s="159" t="s">
        <v>575</v>
      </c>
      <c r="B76" s="180"/>
      <c r="C76" s="83">
        <f>40438+30370+10568+1200+2132.33</f>
        <v>84708.33</v>
      </c>
      <c r="D76" s="107">
        <f>C76</f>
        <v>84708.33</v>
      </c>
      <c r="E76" s="304">
        <f>D76</f>
        <v>84708.33</v>
      </c>
      <c r="F76" s="287"/>
      <c r="G76" s="288">
        <f t="shared" si="243"/>
        <v>0</v>
      </c>
      <c r="H76" s="289"/>
      <c r="I76" s="290">
        <f t="shared" si="244"/>
        <v>0</v>
      </c>
      <c r="J76" s="287"/>
      <c r="K76" s="288">
        <f t="shared" si="245"/>
        <v>0</v>
      </c>
      <c r="L76" s="289"/>
      <c r="M76" s="290">
        <f t="shared" si="246"/>
        <v>0</v>
      </c>
      <c r="N76" s="287"/>
      <c r="O76" s="288">
        <f t="shared" si="247"/>
        <v>0</v>
      </c>
      <c r="P76" s="289"/>
      <c r="Q76" s="290">
        <f t="shared" si="248"/>
        <v>0</v>
      </c>
      <c r="R76" s="287"/>
      <c r="S76" s="313">
        <f t="shared" si="249"/>
        <v>0</v>
      </c>
      <c r="T76" s="287">
        <v>1188</v>
      </c>
      <c r="U76" s="313">
        <f t="shared" si="115"/>
        <v>1.4024594747647605E-2</v>
      </c>
      <c r="V76" s="323">
        <f t="shared" si="116"/>
        <v>1.4024594747647605E-2</v>
      </c>
      <c r="W76" s="81">
        <v>0</v>
      </c>
      <c r="X76" s="81"/>
      <c r="Y76" s="84">
        <v>0</v>
      </c>
      <c r="Z76" s="85"/>
      <c r="AA76" s="84">
        <v>0</v>
      </c>
      <c r="AB76" s="81"/>
      <c r="AC76" s="84">
        <v>0</v>
      </c>
      <c r="AD76" s="85"/>
      <c r="AE76" s="84">
        <v>0</v>
      </c>
      <c r="AF76" s="81"/>
      <c r="AG76" s="230">
        <v>7497</v>
      </c>
      <c r="AH76" s="231">
        <f>626.02+2445.75+4425.21</f>
        <v>7496.98</v>
      </c>
      <c r="AI76" s="84">
        <v>0</v>
      </c>
      <c r="AJ76" s="85"/>
      <c r="AK76" s="230">
        <v>38146</v>
      </c>
      <c r="AL76" s="231">
        <f>18227.74+15067.58+4851.05</f>
        <v>38146.370000000003</v>
      </c>
      <c r="AM76" s="230">
        <v>14020</v>
      </c>
      <c r="AN76" s="231">
        <f>5823.47+6529.17+1667.42</f>
        <v>14020.06</v>
      </c>
      <c r="AO76" s="230">
        <v>8161</v>
      </c>
      <c r="AP76" s="231">
        <f>3796.92+1917.97+492+753.77+1200</f>
        <v>8160.66</v>
      </c>
      <c r="AQ76" s="230">
        <v>5423</v>
      </c>
      <c r="AR76" s="231">
        <f>735.47+2336.09+2351.76</f>
        <v>5423.3200000000006</v>
      </c>
      <c r="AS76" s="230">
        <v>11461</v>
      </c>
      <c r="AT76" s="195">
        <f>2057.82+595.93+7428.83+1378.56</f>
        <v>11461.14</v>
      </c>
      <c r="AU76" s="214">
        <f>D76-W76-Y76-AA76-AC76-AE76-AG76-AI76-AK76-AM76-AO76-AQ76-AS76</f>
        <v>0.33000000000174623</v>
      </c>
    </row>
    <row r="77" spans="1:47" x14ac:dyDescent="0.35">
      <c r="A77" s="149"/>
      <c r="B77" s="180"/>
      <c r="C77" s="83"/>
      <c r="D77" s="142">
        <f t="shared" si="242"/>
        <v>0</v>
      </c>
      <c r="E77" s="304"/>
      <c r="F77" s="287"/>
      <c r="G77" s="288" t="e">
        <f t="shared" si="243"/>
        <v>#DIV/0!</v>
      </c>
      <c r="H77" s="289"/>
      <c r="I77" s="290" t="e">
        <f t="shared" si="244"/>
        <v>#DIV/0!</v>
      </c>
      <c r="J77" s="287"/>
      <c r="K77" s="288" t="e">
        <f t="shared" si="245"/>
        <v>#DIV/0!</v>
      </c>
      <c r="L77" s="289"/>
      <c r="M77" s="290" t="e">
        <f t="shared" si="246"/>
        <v>#DIV/0!</v>
      </c>
      <c r="N77" s="287"/>
      <c r="O77" s="288" t="e">
        <f t="shared" si="247"/>
        <v>#DIV/0!</v>
      </c>
      <c r="P77" s="289"/>
      <c r="Q77" s="290" t="e">
        <f t="shared" si="248"/>
        <v>#DIV/0!</v>
      </c>
      <c r="R77" s="287"/>
      <c r="S77" s="313" t="e">
        <f t="shared" si="249"/>
        <v>#DIV/0!</v>
      </c>
      <c r="T77" s="287"/>
      <c r="U77" s="313" t="e">
        <f t="shared" si="115"/>
        <v>#DIV/0!</v>
      </c>
      <c r="V77" s="323" t="e">
        <f t="shared" si="116"/>
        <v>#DIV/0!</v>
      </c>
      <c r="W77" s="81">
        <v>0</v>
      </c>
      <c r="X77" s="81"/>
      <c r="Y77" s="84">
        <f t="shared" ref="Y77:Y78" si="252">D77-W77</f>
        <v>0</v>
      </c>
      <c r="Z77" s="85"/>
      <c r="AA77" s="84">
        <f t="shared" ref="AA77:AA79" si="253">D77-W77-Y77</f>
        <v>0</v>
      </c>
      <c r="AB77" s="81"/>
      <c r="AC77" s="84">
        <f t="shared" si="250"/>
        <v>0</v>
      </c>
      <c r="AD77" s="85"/>
      <c r="AE77" s="84">
        <f t="shared" si="251"/>
        <v>0</v>
      </c>
      <c r="AF77" s="81"/>
      <c r="AG77" s="84">
        <f t="shared" si="226"/>
        <v>0</v>
      </c>
      <c r="AH77" s="85"/>
      <c r="AI77" s="84">
        <f t="shared" si="227"/>
        <v>0</v>
      </c>
      <c r="AJ77" s="85"/>
      <c r="AK77" s="84">
        <f t="shared" si="228"/>
        <v>0</v>
      </c>
      <c r="AL77" s="85"/>
      <c r="AM77" s="84">
        <f t="shared" si="229"/>
        <v>0</v>
      </c>
      <c r="AN77" s="85"/>
      <c r="AO77" s="84">
        <f t="shared" si="230"/>
        <v>0</v>
      </c>
      <c r="AP77" s="85"/>
      <c r="AQ77" s="84">
        <f t="shared" si="231"/>
        <v>0</v>
      </c>
      <c r="AR77" s="85"/>
      <c r="AS77" s="84">
        <f t="shared" si="232"/>
        <v>0</v>
      </c>
      <c r="AT77" s="81"/>
      <c r="AU77" s="214">
        <f t="shared" si="233"/>
        <v>0</v>
      </c>
    </row>
    <row r="78" spans="1:47" x14ac:dyDescent="0.35">
      <c r="A78" s="149"/>
      <c r="B78" s="180"/>
      <c r="C78" s="83"/>
      <c r="D78" s="142">
        <f t="shared" si="242"/>
        <v>0</v>
      </c>
      <c r="E78" s="304"/>
      <c r="F78" s="287"/>
      <c r="G78" s="288" t="e">
        <f t="shared" si="243"/>
        <v>#DIV/0!</v>
      </c>
      <c r="H78" s="289"/>
      <c r="I78" s="290" t="e">
        <f t="shared" si="244"/>
        <v>#DIV/0!</v>
      </c>
      <c r="J78" s="287"/>
      <c r="K78" s="288" t="e">
        <f t="shared" si="245"/>
        <v>#DIV/0!</v>
      </c>
      <c r="L78" s="289"/>
      <c r="M78" s="290" t="e">
        <f t="shared" si="246"/>
        <v>#DIV/0!</v>
      </c>
      <c r="N78" s="287"/>
      <c r="O78" s="288" t="e">
        <f t="shared" si="247"/>
        <v>#DIV/0!</v>
      </c>
      <c r="P78" s="289"/>
      <c r="Q78" s="290" t="e">
        <f t="shared" si="248"/>
        <v>#DIV/0!</v>
      </c>
      <c r="R78" s="287"/>
      <c r="S78" s="313" t="e">
        <f t="shared" si="249"/>
        <v>#DIV/0!</v>
      </c>
      <c r="T78" s="287"/>
      <c r="U78" s="313" t="e">
        <f t="shared" si="115"/>
        <v>#DIV/0!</v>
      </c>
      <c r="V78" s="323" t="e">
        <f t="shared" si="116"/>
        <v>#DIV/0!</v>
      </c>
      <c r="W78" s="81">
        <v>0</v>
      </c>
      <c r="X78" s="81"/>
      <c r="Y78" s="84">
        <f t="shared" si="252"/>
        <v>0</v>
      </c>
      <c r="Z78" s="85"/>
      <c r="AA78" s="84">
        <f t="shared" si="253"/>
        <v>0</v>
      </c>
      <c r="AB78" s="81"/>
      <c r="AC78" s="84">
        <f t="shared" si="250"/>
        <v>0</v>
      </c>
      <c r="AD78" s="85"/>
      <c r="AE78" s="84">
        <f t="shared" si="251"/>
        <v>0</v>
      </c>
      <c r="AF78" s="81"/>
      <c r="AG78" s="84">
        <f t="shared" si="226"/>
        <v>0</v>
      </c>
      <c r="AH78" s="85"/>
      <c r="AI78" s="84">
        <f t="shared" si="227"/>
        <v>0</v>
      </c>
      <c r="AJ78" s="85"/>
      <c r="AK78" s="84">
        <f t="shared" si="228"/>
        <v>0</v>
      </c>
      <c r="AL78" s="85"/>
      <c r="AM78" s="84">
        <f t="shared" si="229"/>
        <v>0</v>
      </c>
      <c r="AN78" s="85"/>
      <c r="AO78" s="84">
        <f t="shared" si="230"/>
        <v>0</v>
      </c>
      <c r="AP78" s="85"/>
      <c r="AQ78" s="84">
        <f t="shared" si="231"/>
        <v>0</v>
      </c>
      <c r="AR78" s="85"/>
      <c r="AS78" s="84">
        <f t="shared" si="232"/>
        <v>0</v>
      </c>
      <c r="AT78" s="81"/>
      <c r="AU78" s="214">
        <f t="shared" si="233"/>
        <v>0</v>
      </c>
    </row>
    <row r="79" spans="1:47" x14ac:dyDescent="0.35">
      <c r="A79" s="149"/>
      <c r="B79" s="180"/>
      <c r="C79" s="83"/>
      <c r="D79" s="142">
        <f t="shared" si="242"/>
        <v>0</v>
      </c>
      <c r="E79" s="304"/>
      <c r="F79" s="287"/>
      <c r="G79" s="288" t="e">
        <f t="shared" si="243"/>
        <v>#DIV/0!</v>
      </c>
      <c r="H79" s="289"/>
      <c r="I79" s="290" t="e">
        <f t="shared" si="244"/>
        <v>#DIV/0!</v>
      </c>
      <c r="J79" s="287"/>
      <c r="K79" s="288" t="e">
        <f t="shared" si="245"/>
        <v>#DIV/0!</v>
      </c>
      <c r="L79" s="289"/>
      <c r="M79" s="290" t="e">
        <f t="shared" si="246"/>
        <v>#DIV/0!</v>
      </c>
      <c r="N79" s="287"/>
      <c r="O79" s="288" t="e">
        <f t="shared" si="247"/>
        <v>#DIV/0!</v>
      </c>
      <c r="P79" s="289"/>
      <c r="Q79" s="290" t="e">
        <f t="shared" si="248"/>
        <v>#DIV/0!</v>
      </c>
      <c r="R79" s="287"/>
      <c r="S79" s="313" t="e">
        <f t="shared" si="249"/>
        <v>#DIV/0!</v>
      </c>
      <c r="T79" s="287"/>
      <c r="U79" s="313" t="e">
        <f t="shared" si="115"/>
        <v>#DIV/0!</v>
      </c>
      <c r="V79" s="323" t="e">
        <f t="shared" si="116"/>
        <v>#DIV/0!</v>
      </c>
      <c r="W79" s="81">
        <v>0</v>
      </c>
      <c r="X79" s="81"/>
      <c r="Y79" s="84">
        <v>0</v>
      </c>
      <c r="Z79" s="85"/>
      <c r="AA79" s="84">
        <f t="shared" si="253"/>
        <v>0</v>
      </c>
      <c r="AB79" s="81"/>
      <c r="AC79" s="84">
        <f t="shared" si="250"/>
        <v>0</v>
      </c>
      <c r="AD79" s="85"/>
      <c r="AE79" s="84">
        <f t="shared" si="251"/>
        <v>0</v>
      </c>
      <c r="AF79" s="81"/>
      <c r="AG79" s="84">
        <f t="shared" si="226"/>
        <v>0</v>
      </c>
      <c r="AH79" s="85"/>
      <c r="AI79" s="84">
        <f t="shared" si="227"/>
        <v>0</v>
      </c>
      <c r="AJ79" s="85"/>
      <c r="AK79" s="84">
        <f t="shared" si="228"/>
        <v>0</v>
      </c>
      <c r="AL79" s="85"/>
      <c r="AM79" s="84">
        <f t="shared" si="229"/>
        <v>0</v>
      </c>
      <c r="AN79" s="85"/>
      <c r="AO79" s="84">
        <f t="shared" si="230"/>
        <v>0</v>
      </c>
      <c r="AP79" s="85"/>
      <c r="AQ79" s="84">
        <f t="shared" si="231"/>
        <v>0</v>
      </c>
      <c r="AR79" s="85"/>
      <c r="AS79" s="84">
        <f t="shared" si="232"/>
        <v>0</v>
      </c>
      <c r="AT79" s="81"/>
      <c r="AU79" s="214">
        <f t="shared" si="233"/>
        <v>0</v>
      </c>
    </row>
    <row r="80" spans="1:47" x14ac:dyDescent="0.35">
      <c r="A80" s="341" t="s">
        <v>570</v>
      </c>
      <c r="B80" s="180"/>
      <c r="C80" s="83"/>
      <c r="D80" s="142">
        <f t="shared" si="234"/>
        <v>0</v>
      </c>
      <c r="E80" s="304"/>
      <c r="F80" s="287"/>
      <c r="G80" s="288" t="e">
        <f t="shared" si="235"/>
        <v>#DIV/0!</v>
      </c>
      <c r="H80" s="289"/>
      <c r="I80" s="290" t="e">
        <f t="shared" si="236"/>
        <v>#DIV/0!</v>
      </c>
      <c r="J80" s="287"/>
      <c r="K80" s="288" t="e">
        <f t="shared" si="237"/>
        <v>#DIV/0!</v>
      </c>
      <c r="L80" s="289"/>
      <c r="M80" s="290" t="e">
        <f t="shared" si="238"/>
        <v>#DIV/0!</v>
      </c>
      <c r="N80" s="287"/>
      <c r="O80" s="288" t="e">
        <f t="shared" si="239"/>
        <v>#DIV/0!</v>
      </c>
      <c r="P80" s="289"/>
      <c r="Q80" s="290" t="e">
        <f t="shared" si="240"/>
        <v>#DIV/0!</v>
      </c>
      <c r="R80" s="287"/>
      <c r="S80" s="313" t="e">
        <f t="shared" si="241"/>
        <v>#DIV/0!</v>
      </c>
      <c r="T80" s="287"/>
      <c r="U80" s="313" t="e">
        <f t="shared" si="115"/>
        <v>#DIV/0!</v>
      </c>
      <c r="V80" s="323" t="e">
        <f t="shared" si="116"/>
        <v>#DIV/0!</v>
      </c>
      <c r="W80" s="81">
        <v>0</v>
      </c>
      <c r="X80" s="81"/>
      <c r="Y80" s="84">
        <f>D80-W80</f>
        <v>0</v>
      </c>
      <c r="Z80" s="85"/>
      <c r="AA80" s="84">
        <f t="shared" ref="AA80" si="254">D80-W80-Y80</f>
        <v>0</v>
      </c>
      <c r="AB80" s="81"/>
      <c r="AC80" s="84">
        <f t="shared" ref="AC80" si="255">D80-W80-Y80-AA80</f>
        <v>0</v>
      </c>
      <c r="AD80" s="85"/>
      <c r="AE80" s="84">
        <f t="shared" ref="AE80" si="256">D80-W80-Y80-AA80-AC80</f>
        <v>0</v>
      </c>
      <c r="AF80" s="81"/>
      <c r="AG80" s="84">
        <f t="shared" ref="AG80" si="257">D80-W80-Y80-AA80-AC80-AE80</f>
        <v>0</v>
      </c>
      <c r="AH80" s="85"/>
      <c r="AI80" s="84">
        <f t="shared" ref="AI80" si="258">D80-W80-Y80-AA80-AC80-AE80-AG80</f>
        <v>0</v>
      </c>
      <c r="AJ80" s="85"/>
      <c r="AK80" s="84">
        <f t="shared" ref="AK80" si="259">D80-W80-Y80-AA80-AC80-AE80-AG80-AI80</f>
        <v>0</v>
      </c>
      <c r="AL80" s="85"/>
      <c r="AM80" s="84">
        <f t="shared" ref="AM80" si="260">D80-W80-Y80-AA80-AC80-AE80-AG80-AI80-AK80</f>
        <v>0</v>
      </c>
      <c r="AN80" s="85"/>
      <c r="AO80" s="84">
        <f t="shared" ref="AO80" si="261">D80-W80-Y80-AA80-AC80-AE80-AG80-AI80-AK80-AM80</f>
        <v>0</v>
      </c>
      <c r="AP80" s="85"/>
      <c r="AQ80" s="84">
        <f t="shared" ref="AQ80" si="262">D80-W80-Y80-AA80-AC80-AE80-AG80-AI80-AK80-AM80-AO80</f>
        <v>0</v>
      </c>
      <c r="AR80" s="85"/>
      <c r="AS80" s="84">
        <f t="shared" ref="AS80" si="263">D80-W80-Y80-AA80-AC80-AE80-AG80-AI80-AK80-AM80-AO80-AQ80</f>
        <v>0</v>
      </c>
      <c r="AT80" s="81"/>
      <c r="AU80" s="214">
        <f t="shared" ref="AU80" si="264">D80-W80-Y80-AA80-AC80-AE80-AG80-AI80-AK80-AM80-AO80-AQ80-AS80</f>
        <v>0</v>
      </c>
    </row>
    <row r="81" spans="1:47" x14ac:dyDescent="0.35">
      <c r="A81" s="327"/>
      <c r="B81" s="328"/>
      <c r="C81" s="329"/>
      <c r="D81" s="330"/>
      <c r="E81" s="331"/>
      <c r="F81" s="332"/>
      <c r="G81" s="333"/>
      <c r="H81" s="332"/>
      <c r="I81" s="333"/>
      <c r="J81" s="332"/>
      <c r="K81" s="333"/>
      <c r="L81" s="332"/>
      <c r="M81" s="333"/>
      <c r="N81" s="332"/>
      <c r="O81" s="333"/>
      <c r="P81" s="332"/>
      <c r="Q81" s="333"/>
      <c r="R81" s="332"/>
      <c r="S81" s="334"/>
      <c r="T81" s="332"/>
      <c r="U81" s="313" t="e">
        <f t="shared" si="115"/>
        <v>#DIV/0!</v>
      </c>
      <c r="V81" s="323" t="e">
        <f t="shared" si="116"/>
        <v>#DIV/0!</v>
      </c>
      <c r="W81" s="329"/>
      <c r="X81" s="329"/>
      <c r="Y81" s="336"/>
      <c r="Z81" s="337"/>
      <c r="AA81" s="338"/>
      <c r="AB81" s="329"/>
      <c r="AC81" s="336"/>
      <c r="AD81" s="337"/>
      <c r="AE81" s="336"/>
      <c r="AF81" s="329"/>
      <c r="AG81" s="336"/>
      <c r="AH81" s="337"/>
      <c r="AI81" s="336"/>
      <c r="AJ81" s="337"/>
      <c r="AK81" s="336"/>
      <c r="AL81" s="337"/>
      <c r="AM81" s="336"/>
      <c r="AN81" s="337"/>
      <c r="AO81" s="336"/>
      <c r="AP81" s="337"/>
      <c r="AQ81" s="336"/>
      <c r="AR81" s="337"/>
      <c r="AS81" s="336"/>
      <c r="AT81" s="329"/>
      <c r="AU81" s="339"/>
    </row>
    <row r="82" spans="1:47" x14ac:dyDescent="0.35">
      <c r="A82" s="159" t="s">
        <v>405</v>
      </c>
      <c r="B82" s="170"/>
      <c r="C82" s="83">
        <f>'2020-21'!AS20</f>
        <v>67013.929999999993</v>
      </c>
      <c r="D82" s="107">
        <f t="shared" ref="D82:D139" si="265">C82</f>
        <v>67013.929999999993</v>
      </c>
      <c r="E82" s="304">
        <f>'2020-21'!D20-'2020-21'!E20</f>
        <v>67013.78</v>
      </c>
      <c r="F82" s="287">
        <f>6950+17276.75-1450-11033.19</f>
        <v>11743.56</v>
      </c>
      <c r="G82" s="288">
        <f t="shared" si="211"/>
        <v>0.17524097282678278</v>
      </c>
      <c r="H82" s="289">
        <f>6800.96-1804.96</f>
        <v>4996</v>
      </c>
      <c r="I82" s="290">
        <f t="shared" si="212"/>
        <v>7.4551830981627959E-2</v>
      </c>
      <c r="J82" s="287">
        <v>12139.26</v>
      </c>
      <c r="K82" s="288">
        <f t="shared" si="213"/>
        <v>0.18114572853523558</v>
      </c>
      <c r="L82" s="289">
        <v>17237.07</v>
      </c>
      <c r="M82" s="290">
        <f t="shared" si="214"/>
        <v>0.25721679929113089</v>
      </c>
      <c r="N82" s="287">
        <v>3360.83</v>
      </c>
      <c r="O82" s="288">
        <f t="shared" si="215"/>
        <v>5.0151327085265152E-2</v>
      </c>
      <c r="P82" s="289">
        <v>13445.76</v>
      </c>
      <c r="Q82" s="290">
        <f t="shared" si="216"/>
        <v>0.20064171876291712</v>
      </c>
      <c r="R82" s="287">
        <v>4391.3</v>
      </c>
      <c r="S82" s="313">
        <f t="shared" si="217"/>
        <v>6.5528313728907703E-2</v>
      </c>
      <c r="T82" s="287"/>
      <c r="U82" s="313">
        <f t="shared" si="115"/>
        <v>0</v>
      </c>
      <c r="V82" s="323">
        <f t="shared" si="116"/>
        <v>1.0044766912118672</v>
      </c>
      <c r="W82" s="195">
        <v>33546</v>
      </c>
      <c r="X82" s="195">
        <v>33546.46</v>
      </c>
      <c r="Y82" s="230">
        <v>13339</v>
      </c>
      <c r="Z82" s="231">
        <v>13338.81</v>
      </c>
      <c r="AA82" s="342">
        <v>12553.04</v>
      </c>
      <c r="AB82" s="195">
        <v>12553.04</v>
      </c>
      <c r="AC82" s="230">
        <v>3154.29</v>
      </c>
      <c r="AD82" s="231">
        <v>3154.29</v>
      </c>
      <c r="AE82" s="84"/>
      <c r="AF82" s="81"/>
      <c r="AG82" s="84">
        <v>0</v>
      </c>
      <c r="AH82" s="85"/>
      <c r="AI82" s="84">
        <v>0</v>
      </c>
      <c r="AJ82" s="85"/>
      <c r="AK82" s="84">
        <v>0</v>
      </c>
      <c r="AL82" s="85"/>
      <c r="AM82" s="84">
        <v>0</v>
      </c>
      <c r="AN82" s="85"/>
      <c r="AO82" s="84">
        <v>0</v>
      </c>
      <c r="AP82" s="85"/>
      <c r="AQ82" s="84">
        <v>0</v>
      </c>
      <c r="AR82" s="85"/>
      <c r="AS82" s="84"/>
      <c r="AT82" s="81"/>
      <c r="AU82" s="214">
        <f t="shared" si="185"/>
        <v>4421.5999999999922</v>
      </c>
    </row>
    <row r="83" spans="1:47" hidden="1" x14ac:dyDescent="0.35">
      <c r="A83" s="151" t="s">
        <v>534</v>
      </c>
      <c r="B83" s="180"/>
      <c r="C83" s="83">
        <f>'2020-21'!AS21</f>
        <v>0</v>
      </c>
      <c r="D83" s="107">
        <f t="shared" si="265"/>
        <v>0</v>
      </c>
      <c r="E83" s="304"/>
      <c r="F83" s="287"/>
      <c r="G83" s="288" t="e">
        <f t="shared" si="211"/>
        <v>#DIV/0!</v>
      </c>
      <c r="H83" s="289"/>
      <c r="I83" s="290" t="e">
        <f t="shared" si="212"/>
        <v>#DIV/0!</v>
      </c>
      <c r="J83" s="287"/>
      <c r="K83" s="288" t="e">
        <f t="shared" si="213"/>
        <v>#DIV/0!</v>
      </c>
      <c r="L83" s="289"/>
      <c r="M83" s="290" t="e">
        <f t="shared" si="214"/>
        <v>#DIV/0!</v>
      </c>
      <c r="N83" s="287"/>
      <c r="O83" s="288" t="e">
        <f t="shared" si="215"/>
        <v>#DIV/0!</v>
      </c>
      <c r="P83" s="289"/>
      <c r="Q83" s="290" t="e">
        <f t="shared" si="216"/>
        <v>#DIV/0!</v>
      </c>
      <c r="R83" s="287"/>
      <c r="S83" s="313" t="e">
        <f t="shared" si="217"/>
        <v>#DIV/0!</v>
      </c>
      <c r="T83" s="287"/>
      <c r="U83" s="313" t="e">
        <f t="shared" si="115"/>
        <v>#DIV/0!</v>
      </c>
      <c r="V83" s="323" t="e">
        <f t="shared" si="116"/>
        <v>#DIV/0!</v>
      </c>
      <c r="W83" s="81">
        <f t="shared" ref="W83:W139" si="266">D83</f>
        <v>0</v>
      </c>
      <c r="X83" s="81"/>
      <c r="Y83" s="84">
        <f t="shared" ref="Y83:Y139" si="267">D83-W83</f>
        <v>0</v>
      </c>
      <c r="Z83" s="85"/>
      <c r="AA83" s="48">
        <f t="shared" ref="AA83:AA139" si="268">D83-W83-Y83</f>
        <v>0</v>
      </c>
      <c r="AB83" s="81"/>
      <c r="AC83" s="84">
        <f t="shared" ref="AC83:AC139" si="269">D83-W83-Y83-AA83</f>
        <v>0</v>
      </c>
      <c r="AD83" s="85"/>
      <c r="AE83" s="84">
        <f t="shared" ref="AE83:AE139" si="270">D83-W83-Y83-AA83-AC83</f>
        <v>0</v>
      </c>
      <c r="AF83" s="81"/>
      <c r="AG83" s="84">
        <f t="shared" ref="AG83:AG139" si="271">D83-W83-Y83-AA83-AC83-AE83</f>
        <v>0</v>
      </c>
      <c r="AH83" s="85"/>
      <c r="AI83" s="84">
        <f t="shared" ref="AI83:AI139" si="272">D83-W83-Y83-AA83-AC83-AE83-AG83</f>
        <v>0</v>
      </c>
      <c r="AJ83" s="85"/>
      <c r="AK83" s="84">
        <f t="shared" ref="AK83:AK139" si="273">D83-W83-Y83-AA83-AC83-AE83-AG83-AI83</f>
        <v>0</v>
      </c>
      <c r="AL83" s="85"/>
      <c r="AM83" s="84">
        <f t="shared" ref="AM83:AM139" si="274">D83-W83-Y83-AA83-AC83-AE83-AG83-AI83-AK83</f>
        <v>0</v>
      </c>
      <c r="AN83" s="85"/>
      <c r="AO83" s="84">
        <f t="shared" ref="AO83:AO139" si="275">D83-W83-Y83-AA83-AC83-AE83-AG83-AI83-AK83-AM83</f>
        <v>0</v>
      </c>
      <c r="AP83" s="85"/>
      <c r="AQ83" s="84">
        <f t="shared" ref="AQ83:AQ139" si="276">D83-W83-Y83-AA83-AC83-AE83-AG83-AI83-AK83-AM83-AO83</f>
        <v>0</v>
      </c>
      <c r="AR83" s="85"/>
      <c r="AS83" s="84">
        <f t="shared" ref="AS83:AS139" si="277">D83-W83-Y83-AA83-AC83-AE83-AG83-AI83-AK83-AM83-AO83-AQ83</f>
        <v>0</v>
      </c>
      <c r="AT83" s="81"/>
      <c r="AU83" s="214">
        <f t="shared" si="185"/>
        <v>0</v>
      </c>
    </row>
    <row r="84" spans="1:47" x14ac:dyDescent="0.35">
      <c r="A84" s="159" t="s">
        <v>531</v>
      </c>
      <c r="B84" s="180"/>
      <c r="C84" s="83">
        <f>'2020-21'!AS22</f>
        <v>39729</v>
      </c>
      <c r="D84" s="107">
        <f t="shared" si="265"/>
        <v>39729</v>
      </c>
      <c r="E84" s="304">
        <v>39729</v>
      </c>
      <c r="F84" s="287">
        <f>14273+3025-900-4011.91</f>
        <v>12386.09</v>
      </c>
      <c r="G84" s="288">
        <f t="shared" si="211"/>
        <v>0.31176445417704951</v>
      </c>
      <c r="H84" s="289">
        <f>3807.17-1141.89</f>
        <v>2665.2799999999997</v>
      </c>
      <c r="I84" s="290">
        <f t="shared" si="212"/>
        <v>6.7086511112789141E-2</v>
      </c>
      <c r="J84" s="287">
        <f>8973.49-2216.25</f>
        <v>6757.24</v>
      </c>
      <c r="K84" s="288">
        <f t="shared" si="213"/>
        <v>0.17008331445543556</v>
      </c>
      <c r="L84" s="289">
        <f>18080.58-4084.8</f>
        <v>13995.780000000002</v>
      </c>
      <c r="M84" s="290">
        <f t="shared" si="214"/>
        <v>0.35228120516499289</v>
      </c>
      <c r="N84" s="287">
        <v>3924.83</v>
      </c>
      <c r="O84" s="288">
        <f t="shared" si="215"/>
        <v>9.8790052606408413E-2</v>
      </c>
      <c r="P84" s="289"/>
      <c r="Q84" s="290">
        <f t="shared" si="216"/>
        <v>0</v>
      </c>
      <c r="R84" s="287"/>
      <c r="S84" s="313">
        <f t="shared" si="217"/>
        <v>0</v>
      </c>
      <c r="T84" s="287"/>
      <c r="U84" s="313">
        <f t="shared" si="115"/>
        <v>0</v>
      </c>
      <c r="V84" s="323">
        <f t="shared" si="116"/>
        <v>1.0000055375166756</v>
      </c>
      <c r="W84" s="195">
        <v>13251</v>
      </c>
      <c r="X84" s="195">
        <v>13250.89</v>
      </c>
      <c r="Y84" s="230">
        <v>10623</v>
      </c>
      <c r="Z84" s="231">
        <v>10622.69</v>
      </c>
      <c r="AA84" s="48">
        <v>0</v>
      </c>
      <c r="AB84" s="81"/>
      <c r="AC84" s="230">
        <f t="shared" si="269"/>
        <v>15855</v>
      </c>
      <c r="AD84" s="231">
        <v>15855.68</v>
      </c>
      <c r="AE84" s="84">
        <f t="shared" si="270"/>
        <v>0</v>
      </c>
      <c r="AF84" s="81"/>
      <c r="AG84" s="84">
        <f t="shared" si="271"/>
        <v>0</v>
      </c>
      <c r="AH84" s="85"/>
      <c r="AI84" s="84">
        <f t="shared" si="272"/>
        <v>0</v>
      </c>
      <c r="AJ84" s="85"/>
      <c r="AK84" s="84">
        <f t="shared" si="273"/>
        <v>0</v>
      </c>
      <c r="AL84" s="85"/>
      <c r="AM84" s="84">
        <f t="shared" si="274"/>
        <v>0</v>
      </c>
      <c r="AN84" s="85"/>
      <c r="AO84" s="84">
        <f t="shared" si="275"/>
        <v>0</v>
      </c>
      <c r="AP84" s="85"/>
      <c r="AQ84" s="84">
        <f t="shared" si="276"/>
        <v>0</v>
      </c>
      <c r="AR84" s="85"/>
      <c r="AS84" s="84">
        <f t="shared" si="277"/>
        <v>0</v>
      </c>
      <c r="AT84" s="81"/>
      <c r="AU84" s="214">
        <f t="shared" si="185"/>
        <v>0</v>
      </c>
    </row>
    <row r="85" spans="1:47" hidden="1" x14ac:dyDescent="0.35">
      <c r="A85" s="159" t="s">
        <v>477</v>
      </c>
      <c r="B85" s="180"/>
      <c r="C85" s="83">
        <f>'2020-21'!AS23</f>
        <v>0</v>
      </c>
      <c r="D85" s="107">
        <f t="shared" si="265"/>
        <v>0</v>
      </c>
      <c r="E85" s="304"/>
      <c r="F85" s="287"/>
      <c r="G85" s="288" t="e">
        <f t="shared" si="211"/>
        <v>#DIV/0!</v>
      </c>
      <c r="H85" s="289"/>
      <c r="I85" s="290" t="e">
        <f t="shared" si="212"/>
        <v>#DIV/0!</v>
      </c>
      <c r="J85" s="287"/>
      <c r="K85" s="288" t="e">
        <f t="shared" si="213"/>
        <v>#DIV/0!</v>
      </c>
      <c r="L85" s="289"/>
      <c r="M85" s="290" t="e">
        <f t="shared" si="214"/>
        <v>#DIV/0!</v>
      </c>
      <c r="N85" s="287"/>
      <c r="O85" s="288" t="e">
        <f t="shared" si="215"/>
        <v>#DIV/0!</v>
      </c>
      <c r="P85" s="289"/>
      <c r="Q85" s="290" t="e">
        <f t="shared" si="216"/>
        <v>#DIV/0!</v>
      </c>
      <c r="R85" s="287"/>
      <c r="S85" s="313" t="e">
        <f t="shared" si="217"/>
        <v>#DIV/0!</v>
      </c>
      <c r="T85" s="287"/>
      <c r="U85" s="313" t="e">
        <f t="shared" si="115"/>
        <v>#DIV/0!</v>
      </c>
      <c r="V85" s="323" t="e">
        <f t="shared" si="116"/>
        <v>#DIV/0!</v>
      </c>
      <c r="W85" s="81">
        <f t="shared" si="266"/>
        <v>0</v>
      </c>
      <c r="X85" s="81"/>
      <c r="Y85" s="84">
        <f t="shared" si="267"/>
        <v>0</v>
      </c>
      <c r="Z85" s="85"/>
      <c r="AA85" s="48">
        <f t="shared" si="268"/>
        <v>0</v>
      </c>
      <c r="AB85" s="81"/>
      <c r="AC85" s="84">
        <f t="shared" si="269"/>
        <v>0</v>
      </c>
      <c r="AD85" s="85"/>
      <c r="AE85" s="84">
        <f t="shared" si="270"/>
        <v>0</v>
      </c>
      <c r="AF85" s="81"/>
      <c r="AG85" s="84">
        <f t="shared" si="271"/>
        <v>0</v>
      </c>
      <c r="AH85" s="85"/>
      <c r="AI85" s="84">
        <f t="shared" si="272"/>
        <v>0</v>
      </c>
      <c r="AJ85" s="85"/>
      <c r="AK85" s="84">
        <f t="shared" si="273"/>
        <v>0</v>
      </c>
      <c r="AL85" s="85"/>
      <c r="AM85" s="84">
        <f t="shared" si="274"/>
        <v>0</v>
      </c>
      <c r="AN85" s="85"/>
      <c r="AO85" s="84">
        <f t="shared" si="275"/>
        <v>0</v>
      </c>
      <c r="AP85" s="85"/>
      <c r="AQ85" s="84">
        <f t="shared" si="276"/>
        <v>0</v>
      </c>
      <c r="AR85" s="85"/>
      <c r="AS85" s="84">
        <f t="shared" si="277"/>
        <v>0</v>
      </c>
      <c r="AT85" s="81"/>
      <c r="AU85" s="214">
        <f t="shared" si="185"/>
        <v>0</v>
      </c>
    </row>
    <row r="86" spans="1:47" hidden="1" x14ac:dyDescent="0.35">
      <c r="A86" s="159" t="s">
        <v>530</v>
      </c>
      <c r="B86" s="180"/>
      <c r="C86" s="83">
        <f>'2020-21'!AS24</f>
        <v>0</v>
      </c>
      <c r="D86" s="107">
        <f t="shared" si="265"/>
        <v>0</v>
      </c>
      <c r="E86" s="304"/>
      <c r="F86" s="287"/>
      <c r="G86" s="288" t="e">
        <f t="shared" si="211"/>
        <v>#DIV/0!</v>
      </c>
      <c r="H86" s="289"/>
      <c r="I86" s="290" t="e">
        <f t="shared" si="212"/>
        <v>#DIV/0!</v>
      </c>
      <c r="J86" s="287"/>
      <c r="K86" s="288">
        <v>0</v>
      </c>
      <c r="L86" s="289"/>
      <c r="M86" s="290" t="e">
        <f t="shared" si="214"/>
        <v>#DIV/0!</v>
      </c>
      <c r="N86" s="287"/>
      <c r="O86" s="288" t="e">
        <f t="shared" si="215"/>
        <v>#DIV/0!</v>
      </c>
      <c r="P86" s="289"/>
      <c r="Q86" s="290" t="e">
        <f t="shared" si="216"/>
        <v>#DIV/0!</v>
      </c>
      <c r="R86" s="287"/>
      <c r="S86" s="313" t="e">
        <f t="shared" si="217"/>
        <v>#DIV/0!</v>
      </c>
      <c r="T86" s="287"/>
      <c r="U86" s="313" t="e">
        <f t="shared" si="115"/>
        <v>#DIV/0!</v>
      </c>
      <c r="V86" s="323" t="e">
        <f t="shared" si="116"/>
        <v>#DIV/0!</v>
      </c>
      <c r="W86" s="81">
        <f t="shared" si="266"/>
        <v>0</v>
      </c>
      <c r="X86" s="81"/>
      <c r="Y86" s="84">
        <f t="shared" si="267"/>
        <v>0</v>
      </c>
      <c r="Z86" s="85"/>
      <c r="AA86" s="48">
        <f t="shared" si="268"/>
        <v>0</v>
      </c>
      <c r="AB86" s="81"/>
      <c r="AC86" s="84">
        <f t="shared" si="269"/>
        <v>0</v>
      </c>
      <c r="AD86" s="85"/>
      <c r="AE86" s="84">
        <f t="shared" si="270"/>
        <v>0</v>
      </c>
      <c r="AF86" s="81"/>
      <c r="AG86" s="84">
        <f t="shared" si="271"/>
        <v>0</v>
      </c>
      <c r="AH86" s="85"/>
      <c r="AI86" s="84">
        <f t="shared" si="272"/>
        <v>0</v>
      </c>
      <c r="AJ86" s="85"/>
      <c r="AK86" s="84">
        <f t="shared" si="273"/>
        <v>0</v>
      </c>
      <c r="AL86" s="85"/>
      <c r="AM86" s="84">
        <f t="shared" si="274"/>
        <v>0</v>
      </c>
      <c r="AN86" s="85"/>
      <c r="AO86" s="84">
        <f t="shared" si="275"/>
        <v>0</v>
      </c>
      <c r="AP86" s="85"/>
      <c r="AQ86" s="84">
        <f t="shared" si="276"/>
        <v>0</v>
      </c>
      <c r="AR86" s="85"/>
      <c r="AS86" s="84">
        <f t="shared" si="277"/>
        <v>0</v>
      </c>
      <c r="AT86" s="81"/>
      <c r="AU86" s="214">
        <f t="shared" si="185"/>
        <v>0</v>
      </c>
    </row>
    <row r="87" spans="1:47" hidden="1" x14ac:dyDescent="0.35">
      <c r="A87" s="211" t="s">
        <v>426</v>
      </c>
      <c r="B87" s="180"/>
      <c r="C87" s="83">
        <f>'2020-21'!AS25</f>
        <v>0</v>
      </c>
      <c r="D87" s="107">
        <f t="shared" si="265"/>
        <v>0</v>
      </c>
      <c r="E87" s="305"/>
      <c r="F87" s="287"/>
      <c r="G87" s="288" t="e">
        <f t="shared" si="211"/>
        <v>#DIV/0!</v>
      </c>
      <c r="H87" s="289"/>
      <c r="I87" s="290" t="e">
        <f t="shared" si="212"/>
        <v>#DIV/0!</v>
      </c>
      <c r="J87" s="287"/>
      <c r="K87" s="288" t="e">
        <f t="shared" si="213"/>
        <v>#DIV/0!</v>
      </c>
      <c r="L87" s="289"/>
      <c r="M87" s="290" t="e">
        <f t="shared" si="214"/>
        <v>#DIV/0!</v>
      </c>
      <c r="N87" s="287"/>
      <c r="O87" s="288" t="e">
        <f t="shared" si="215"/>
        <v>#DIV/0!</v>
      </c>
      <c r="P87" s="289"/>
      <c r="Q87" s="290" t="e">
        <f t="shared" si="216"/>
        <v>#DIV/0!</v>
      </c>
      <c r="R87" s="287"/>
      <c r="S87" s="313" t="e">
        <f t="shared" si="217"/>
        <v>#DIV/0!</v>
      </c>
      <c r="T87" s="287"/>
      <c r="U87" s="313" t="e">
        <f t="shared" si="115"/>
        <v>#DIV/0!</v>
      </c>
      <c r="V87" s="323" t="e">
        <f t="shared" si="116"/>
        <v>#DIV/0!</v>
      </c>
      <c r="W87" s="81">
        <f t="shared" si="266"/>
        <v>0</v>
      </c>
      <c r="X87" s="81"/>
      <c r="Y87" s="84">
        <f t="shared" si="267"/>
        <v>0</v>
      </c>
      <c r="Z87" s="85"/>
      <c r="AA87" s="48">
        <f t="shared" si="268"/>
        <v>0</v>
      </c>
      <c r="AB87" s="81"/>
      <c r="AC87" s="84">
        <f t="shared" si="269"/>
        <v>0</v>
      </c>
      <c r="AD87" s="85"/>
      <c r="AE87" s="84">
        <f t="shared" si="270"/>
        <v>0</v>
      </c>
      <c r="AF87" s="81"/>
      <c r="AG87" s="84">
        <f t="shared" si="271"/>
        <v>0</v>
      </c>
      <c r="AH87" s="85"/>
      <c r="AI87" s="84">
        <f t="shared" si="272"/>
        <v>0</v>
      </c>
      <c r="AJ87" s="85"/>
      <c r="AK87" s="84">
        <f t="shared" si="273"/>
        <v>0</v>
      </c>
      <c r="AL87" s="85"/>
      <c r="AM87" s="84">
        <f t="shared" si="274"/>
        <v>0</v>
      </c>
      <c r="AN87" s="85"/>
      <c r="AO87" s="84">
        <f t="shared" si="275"/>
        <v>0</v>
      </c>
      <c r="AP87" s="85"/>
      <c r="AQ87" s="84">
        <f t="shared" si="276"/>
        <v>0</v>
      </c>
      <c r="AR87" s="85"/>
      <c r="AS87" s="84">
        <f t="shared" si="277"/>
        <v>0</v>
      </c>
      <c r="AT87" s="81"/>
      <c r="AU87" s="214">
        <f t="shared" si="185"/>
        <v>0</v>
      </c>
    </row>
    <row r="88" spans="1:47" hidden="1" x14ac:dyDescent="0.35">
      <c r="A88" s="211" t="s">
        <v>475</v>
      </c>
      <c r="B88" s="180"/>
      <c r="C88" s="83">
        <f>'2020-21'!AS26</f>
        <v>0</v>
      </c>
      <c r="D88" s="107">
        <f t="shared" si="265"/>
        <v>0</v>
      </c>
      <c r="E88" s="305"/>
      <c r="F88" s="287"/>
      <c r="G88" s="288" t="e">
        <f t="shared" si="211"/>
        <v>#DIV/0!</v>
      </c>
      <c r="H88" s="289"/>
      <c r="I88" s="290" t="e">
        <f t="shared" si="212"/>
        <v>#DIV/0!</v>
      </c>
      <c r="J88" s="287"/>
      <c r="K88" s="288" t="e">
        <f t="shared" si="213"/>
        <v>#DIV/0!</v>
      </c>
      <c r="L88" s="289"/>
      <c r="M88" s="290" t="e">
        <f t="shared" si="214"/>
        <v>#DIV/0!</v>
      </c>
      <c r="N88" s="287"/>
      <c r="O88" s="288" t="e">
        <f t="shared" si="215"/>
        <v>#DIV/0!</v>
      </c>
      <c r="P88" s="289"/>
      <c r="Q88" s="290" t="e">
        <f t="shared" si="216"/>
        <v>#DIV/0!</v>
      </c>
      <c r="R88" s="287"/>
      <c r="S88" s="313" t="e">
        <f t="shared" si="217"/>
        <v>#DIV/0!</v>
      </c>
      <c r="T88" s="287"/>
      <c r="U88" s="313" t="e">
        <f t="shared" si="115"/>
        <v>#DIV/0!</v>
      </c>
      <c r="V88" s="323" t="e">
        <f t="shared" si="116"/>
        <v>#DIV/0!</v>
      </c>
      <c r="W88" s="81">
        <f t="shared" si="266"/>
        <v>0</v>
      </c>
      <c r="X88" s="81"/>
      <c r="Y88" s="84">
        <f t="shared" si="267"/>
        <v>0</v>
      </c>
      <c r="Z88" s="85"/>
      <c r="AA88" s="48">
        <f t="shared" si="268"/>
        <v>0</v>
      </c>
      <c r="AB88" s="81"/>
      <c r="AC88" s="84">
        <f t="shared" si="269"/>
        <v>0</v>
      </c>
      <c r="AD88" s="85"/>
      <c r="AE88" s="84">
        <f t="shared" si="270"/>
        <v>0</v>
      </c>
      <c r="AF88" s="81"/>
      <c r="AG88" s="84">
        <f t="shared" si="271"/>
        <v>0</v>
      </c>
      <c r="AH88" s="85"/>
      <c r="AI88" s="84">
        <f t="shared" si="272"/>
        <v>0</v>
      </c>
      <c r="AJ88" s="85"/>
      <c r="AK88" s="84">
        <f t="shared" si="273"/>
        <v>0</v>
      </c>
      <c r="AL88" s="85"/>
      <c r="AM88" s="84">
        <f t="shared" si="274"/>
        <v>0</v>
      </c>
      <c r="AN88" s="85"/>
      <c r="AO88" s="84">
        <f t="shared" si="275"/>
        <v>0</v>
      </c>
      <c r="AP88" s="85"/>
      <c r="AQ88" s="84">
        <f t="shared" si="276"/>
        <v>0</v>
      </c>
      <c r="AR88" s="85"/>
      <c r="AS88" s="84">
        <f t="shared" si="277"/>
        <v>0</v>
      </c>
      <c r="AT88" s="81"/>
      <c r="AU88" s="214">
        <f t="shared" si="185"/>
        <v>0</v>
      </c>
    </row>
    <row r="89" spans="1:47" x14ac:dyDescent="0.35">
      <c r="A89" s="159" t="s">
        <v>476</v>
      </c>
      <c r="B89" s="180"/>
      <c r="C89" s="83">
        <v>21285</v>
      </c>
      <c r="D89" s="107">
        <f>C89</f>
        <v>21285</v>
      </c>
      <c r="E89" s="304">
        <f>D89</f>
        <v>21285</v>
      </c>
      <c r="F89" s="287">
        <f>4370.78+350-350-1311.23</f>
        <v>3059.5499999999997</v>
      </c>
      <c r="G89" s="288">
        <f t="shared" si="211"/>
        <v>0.14374207188160676</v>
      </c>
      <c r="H89" s="289">
        <f>1822.44-546.73</f>
        <v>1275.71</v>
      </c>
      <c r="I89" s="290">
        <f t="shared" si="212"/>
        <v>5.9934695795160912E-2</v>
      </c>
      <c r="J89" s="287">
        <f>4242.27-1080.47</f>
        <v>3161.8</v>
      </c>
      <c r="K89" s="288">
        <f t="shared" si="213"/>
        <v>0.14854592435987785</v>
      </c>
      <c r="L89" s="289">
        <f>5913.81-1261.73</f>
        <v>4652.08</v>
      </c>
      <c r="M89" s="290">
        <f t="shared" si="214"/>
        <v>0.21856142823584684</v>
      </c>
      <c r="N89" s="287">
        <v>1428.19</v>
      </c>
      <c r="O89" s="288">
        <f t="shared" si="215"/>
        <v>6.7098426121681945E-2</v>
      </c>
      <c r="P89" s="289">
        <v>3077.16</v>
      </c>
      <c r="Q89" s="290">
        <f t="shared" si="216"/>
        <v>0.14456941508104298</v>
      </c>
      <c r="R89" s="287"/>
      <c r="S89" s="313">
        <f t="shared" si="217"/>
        <v>0</v>
      </c>
      <c r="T89" s="287"/>
      <c r="U89" s="313">
        <f t="shared" si="115"/>
        <v>0</v>
      </c>
      <c r="V89" s="323">
        <f t="shared" si="116"/>
        <v>0.78245196147521723</v>
      </c>
      <c r="W89" s="195">
        <v>5449</v>
      </c>
      <c r="X89" s="195">
        <v>5448.85</v>
      </c>
      <c r="Y89" s="230">
        <v>8857</v>
      </c>
      <c r="Z89" s="231">
        <v>8857</v>
      </c>
      <c r="AA89" s="342">
        <v>3738</v>
      </c>
      <c r="AB89" s="195">
        <f>2348.75+1389.31</f>
        <v>3738.06</v>
      </c>
      <c r="AC89" s="230">
        <f t="shared" si="269"/>
        <v>3241</v>
      </c>
      <c r="AD89" s="231">
        <v>3241.72</v>
      </c>
      <c r="AE89" s="84">
        <f t="shared" si="270"/>
        <v>0</v>
      </c>
      <c r="AF89" s="81"/>
      <c r="AG89" s="84">
        <f t="shared" si="271"/>
        <v>0</v>
      </c>
      <c r="AH89" s="85"/>
      <c r="AI89" s="84">
        <f t="shared" si="272"/>
        <v>0</v>
      </c>
      <c r="AJ89" s="85"/>
      <c r="AK89" s="84">
        <f t="shared" si="273"/>
        <v>0</v>
      </c>
      <c r="AL89" s="85"/>
      <c r="AM89" s="84">
        <f t="shared" si="274"/>
        <v>0</v>
      </c>
      <c r="AN89" s="85"/>
      <c r="AO89" s="84">
        <f t="shared" si="275"/>
        <v>0</v>
      </c>
      <c r="AP89" s="85"/>
      <c r="AQ89" s="84">
        <f t="shared" si="276"/>
        <v>0</v>
      </c>
      <c r="AR89" s="85"/>
      <c r="AS89" s="84">
        <f t="shared" si="277"/>
        <v>0</v>
      </c>
      <c r="AT89" s="81"/>
      <c r="AU89" s="214">
        <f t="shared" si="185"/>
        <v>0</v>
      </c>
    </row>
    <row r="90" spans="1:47" hidden="1" x14ac:dyDescent="0.35">
      <c r="A90" s="151" t="s">
        <v>379</v>
      </c>
      <c r="B90" s="180"/>
      <c r="C90" s="83">
        <f>'2020-21'!AS28</f>
        <v>0</v>
      </c>
      <c r="D90" s="107">
        <f t="shared" si="265"/>
        <v>0</v>
      </c>
      <c r="E90" s="304"/>
      <c r="F90" s="287"/>
      <c r="G90" s="288" t="e">
        <f t="shared" si="211"/>
        <v>#DIV/0!</v>
      </c>
      <c r="H90" s="289"/>
      <c r="I90" s="290" t="e">
        <f t="shared" si="212"/>
        <v>#DIV/0!</v>
      </c>
      <c r="J90" s="287"/>
      <c r="K90" s="288" t="e">
        <f t="shared" si="213"/>
        <v>#DIV/0!</v>
      </c>
      <c r="L90" s="289"/>
      <c r="M90" s="290" t="e">
        <f t="shared" si="214"/>
        <v>#DIV/0!</v>
      </c>
      <c r="N90" s="287"/>
      <c r="O90" s="288" t="e">
        <f t="shared" si="215"/>
        <v>#DIV/0!</v>
      </c>
      <c r="P90" s="289"/>
      <c r="Q90" s="290" t="e">
        <f t="shared" si="216"/>
        <v>#DIV/0!</v>
      </c>
      <c r="R90" s="287"/>
      <c r="S90" s="313" t="e">
        <f t="shared" si="217"/>
        <v>#DIV/0!</v>
      </c>
      <c r="T90" s="287"/>
      <c r="U90" s="313" t="e">
        <f t="shared" si="115"/>
        <v>#DIV/0!</v>
      </c>
      <c r="V90" s="323" t="e">
        <f t="shared" si="116"/>
        <v>#DIV/0!</v>
      </c>
      <c r="W90" s="81">
        <f t="shared" si="266"/>
        <v>0</v>
      </c>
      <c r="X90" s="81"/>
      <c r="Y90" s="84">
        <f t="shared" si="267"/>
        <v>0</v>
      </c>
      <c r="Z90" s="85"/>
      <c r="AA90" s="48">
        <f t="shared" si="268"/>
        <v>0</v>
      </c>
      <c r="AB90" s="81"/>
      <c r="AC90" s="84">
        <f t="shared" si="269"/>
        <v>0</v>
      </c>
      <c r="AD90" s="85"/>
      <c r="AE90" s="84">
        <f t="shared" si="270"/>
        <v>0</v>
      </c>
      <c r="AF90" s="81"/>
      <c r="AG90" s="84">
        <f t="shared" si="271"/>
        <v>0</v>
      </c>
      <c r="AH90" s="85"/>
      <c r="AI90" s="84">
        <f t="shared" si="272"/>
        <v>0</v>
      </c>
      <c r="AJ90" s="85"/>
      <c r="AK90" s="84">
        <f t="shared" si="273"/>
        <v>0</v>
      </c>
      <c r="AL90" s="85"/>
      <c r="AM90" s="84">
        <f t="shared" si="274"/>
        <v>0</v>
      </c>
      <c r="AN90" s="85"/>
      <c r="AO90" s="84">
        <f t="shared" si="275"/>
        <v>0</v>
      </c>
      <c r="AP90" s="85"/>
      <c r="AQ90" s="84">
        <f t="shared" si="276"/>
        <v>0</v>
      </c>
      <c r="AR90" s="85"/>
      <c r="AS90" s="84">
        <f t="shared" si="277"/>
        <v>0</v>
      </c>
      <c r="AT90" s="81"/>
      <c r="AU90" s="214">
        <f t="shared" si="185"/>
        <v>0</v>
      </c>
    </row>
    <row r="91" spans="1:47" hidden="1" x14ac:dyDescent="0.35">
      <c r="A91" s="151" t="s">
        <v>557</v>
      </c>
      <c r="B91" s="180"/>
      <c r="C91" s="83">
        <f>'2020-21'!AS30</f>
        <v>0</v>
      </c>
      <c r="D91" s="107">
        <f t="shared" si="265"/>
        <v>0</v>
      </c>
      <c r="E91" s="304"/>
      <c r="F91" s="287"/>
      <c r="G91" s="288" t="e">
        <f t="shared" si="211"/>
        <v>#DIV/0!</v>
      </c>
      <c r="H91" s="289"/>
      <c r="I91" s="290" t="e">
        <f t="shared" si="212"/>
        <v>#DIV/0!</v>
      </c>
      <c r="J91" s="287"/>
      <c r="K91" s="288" t="e">
        <f t="shared" si="213"/>
        <v>#DIV/0!</v>
      </c>
      <c r="L91" s="289"/>
      <c r="M91" s="290" t="e">
        <f t="shared" si="214"/>
        <v>#DIV/0!</v>
      </c>
      <c r="N91" s="287"/>
      <c r="O91" s="288" t="e">
        <f t="shared" si="215"/>
        <v>#DIV/0!</v>
      </c>
      <c r="P91" s="289"/>
      <c r="Q91" s="290" t="e">
        <f t="shared" si="216"/>
        <v>#DIV/0!</v>
      </c>
      <c r="R91" s="287"/>
      <c r="S91" s="313" t="e">
        <f t="shared" si="217"/>
        <v>#DIV/0!</v>
      </c>
      <c r="T91" s="287"/>
      <c r="U91" s="313" t="e">
        <f t="shared" si="115"/>
        <v>#DIV/0!</v>
      </c>
      <c r="V91" s="323" t="e">
        <f t="shared" si="116"/>
        <v>#DIV/0!</v>
      </c>
      <c r="W91" s="81">
        <f t="shared" si="266"/>
        <v>0</v>
      </c>
      <c r="X91" s="81"/>
      <c r="Y91" s="84">
        <f t="shared" si="267"/>
        <v>0</v>
      </c>
      <c r="Z91" s="85"/>
      <c r="AA91" s="48">
        <f t="shared" si="268"/>
        <v>0</v>
      </c>
      <c r="AB91" s="81"/>
      <c r="AC91" s="84">
        <f t="shared" si="269"/>
        <v>0</v>
      </c>
      <c r="AD91" s="85"/>
      <c r="AE91" s="84">
        <f t="shared" si="270"/>
        <v>0</v>
      </c>
      <c r="AF91" s="81"/>
      <c r="AG91" s="84">
        <f t="shared" si="271"/>
        <v>0</v>
      </c>
      <c r="AH91" s="85"/>
      <c r="AI91" s="84">
        <f t="shared" si="272"/>
        <v>0</v>
      </c>
      <c r="AJ91" s="85"/>
      <c r="AK91" s="84">
        <f t="shared" si="273"/>
        <v>0</v>
      </c>
      <c r="AL91" s="85"/>
      <c r="AM91" s="84">
        <f t="shared" si="274"/>
        <v>0</v>
      </c>
      <c r="AN91" s="85"/>
      <c r="AO91" s="84">
        <f t="shared" si="275"/>
        <v>0</v>
      </c>
      <c r="AP91" s="85"/>
      <c r="AQ91" s="84">
        <f t="shared" si="276"/>
        <v>0</v>
      </c>
      <c r="AR91" s="85"/>
      <c r="AS91" s="84">
        <f t="shared" si="277"/>
        <v>0</v>
      </c>
      <c r="AT91" s="81"/>
      <c r="AU91" s="214">
        <f t="shared" si="185"/>
        <v>0</v>
      </c>
    </row>
    <row r="92" spans="1:47" x14ac:dyDescent="0.35">
      <c r="A92" s="159" t="s">
        <v>533</v>
      </c>
      <c r="B92" s="180"/>
      <c r="C92" s="83">
        <f>'2020-21'!AS32</f>
        <v>23737</v>
      </c>
      <c r="D92" s="107">
        <f t="shared" si="265"/>
        <v>23737</v>
      </c>
      <c r="E92" s="304">
        <v>23737</v>
      </c>
      <c r="F92" s="287">
        <f>2790-1953.41</f>
        <v>836.58999999999992</v>
      </c>
      <c r="G92" s="288">
        <f t="shared" si="211"/>
        <v>3.5244133631040148E-2</v>
      </c>
      <c r="H92" s="289">
        <f>3204.33-1837.35</f>
        <v>1366.98</v>
      </c>
      <c r="I92" s="290">
        <f t="shared" si="212"/>
        <v>5.7588574798837257E-2</v>
      </c>
      <c r="J92" s="287">
        <f>6143.12-1413.6</f>
        <v>4729.5200000000004</v>
      </c>
      <c r="K92" s="288">
        <f t="shared" si="213"/>
        <v>0.19924674558705821</v>
      </c>
      <c r="L92" s="289">
        <f>6359.72-1860.32</f>
        <v>4499.4000000000005</v>
      </c>
      <c r="M92" s="290">
        <f t="shared" si="214"/>
        <v>0.18955217592787632</v>
      </c>
      <c r="N92" s="287">
        <f>3884.41-251.49</f>
        <v>3632.92</v>
      </c>
      <c r="O92" s="288">
        <f t="shared" si="215"/>
        <v>0.15304882672620804</v>
      </c>
      <c r="P92" s="289">
        <v>8670.84</v>
      </c>
      <c r="Q92" s="290">
        <f t="shared" si="216"/>
        <v>0.36528794708682649</v>
      </c>
      <c r="R92" s="287"/>
      <c r="S92" s="313">
        <f t="shared" si="217"/>
        <v>0</v>
      </c>
      <c r="T92" s="287"/>
      <c r="U92" s="313">
        <f t="shared" si="115"/>
        <v>0</v>
      </c>
      <c r="V92" s="323">
        <f t="shared" si="116"/>
        <v>0.99996840375784657</v>
      </c>
      <c r="W92" s="195">
        <v>4416</v>
      </c>
      <c r="X92" s="195">
        <v>4416.3599999999997</v>
      </c>
      <c r="Y92" s="230">
        <v>9725</v>
      </c>
      <c r="Z92" s="231">
        <v>9724.5300000000007</v>
      </c>
      <c r="AA92" s="342">
        <v>7516.05</v>
      </c>
      <c r="AB92" s="195">
        <v>7516.05</v>
      </c>
      <c r="AC92" s="230">
        <v>1756</v>
      </c>
      <c r="AD92" s="231">
        <v>1756.49</v>
      </c>
      <c r="AE92" s="84">
        <v>0</v>
      </c>
      <c r="AF92" s="81"/>
      <c r="AG92" s="230">
        <f t="shared" si="271"/>
        <v>323.94999999999982</v>
      </c>
      <c r="AH92" s="231">
        <v>324</v>
      </c>
      <c r="AI92" s="84">
        <f t="shared" si="272"/>
        <v>0</v>
      </c>
      <c r="AJ92" s="85"/>
      <c r="AK92" s="84">
        <f t="shared" si="273"/>
        <v>0</v>
      </c>
      <c r="AL92" s="85"/>
      <c r="AM92" s="84">
        <f t="shared" si="274"/>
        <v>0</v>
      </c>
      <c r="AN92" s="85"/>
      <c r="AO92" s="84">
        <f t="shared" si="275"/>
        <v>0</v>
      </c>
      <c r="AP92" s="85"/>
      <c r="AQ92" s="84">
        <f t="shared" si="276"/>
        <v>0</v>
      </c>
      <c r="AR92" s="85"/>
      <c r="AS92" s="84">
        <f t="shared" si="277"/>
        <v>0</v>
      </c>
      <c r="AT92" s="81"/>
      <c r="AU92" s="214">
        <f t="shared" si="185"/>
        <v>0</v>
      </c>
    </row>
    <row r="93" spans="1:47" hidden="1" x14ac:dyDescent="0.35">
      <c r="A93" s="159" t="s">
        <v>437</v>
      </c>
      <c r="B93" s="180"/>
      <c r="C93" s="83">
        <f>'2020-21'!AS34</f>
        <v>0</v>
      </c>
      <c r="D93" s="107">
        <f t="shared" si="265"/>
        <v>0</v>
      </c>
      <c r="E93" s="304"/>
      <c r="F93" s="287"/>
      <c r="G93" s="288" t="e">
        <f t="shared" si="211"/>
        <v>#DIV/0!</v>
      </c>
      <c r="H93" s="289"/>
      <c r="I93" s="290" t="e">
        <f t="shared" si="212"/>
        <v>#DIV/0!</v>
      </c>
      <c r="J93" s="287"/>
      <c r="K93" s="288" t="e">
        <f t="shared" si="213"/>
        <v>#DIV/0!</v>
      </c>
      <c r="L93" s="289"/>
      <c r="M93" s="290" t="e">
        <f t="shared" si="214"/>
        <v>#DIV/0!</v>
      </c>
      <c r="N93" s="287"/>
      <c r="O93" s="288" t="e">
        <f t="shared" si="215"/>
        <v>#DIV/0!</v>
      </c>
      <c r="P93" s="289"/>
      <c r="Q93" s="290" t="e">
        <f t="shared" si="216"/>
        <v>#DIV/0!</v>
      </c>
      <c r="R93" s="287"/>
      <c r="S93" s="313" t="e">
        <f t="shared" si="217"/>
        <v>#DIV/0!</v>
      </c>
      <c r="T93" s="287"/>
      <c r="U93" s="313" t="e">
        <f t="shared" si="115"/>
        <v>#DIV/0!</v>
      </c>
      <c r="V93" s="323" t="e">
        <f t="shared" si="116"/>
        <v>#DIV/0!</v>
      </c>
      <c r="W93" s="81">
        <f t="shared" si="266"/>
        <v>0</v>
      </c>
      <c r="X93" s="81"/>
      <c r="Y93" s="84">
        <f t="shared" si="267"/>
        <v>0</v>
      </c>
      <c r="Z93" s="85"/>
      <c r="AA93" s="48">
        <f t="shared" si="268"/>
        <v>0</v>
      </c>
      <c r="AB93" s="81"/>
      <c r="AC93" s="84">
        <f t="shared" si="269"/>
        <v>0</v>
      </c>
      <c r="AD93" s="85"/>
      <c r="AE93" s="84">
        <f t="shared" si="270"/>
        <v>0</v>
      </c>
      <c r="AF93" s="81"/>
      <c r="AG93" s="84">
        <f t="shared" si="271"/>
        <v>0</v>
      </c>
      <c r="AH93" s="85"/>
      <c r="AI93" s="84">
        <f t="shared" si="272"/>
        <v>0</v>
      </c>
      <c r="AJ93" s="85"/>
      <c r="AK93" s="84">
        <f t="shared" si="273"/>
        <v>0</v>
      </c>
      <c r="AL93" s="85"/>
      <c r="AM93" s="84">
        <f t="shared" si="274"/>
        <v>0</v>
      </c>
      <c r="AN93" s="85"/>
      <c r="AO93" s="84">
        <f t="shared" si="275"/>
        <v>0</v>
      </c>
      <c r="AP93" s="85"/>
      <c r="AQ93" s="84">
        <f t="shared" si="276"/>
        <v>0</v>
      </c>
      <c r="AR93" s="85"/>
      <c r="AS93" s="84">
        <f t="shared" si="277"/>
        <v>0</v>
      </c>
      <c r="AT93" s="81"/>
      <c r="AU93" s="214">
        <f t="shared" si="185"/>
        <v>0</v>
      </c>
    </row>
    <row r="94" spans="1:47" x14ac:dyDescent="0.35">
      <c r="A94" s="149" t="s">
        <v>472</v>
      </c>
      <c r="B94" s="180"/>
      <c r="C94" s="83">
        <f>'2020-21'!AS35-3119</f>
        <v>46081</v>
      </c>
      <c r="D94" s="107">
        <f t="shared" si="265"/>
        <v>46081</v>
      </c>
      <c r="E94" s="304">
        <f>49200</f>
        <v>49200</v>
      </c>
      <c r="F94" s="287">
        <f>28840.11+900-'2020-21'!F35</f>
        <v>168</v>
      </c>
      <c r="G94" s="288">
        <f t="shared" si="211"/>
        <v>3.4146341463414634E-3</v>
      </c>
      <c r="H94" s="289">
        <f>10398.73-'2020-21'!H35</f>
        <v>1533.0699999999997</v>
      </c>
      <c r="I94" s="290">
        <f t="shared" si="212"/>
        <v>3.1159959349593491E-2</v>
      </c>
      <c r="J94" s="287">
        <f>26345.86-'2020-21'!J35</f>
        <v>20303.580000000002</v>
      </c>
      <c r="K94" s="288">
        <f t="shared" si="213"/>
        <v>0.41267439024390246</v>
      </c>
      <c r="L94" s="289">
        <f>22701.72-'2020-21'!L35</f>
        <v>17347.990000000002</v>
      </c>
      <c r="M94" s="290">
        <f t="shared" si="214"/>
        <v>0.35260142276422768</v>
      </c>
      <c r="N94" s="287">
        <f>9152.39-'2020-21'!N35</f>
        <v>4192.3499999999995</v>
      </c>
      <c r="O94" s="288">
        <f t="shared" si="215"/>
        <v>8.5210365853658529E-2</v>
      </c>
      <c r="P94" s="289"/>
      <c r="Q94" s="290">
        <f t="shared" si="216"/>
        <v>0</v>
      </c>
      <c r="R94" s="287">
        <v>5655.43</v>
      </c>
      <c r="S94" s="313">
        <f t="shared" si="217"/>
        <v>0.11494776422764229</v>
      </c>
      <c r="T94" s="287"/>
      <c r="U94" s="313">
        <f t="shared" si="115"/>
        <v>0</v>
      </c>
      <c r="V94" s="323">
        <f t="shared" si="116"/>
        <v>1.0000085365853659</v>
      </c>
      <c r="W94" s="195">
        <v>2295</v>
      </c>
      <c r="X94" s="195">
        <v>2295.19</v>
      </c>
      <c r="Y94" s="230">
        <v>38353</v>
      </c>
      <c r="Z94" s="231">
        <v>38352.74</v>
      </c>
      <c r="AA94" s="342">
        <v>2897.06</v>
      </c>
      <c r="AB94" s="195">
        <v>2897.06</v>
      </c>
      <c r="AC94" s="84">
        <v>0</v>
      </c>
      <c r="AD94" s="85"/>
      <c r="AE94" s="84"/>
      <c r="AF94" s="81"/>
      <c r="AG94" s="84">
        <v>0</v>
      </c>
      <c r="AH94" s="85"/>
      <c r="AI94" s="84">
        <v>0</v>
      </c>
      <c r="AJ94" s="85"/>
      <c r="AK94" s="84">
        <v>0</v>
      </c>
      <c r="AL94" s="85"/>
      <c r="AM94" s="84">
        <v>0</v>
      </c>
      <c r="AN94" s="85"/>
      <c r="AO94" s="84">
        <v>0</v>
      </c>
      <c r="AP94" s="85"/>
      <c r="AQ94" s="230">
        <v>5655.43</v>
      </c>
      <c r="AR94" s="231">
        <v>5655</v>
      </c>
      <c r="AS94" s="230">
        <v>-3119.83</v>
      </c>
      <c r="AT94" s="195">
        <v>-3119.83</v>
      </c>
      <c r="AU94" s="214">
        <f t="shared" si="185"/>
        <v>0.33999999999969077</v>
      </c>
    </row>
    <row r="95" spans="1:47" hidden="1" x14ac:dyDescent="0.35">
      <c r="A95" s="66" t="s">
        <v>532</v>
      </c>
      <c r="B95" s="170"/>
      <c r="C95" s="83">
        <f>'2020-21'!AS36</f>
        <v>0</v>
      </c>
      <c r="D95" s="107">
        <f t="shared" si="265"/>
        <v>0</v>
      </c>
      <c r="E95" s="304"/>
      <c r="F95" s="287"/>
      <c r="G95" s="288" t="e">
        <f t="shared" si="211"/>
        <v>#DIV/0!</v>
      </c>
      <c r="H95" s="289"/>
      <c r="I95" s="290" t="e">
        <f t="shared" si="212"/>
        <v>#DIV/0!</v>
      </c>
      <c r="J95" s="287"/>
      <c r="K95" s="288" t="e">
        <f t="shared" si="213"/>
        <v>#DIV/0!</v>
      </c>
      <c r="L95" s="289"/>
      <c r="M95" s="290" t="e">
        <f t="shared" si="214"/>
        <v>#DIV/0!</v>
      </c>
      <c r="N95" s="287"/>
      <c r="O95" s="288" t="e">
        <f t="shared" si="215"/>
        <v>#DIV/0!</v>
      </c>
      <c r="P95" s="289"/>
      <c r="Q95" s="290" t="e">
        <f t="shared" si="216"/>
        <v>#DIV/0!</v>
      </c>
      <c r="R95" s="287">
        <v>1156</v>
      </c>
      <c r="S95" s="313" t="e">
        <f t="shared" si="217"/>
        <v>#DIV/0!</v>
      </c>
      <c r="T95" s="287"/>
      <c r="U95" s="313" t="e">
        <f t="shared" si="115"/>
        <v>#DIV/0!</v>
      </c>
      <c r="V95" s="323" t="e">
        <f t="shared" si="116"/>
        <v>#DIV/0!</v>
      </c>
      <c r="W95" s="81">
        <f t="shared" si="266"/>
        <v>0</v>
      </c>
      <c r="X95" s="81"/>
      <c r="Y95" s="84">
        <f t="shared" si="267"/>
        <v>0</v>
      </c>
      <c r="Z95" s="85"/>
      <c r="AA95" s="48">
        <f t="shared" si="268"/>
        <v>0</v>
      </c>
      <c r="AB95" s="81"/>
      <c r="AC95" s="84">
        <f t="shared" si="269"/>
        <v>0</v>
      </c>
      <c r="AD95" s="85"/>
      <c r="AE95" s="84">
        <f t="shared" si="270"/>
        <v>0</v>
      </c>
      <c r="AF95" s="81"/>
      <c r="AG95" s="84">
        <f t="shared" si="271"/>
        <v>0</v>
      </c>
      <c r="AH95" s="85"/>
      <c r="AI95" s="84">
        <f t="shared" si="272"/>
        <v>0</v>
      </c>
      <c r="AJ95" s="85"/>
      <c r="AK95" s="84">
        <f t="shared" si="273"/>
        <v>0</v>
      </c>
      <c r="AL95" s="85"/>
      <c r="AM95" s="84">
        <f t="shared" si="274"/>
        <v>0</v>
      </c>
      <c r="AN95" s="85"/>
      <c r="AO95" s="84">
        <f t="shared" si="275"/>
        <v>0</v>
      </c>
      <c r="AP95" s="85"/>
      <c r="AQ95" s="84">
        <f t="shared" si="276"/>
        <v>0</v>
      </c>
      <c r="AR95" s="85"/>
      <c r="AS95" s="84">
        <f t="shared" si="277"/>
        <v>0</v>
      </c>
      <c r="AT95" s="81"/>
      <c r="AU95" s="214">
        <f t="shared" si="185"/>
        <v>0</v>
      </c>
    </row>
    <row r="96" spans="1:47" x14ac:dyDescent="0.35">
      <c r="A96" s="159" t="s">
        <v>431</v>
      </c>
      <c r="B96" s="180"/>
      <c r="C96" s="83">
        <f>'2020-21'!AS37</f>
        <v>5962.6699999999983</v>
      </c>
      <c r="D96" s="107">
        <f t="shared" si="265"/>
        <v>5962.6699999999983</v>
      </c>
      <c r="E96" s="304">
        <f>D96</f>
        <v>5962.6699999999983</v>
      </c>
      <c r="F96" s="287">
        <v>0</v>
      </c>
      <c r="G96" s="288">
        <f t="shared" si="211"/>
        <v>0</v>
      </c>
      <c r="H96" s="289">
        <v>0</v>
      </c>
      <c r="I96" s="290">
        <f t="shared" si="212"/>
        <v>0</v>
      </c>
      <c r="J96" s="287">
        <v>0</v>
      </c>
      <c r="K96" s="288">
        <f t="shared" si="213"/>
        <v>0</v>
      </c>
      <c r="L96" s="289">
        <f>7263.46-6401.03</f>
        <v>862.43000000000029</v>
      </c>
      <c r="M96" s="290">
        <f t="shared" si="214"/>
        <v>0.14463822415126118</v>
      </c>
      <c r="N96" s="287">
        <v>0</v>
      </c>
      <c r="O96" s="288">
        <f t="shared" si="215"/>
        <v>0</v>
      </c>
      <c r="P96" s="289">
        <v>5099.6099999999997</v>
      </c>
      <c r="Q96" s="290">
        <f t="shared" si="216"/>
        <v>0.85525611848383376</v>
      </c>
      <c r="R96" s="287"/>
      <c r="S96" s="313">
        <f t="shared" si="217"/>
        <v>0</v>
      </c>
      <c r="T96" s="287"/>
      <c r="U96" s="313">
        <f t="shared" si="115"/>
        <v>0</v>
      </c>
      <c r="V96" s="323">
        <f t="shared" si="116"/>
        <v>0.99989434263509491</v>
      </c>
      <c r="W96" s="195">
        <f t="shared" si="266"/>
        <v>5962.6699999999983</v>
      </c>
      <c r="X96" s="195">
        <v>5962.04</v>
      </c>
      <c r="Y96" s="84">
        <f t="shared" si="267"/>
        <v>0</v>
      </c>
      <c r="Z96" s="85"/>
      <c r="AA96" s="48">
        <f t="shared" si="268"/>
        <v>0</v>
      </c>
      <c r="AB96" s="81"/>
      <c r="AC96" s="84">
        <f t="shared" si="269"/>
        <v>0</v>
      </c>
      <c r="AD96" s="85"/>
      <c r="AE96" s="84">
        <f t="shared" si="270"/>
        <v>0</v>
      </c>
      <c r="AF96" s="81"/>
      <c r="AG96" s="84">
        <f t="shared" si="271"/>
        <v>0</v>
      </c>
      <c r="AH96" s="85"/>
      <c r="AI96" s="84">
        <f t="shared" si="272"/>
        <v>0</v>
      </c>
      <c r="AJ96" s="85"/>
      <c r="AK96" s="84">
        <f t="shared" si="273"/>
        <v>0</v>
      </c>
      <c r="AL96" s="85"/>
      <c r="AM96" s="84">
        <f t="shared" si="274"/>
        <v>0</v>
      </c>
      <c r="AN96" s="85"/>
      <c r="AO96" s="84">
        <f t="shared" si="275"/>
        <v>0</v>
      </c>
      <c r="AP96" s="85"/>
      <c r="AQ96" s="84">
        <f t="shared" si="276"/>
        <v>0</v>
      </c>
      <c r="AR96" s="85"/>
      <c r="AS96" s="84">
        <f t="shared" si="277"/>
        <v>0</v>
      </c>
      <c r="AT96" s="81"/>
      <c r="AU96" s="214">
        <f t="shared" si="185"/>
        <v>0</v>
      </c>
    </row>
    <row r="97" spans="1:47" hidden="1" x14ac:dyDescent="0.35">
      <c r="A97" s="149" t="s">
        <v>435</v>
      </c>
      <c r="B97" s="180"/>
      <c r="C97" s="83">
        <f>'2020-21'!AS38</f>
        <v>0</v>
      </c>
      <c r="D97" s="107">
        <f t="shared" si="265"/>
        <v>0</v>
      </c>
      <c r="E97" s="304"/>
      <c r="F97" s="287"/>
      <c r="G97" s="288" t="e">
        <f t="shared" si="211"/>
        <v>#DIV/0!</v>
      </c>
      <c r="H97" s="289"/>
      <c r="I97" s="290" t="e">
        <f t="shared" si="212"/>
        <v>#DIV/0!</v>
      </c>
      <c r="J97" s="287"/>
      <c r="K97" s="288" t="e">
        <f t="shared" si="213"/>
        <v>#DIV/0!</v>
      </c>
      <c r="L97" s="289"/>
      <c r="M97" s="290" t="e">
        <f t="shared" si="214"/>
        <v>#DIV/0!</v>
      </c>
      <c r="N97" s="287"/>
      <c r="O97" s="288" t="e">
        <f t="shared" si="215"/>
        <v>#DIV/0!</v>
      </c>
      <c r="P97" s="289"/>
      <c r="Q97" s="290" t="e">
        <f t="shared" si="216"/>
        <v>#DIV/0!</v>
      </c>
      <c r="R97" s="287"/>
      <c r="S97" s="313" t="e">
        <f t="shared" si="217"/>
        <v>#DIV/0!</v>
      </c>
      <c r="T97" s="287"/>
      <c r="U97" s="313" t="e">
        <f t="shared" si="115"/>
        <v>#DIV/0!</v>
      </c>
      <c r="V97" s="323" t="e">
        <f t="shared" si="116"/>
        <v>#DIV/0!</v>
      </c>
      <c r="W97" s="81">
        <f t="shared" si="266"/>
        <v>0</v>
      </c>
      <c r="X97" s="81"/>
      <c r="Y97" s="84">
        <f t="shared" si="267"/>
        <v>0</v>
      </c>
      <c r="Z97" s="85"/>
      <c r="AA97" s="48">
        <f t="shared" si="268"/>
        <v>0</v>
      </c>
      <c r="AB97" s="81"/>
      <c r="AC97" s="84">
        <f t="shared" si="269"/>
        <v>0</v>
      </c>
      <c r="AD97" s="85"/>
      <c r="AE97" s="84">
        <f t="shared" si="270"/>
        <v>0</v>
      </c>
      <c r="AF97" s="81"/>
      <c r="AG97" s="84">
        <f t="shared" si="271"/>
        <v>0</v>
      </c>
      <c r="AH97" s="85"/>
      <c r="AI97" s="84">
        <f t="shared" si="272"/>
        <v>0</v>
      </c>
      <c r="AJ97" s="85"/>
      <c r="AK97" s="84">
        <f t="shared" si="273"/>
        <v>0</v>
      </c>
      <c r="AL97" s="85"/>
      <c r="AM97" s="84">
        <f t="shared" si="274"/>
        <v>0</v>
      </c>
      <c r="AN97" s="85"/>
      <c r="AO97" s="84">
        <f t="shared" si="275"/>
        <v>0</v>
      </c>
      <c r="AP97" s="85"/>
      <c r="AQ97" s="84">
        <f t="shared" si="276"/>
        <v>0</v>
      </c>
      <c r="AR97" s="85"/>
      <c r="AS97" s="84">
        <f t="shared" si="277"/>
        <v>0</v>
      </c>
      <c r="AT97" s="81"/>
      <c r="AU97" s="214">
        <f t="shared" si="185"/>
        <v>0</v>
      </c>
    </row>
    <row r="98" spans="1:47" x14ac:dyDescent="0.35">
      <c r="A98" s="149" t="s">
        <v>436</v>
      </c>
      <c r="B98" s="180"/>
      <c r="C98" s="83">
        <f>'2020-21'!AS39+300.39</f>
        <v>21247.689999999988</v>
      </c>
      <c r="D98" s="107">
        <f>C98-11720.04</f>
        <v>9527.6499999999869</v>
      </c>
      <c r="E98" s="304">
        <f>D98</f>
        <v>9527.6499999999869</v>
      </c>
      <c r="F98" s="287">
        <f>1125+37272.35+3789.69-'2020-21'!F39</f>
        <v>0</v>
      </c>
      <c r="G98" s="288">
        <f t="shared" si="211"/>
        <v>0</v>
      </c>
      <c r="H98" s="289">
        <f>15386.94+3582.6+2246.22+8396-'2020-21'!H39</f>
        <v>10642.220000000001</v>
      </c>
      <c r="I98" s="290">
        <f t="shared" si="212"/>
        <v>1.1169826767356079</v>
      </c>
      <c r="J98" s="287">
        <f>23156.77+868-'2020-21'!J39</f>
        <v>0</v>
      </c>
      <c r="K98" s="288">
        <f t="shared" si="213"/>
        <v>0</v>
      </c>
      <c r="L98" s="289">
        <f>32120.31+3341.42-'2020-21'!L39</f>
        <v>3638.7700000000041</v>
      </c>
      <c r="M98" s="290">
        <f t="shared" si="214"/>
        <v>0.38191684203345094</v>
      </c>
      <c r="N98" s="287">
        <f>14781.65-'2020-21'!N39</f>
        <v>2992.4300000000003</v>
      </c>
      <c r="O98" s="288">
        <f t="shared" si="215"/>
        <v>0.31407849784574415</v>
      </c>
      <c r="P98" s="289">
        <f>27134.83+3536.67-'2020-21'!P39</f>
        <v>3674.25</v>
      </c>
      <c r="Q98" s="290">
        <f t="shared" si="216"/>
        <v>0.38564074037144574</v>
      </c>
      <c r="R98" s="287"/>
      <c r="S98" s="313">
        <f t="shared" si="217"/>
        <v>0</v>
      </c>
      <c r="T98" s="287"/>
      <c r="U98" s="313">
        <f t="shared" si="115"/>
        <v>0</v>
      </c>
      <c r="V98" s="323">
        <f t="shared" si="116"/>
        <v>2.1986187569862485</v>
      </c>
      <c r="W98" s="195">
        <v>5353</v>
      </c>
      <c r="X98" s="195">
        <v>5353.04</v>
      </c>
      <c r="Y98" s="84">
        <v>0</v>
      </c>
      <c r="Z98" s="85"/>
      <c r="AA98" s="48">
        <v>0</v>
      </c>
      <c r="AB98" s="81"/>
      <c r="AC98" s="230">
        <v>4175</v>
      </c>
      <c r="AD98" s="231">
        <f>300.39+15594.63-11720.04</f>
        <v>4174.9799999999977</v>
      </c>
      <c r="AE98" s="84">
        <f t="shared" si="270"/>
        <v>-0.35000000001309672</v>
      </c>
      <c r="AF98" s="81"/>
      <c r="AG98" s="84">
        <f t="shared" si="271"/>
        <v>0</v>
      </c>
      <c r="AH98" s="85"/>
      <c r="AI98" s="84">
        <f t="shared" si="272"/>
        <v>0</v>
      </c>
      <c r="AJ98" s="85"/>
      <c r="AK98" s="84">
        <f t="shared" si="273"/>
        <v>0</v>
      </c>
      <c r="AL98" s="85"/>
      <c r="AM98" s="84">
        <f t="shared" si="274"/>
        <v>0</v>
      </c>
      <c r="AN98" s="85"/>
      <c r="AO98" s="84">
        <f t="shared" si="275"/>
        <v>0</v>
      </c>
      <c r="AP98" s="85"/>
      <c r="AQ98" s="84">
        <f t="shared" si="276"/>
        <v>0</v>
      </c>
      <c r="AR98" s="85"/>
      <c r="AS98" s="84">
        <f t="shared" si="277"/>
        <v>0</v>
      </c>
      <c r="AT98" s="81"/>
      <c r="AU98" s="214">
        <f t="shared" ref="AU98:AU139" si="278">D98-W98-Y98-AA98-AC98-AE98-AG98-AI98-AK98-AM98-AO98-AQ98-AS98</f>
        <v>0</v>
      </c>
    </row>
    <row r="99" spans="1:47" hidden="1" x14ac:dyDescent="0.35">
      <c r="A99" s="151" t="s">
        <v>470</v>
      </c>
      <c r="B99" s="180"/>
      <c r="C99" s="83">
        <f>'2020-21'!AS40</f>
        <v>0</v>
      </c>
      <c r="D99" s="107">
        <f t="shared" si="265"/>
        <v>0</v>
      </c>
      <c r="E99" s="304"/>
      <c r="F99" s="287"/>
      <c r="G99" s="288" t="e">
        <f t="shared" si="211"/>
        <v>#DIV/0!</v>
      </c>
      <c r="H99" s="289"/>
      <c r="I99" s="290" t="e">
        <f t="shared" si="212"/>
        <v>#DIV/0!</v>
      </c>
      <c r="J99" s="287"/>
      <c r="K99" s="288" t="e">
        <f t="shared" si="213"/>
        <v>#DIV/0!</v>
      </c>
      <c r="L99" s="289"/>
      <c r="M99" s="290" t="e">
        <f t="shared" si="214"/>
        <v>#DIV/0!</v>
      </c>
      <c r="N99" s="287"/>
      <c r="O99" s="288" t="e">
        <f t="shared" si="215"/>
        <v>#DIV/0!</v>
      </c>
      <c r="P99" s="289"/>
      <c r="Q99" s="290" t="e">
        <f t="shared" si="216"/>
        <v>#DIV/0!</v>
      </c>
      <c r="R99" s="287"/>
      <c r="S99" s="313" t="e">
        <f t="shared" si="217"/>
        <v>#DIV/0!</v>
      </c>
      <c r="T99" s="287"/>
      <c r="U99" s="313" t="e">
        <f t="shared" si="115"/>
        <v>#DIV/0!</v>
      </c>
      <c r="V99" s="323" t="e">
        <f t="shared" si="116"/>
        <v>#DIV/0!</v>
      </c>
      <c r="W99" s="81">
        <f t="shared" si="266"/>
        <v>0</v>
      </c>
      <c r="X99" s="81"/>
      <c r="Y99" s="84">
        <f t="shared" si="267"/>
        <v>0</v>
      </c>
      <c r="Z99" s="85"/>
      <c r="AA99" s="48">
        <f t="shared" si="268"/>
        <v>0</v>
      </c>
      <c r="AB99" s="81"/>
      <c r="AC99" s="84">
        <f t="shared" si="269"/>
        <v>0</v>
      </c>
      <c r="AD99" s="85"/>
      <c r="AE99" s="84">
        <f t="shared" si="270"/>
        <v>0</v>
      </c>
      <c r="AF99" s="81"/>
      <c r="AG99" s="84">
        <f t="shared" si="271"/>
        <v>0</v>
      </c>
      <c r="AH99" s="85"/>
      <c r="AI99" s="84">
        <f t="shared" si="272"/>
        <v>0</v>
      </c>
      <c r="AJ99" s="85"/>
      <c r="AK99" s="84">
        <f t="shared" si="273"/>
        <v>0</v>
      </c>
      <c r="AL99" s="85"/>
      <c r="AM99" s="84">
        <f t="shared" si="274"/>
        <v>0</v>
      </c>
      <c r="AN99" s="85"/>
      <c r="AO99" s="84">
        <f t="shared" si="275"/>
        <v>0</v>
      </c>
      <c r="AP99" s="85"/>
      <c r="AQ99" s="84">
        <f t="shared" si="276"/>
        <v>0</v>
      </c>
      <c r="AR99" s="85"/>
      <c r="AS99" s="84">
        <f t="shared" si="277"/>
        <v>0</v>
      </c>
      <c r="AT99" s="81"/>
      <c r="AU99" s="214">
        <f t="shared" si="278"/>
        <v>0</v>
      </c>
    </row>
    <row r="100" spans="1:47" hidden="1" x14ac:dyDescent="0.35">
      <c r="A100" s="187" t="s">
        <v>469</v>
      </c>
      <c r="B100" s="180"/>
      <c r="C100" s="83">
        <f>'2020-21'!AS41</f>
        <v>0</v>
      </c>
      <c r="D100" s="107">
        <f t="shared" si="265"/>
        <v>0</v>
      </c>
      <c r="E100" s="304"/>
      <c r="F100" s="287"/>
      <c r="G100" s="288" t="e">
        <f t="shared" si="211"/>
        <v>#DIV/0!</v>
      </c>
      <c r="H100" s="289"/>
      <c r="I100" s="290" t="e">
        <f t="shared" si="212"/>
        <v>#DIV/0!</v>
      </c>
      <c r="J100" s="287"/>
      <c r="K100" s="288" t="e">
        <f t="shared" si="213"/>
        <v>#DIV/0!</v>
      </c>
      <c r="L100" s="289"/>
      <c r="M100" s="290" t="e">
        <f t="shared" si="214"/>
        <v>#DIV/0!</v>
      </c>
      <c r="N100" s="287"/>
      <c r="O100" s="288" t="e">
        <f t="shared" si="215"/>
        <v>#DIV/0!</v>
      </c>
      <c r="P100" s="289"/>
      <c r="Q100" s="290" t="e">
        <f t="shared" si="216"/>
        <v>#DIV/0!</v>
      </c>
      <c r="R100" s="287"/>
      <c r="S100" s="313" t="e">
        <f t="shared" si="217"/>
        <v>#DIV/0!</v>
      </c>
      <c r="T100" s="287"/>
      <c r="U100" s="313" t="e">
        <f t="shared" si="115"/>
        <v>#DIV/0!</v>
      </c>
      <c r="V100" s="323" t="e">
        <f t="shared" si="116"/>
        <v>#DIV/0!</v>
      </c>
      <c r="W100" s="81">
        <f t="shared" si="266"/>
        <v>0</v>
      </c>
      <c r="X100" s="81"/>
      <c r="Y100" s="84">
        <f t="shared" si="267"/>
        <v>0</v>
      </c>
      <c r="Z100" s="85"/>
      <c r="AA100" s="48">
        <f t="shared" si="268"/>
        <v>0</v>
      </c>
      <c r="AB100" s="81"/>
      <c r="AC100" s="84">
        <f t="shared" si="269"/>
        <v>0</v>
      </c>
      <c r="AD100" s="85"/>
      <c r="AE100" s="84">
        <f t="shared" si="270"/>
        <v>0</v>
      </c>
      <c r="AF100" s="81"/>
      <c r="AG100" s="84">
        <f t="shared" si="271"/>
        <v>0</v>
      </c>
      <c r="AH100" s="85"/>
      <c r="AI100" s="84">
        <f t="shared" si="272"/>
        <v>0</v>
      </c>
      <c r="AJ100" s="85"/>
      <c r="AK100" s="84">
        <f t="shared" si="273"/>
        <v>0</v>
      </c>
      <c r="AL100" s="85"/>
      <c r="AM100" s="84">
        <f t="shared" si="274"/>
        <v>0</v>
      </c>
      <c r="AN100" s="85"/>
      <c r="AO100" s="84">
        <f t="shared" si="275"/>
        <v>0</v>
      </c>
      <c r="AP100" s="85"/>
      <c r="AQ100" s="84">
        <f t="shared" si="276"/>
        <v>0</v>
      </c>
      <c r="AR100" s="85"/>
      <c r="AS100" s="84">
        <f t="shared" si="277"/>
        <v>0</v>
      </c>
      <c r="AT100" s="81"/>
      <c r="AU100" s="214">
        <f t="shared" si="278"/>
        <v>0</v>
      </c>
    </row>
    <row r="101" spans="1:47" x14ac:dyDescent="0.35">
      <c r="A101" s="159" t="s">
        <v>441</v>
      </c>
      <c r="B101" s="180"/>
      <c r="C101" s="83">
        <f>'2020-21'!AS42</f>
        <v>30889</v>
      </c>
      <c r="D101" s="107">
        <f t="shared" si="265"/>
        <v>30889</v>
      </c>
      <c r="E101" s="304">
        <v>30889</v>
      </c>
      <c r="F101" s="287"/>
      <c r="G101" s="288">
        <f t="shared" si="211"/>
        <v>0</v>
      </c>
      <c r="H101" s="289"/>
      <c r="I101" s="290">
        <f t="shared" si="212"/>
        <v>0</v>
      </c>
      <c r="J101" s="287"/>
      <c r="K101" s="288">
        <f t="shared" si="213"/>
        <v>0</v>
      </c>
      <c r="L101" s="289"/>
      <c r="M101" s="290">
        <f t="shared" si="214"/>
        <v>0</v>
      </c>
      <c r="N101" s="287"/>
      <c r="O101" s="288">
        <f t="shared" si="215"/>
        <v>0</v>
      </c>
      <c r="P101" s="289"/>
      <c r="Q101" s="290">
        <f t="shared" si="216"/>
        <v>0</v>
      </c>
      <c r="R101" s="287"/>
      <c r="S101" s="313">
        <f t="shared" si="217"/>
        <v>0</v>
      </c>
      <c r="T101" s="287"/>
      <c r="U101" s="313">
        <f t="shared" si="115"/>
        <v>0</v>
      </c>
      <c r="V101" s="323">
        <f t="shared" si="116"/>
        <v>0</v>
      </c>
      <c r="W101" s="340">
        <v>0</v>
      </c>
      <c r="X101" s="81"/>
      <c r="Y101" s="84">
        <v>0</v>
      </c>
      <c r="Z101" s="85"/>
      <c r="AA101" s="342">
        <v>15168</v>
      </c>
      <c r="AB101" s="195">
        <f>1499.49+5861.11+7807.11</f>
        <v>15167.71</v>
      </c>
      <c r="AC101" s="230">
        <v>15057</v>
      </c>
      <c r="AD101" s="231">
        <f>8691+6365.74</f>
        <v>15056.74</v>
      </c>
      <c r="AE101" s="230">
        <v>664</v>
      </c>
      <c r="AF101" s="195">
        <f>553.07+111.69</f>
        <v>664.76</v>
      </c>
      <c r="AG101" s="84">
        <f t="shared" si="271"/>
        <v>0</v>
      </c>
      <c r="AH101" s="85"/>
      <c r="AI101" s="84">
        <f t="shared" si="272"/>
        <v>0</v>
      </c>
      <c r="AJ101" s="85"/>
      <c r="AK101" s="84">
        <f t="shared" si="273"/>
        <v>0</v>
      </c>
      <c r="AL101" s="85"/>
      <c r="AM101" s="84">
        <f t="shared" si="274"/>
        <v>0</v>
      </c>
      <c r="AN101" s="85"/>
      <c r="AO101" s="84">
        <f t="shared" si="275"/>
        <v>0</v>
      </c>
      <c r="AP101" s="85"/>
      <c r="AQ101" s="84">
        <f t="shared" si="276"/>
        <v>0</v>
      </c>
      <c r="AR101" s="85"/>
      <c r="AS101" s="84">
        <f t="shared" si="277"/>
        <v>0</v>
      </c>
      <c r="AT101" s="81"/>
      <c r="AU101" s="214">
        <f t="shared" si="278"/>
        <v>0</v>
      </c>
    </row>
    <row r="102" spans="1:47" x14ac:dyDescent="0.35">
      <c r="A102" s="149" t="s">
        <v>444</v>
      </c>
      <c r="B102" s="180"/>
      <c r="C102" s="83">
        <v>41376</v>
      </c>
      <c r="D102" s="107">
        <v>41376</v>
      </c>
      <c r="E102" s="304">
        <v>41376</v>
      </c>
      <c r="F102" s="287">
        <f>21526.05+900-'2020-21'!F43</f>
        <v>0</v>
      </c>
      <c r="G102" s="288">
        <f t="shared" si="211"/>
        <v>0</v>
      </c>
      <c r="H102" s="289">
        <f>13992.88-13992.88</f>
        <v>0</v>
      </c>
      <c r="I102" s="290">
        <f t="shared" si="212"/>
        <v>0</v>
      </c>
      <c r="J102" s="287">
        <f>20605-20605</f>
        <v>0</v>
      </c>
      <c r="K102" s="288">
        <f t="shared" si="213"/>
        <v>0</v>
      </c>
      <c r="L102" s="289">
        <f>26105.24-'2020-21'!L43</f>
        <v>15300.920000000002</v>
      </c>
      <c r="M102" s="290">
        <f t="shared" si="214"/>
        <v>0.3698018174787317</v>
      </c>
      <c r="N102" s="287">
        <f>7603.21-'2020-21'!N43</f>
        <v>3996.28</v>
      </c>
      <c r="O102" s="288">
        <f t="shared" si="215"/>
        <v>9.6584493426140769E-2</v>
      </c>
      <c r="P102" s="289">
        <f>22602.28+3997.46-'2020-21'!P43</f>
        <v>21986.85</v>
      </c>
      <c r="Q102" s="290">
        <f t="shared" si="216"/>
        <v>0.53139138631090488</v>
      </c>
      <c r="R102" s="287">
        <v>7004.72</v>
      </c>
      <c r="S102" s="313">
        <f t="shared" si="217"/>
        <v>0.16929427687548337</v>
      </c>
      <c r="T102" s="287"/>
      <c r="U102" s="313">
        <f t="shared" si="115"/>
        <v>0</v>
      </c>
      <c r="V102" s="323">
        <f t="shared" si="116"/>
        <v>1.1670719740912607</v>
      </c>
      <c r="W102" s="195">
        <v>19057</v>
      </c>
      <c r="X102" s="195">
        <v>19057.060000000001</v>
      </c>
      <c r="Y102" s="230">
        <v>11812</v>
      </c>
      <c r="Z102" s="231">
        <v>11811.5</v>
      </c>
      <c r="AA102" s="48">
        <v>0</v>
      </c>
      <c r="AB102" s="81"/>
      <c r="AC102" s="230">
        <v>8630</v>
      </c>
      <c r="AD102" s="231">
        <f>8565.68 +64.55</f>
        <v>8630.23</v>
      </c>
      <c r="AE102" s="230">
        <f>1849.81+27.65</f>
        <v>1877.46</v>
      </c>
      <c r="AF102" s="195">
        <v>1877</v>
      </c>
      <c r="AG102" s="84">
        <f t="shared" si="271"/>
        <v>-0.46000000000003638</v>
      </c>
      <c r="AH102" s="85"/>
      <c r="AI102" s="84">
        <f t="shared" si="272"/>
        <v>0</v>
      </c>
      <c r="AJ102" s="85"/>
      <c r="AK102" s="84">
        <f t="shared" si="273"/>
        <v>0</v>
      </c>
      <c r="AL102" s="85"/>
      <c r="AM102" s="84">
        <f t="shared" si="274"/>
        <v>0</v>
      </c>
      <c r="AN102" s="85"/>
      <c r="AO102" s="84">
        <f t="shared" si="275"/>
        <v>0</v>
      </c>
      <c r="AP102" s="85"/>
      <c r="AQ102" s="84">
        <f t="shared" si="276"/>
        <v>0</v>
      </c>
      <c r="AR102" s="85"/>
      <c r="AS102" s="84">
        <f t="shared" si="277"/>
        <v>0</v>
      </c>
      <c r="AT102" s="81"/>
      <c r="AU102" s="214">
        <f t="shared" si="278"/>
        <v>0</v>
      </c>
    </row>
    <row r="103" spans="1:47" x14ac:dyDescent="0.35">
      <c r="A103" s="149" t="s">
        <v>568</v>
      </c>
      <c r="B103" s="170"/>
      <c r="C103" s="83">
        <v>4309.78</v>
      </c>
      <c r="D103" s="107">
        <f t="shared" si="265"/>
        <v>4309.78</v>
      </c>
      <c r="E103" s="304">
        <v>4310</v>
      </c>
      <c r="F103" s="287"/>
      <c r="G103" s="288">
        <f t="shared" si="211"/>
        <v>0</v>
      </c>
      <c r="H103" s="289"/>
      <c r="I103" s="290">
        <f t="shared" si="212"/>
        <v>0</v>
      </c>
      <c r="J103" s="287"/>
      <c r="K103" s="288">
        <f t="shared" si="213"/>
        <v>0</v>
      </c>
      <c r="L103" s="289"/>
      <c r="M103" s="290">
        <f t="shared" si="214"/>
        <v>0</v>
      </c>
      <c r="N103" s="287"/>
      <c r="O103" s="288">
        <f t="shared" si="215"/>
        <v>0</v>
      </c>
      <c r="P103" s="289"/>
      <c r="Q103" s="290">
        <f t="shared" si="216"/>
        <v>0</v>
      </c>
      <c r="R103" s="287">
        <v>4310</v>
      </c>
      <c r="S103" s="313">
        <f t="shared" si="217"/>
        <v>1</v>
      </c>
      <c r="T103" s="287"/>
      <c r="U103" s="313">
        <f t="shared" si="115"/>
        <v>0</v>
      </c>
      <c r="V103" s="323">
        <f t="shared" si="116"/>
        <v>1</v>
      </c>
      <c r="W103" s="81">
        <v>0</v>
      </c>
      <c r="X103" s="81"/>
      <c r="Y103" s="230">
        <f t="shared" si="267"/>
        <v>4309.78</v>
      </c>
      <c r="Z103" s="231">
        <v>4310</v>
      </c>
      <c r="AA103" s="48">
        <f t="shared" si="268"/>
        <v>0</v>
      </c>
      <c r="AB103" s="81"/>
      <c r="AC103" s="84">
        <f t="shared" si="269"/>
        <v>0</v>
      </c>
      <c r="AD103" s="85"/>
      <c r="AE103" s="84">
        <f t="shared" si="270"/>
        <v>0</v>
      </c>
      <c r="AF103" s="81"/>
      <c r="AG103" s="84">
        <f t="shared" si="271"/>
        <v>0</v>
      </c>
      <c r="AH103" s="85"/>
      <c r="AI103" s="84">
        <f t="shared" si="272"/>
        <v>0</v>
      </c>
      <c r="AJ103" s="85"/>
      <c r="AK103" s="84">
        <f t="shared" si="273"/>
        <v>0</v>
      </c>
      <c r="AL103" s="85"/>
      <c r="AM103" s="84">
        <f t="shared" si="274"/>
        <v>0</v>
      </c>
      <c r="AN103" s="85"/>
      <c r="AO103" s="84">
        <f t="shared" si="275"/>
        <v>0</v>
      </c>
      <c r="AP103" s="85"/>
      <c r="AQ103" s="84">
        <f t="shared" si="276"/>
        <v>0</v>
      </c>
      <c r="AR103" s="85"/>
      <c r="AS103" s="84">
        <f t="shared" si="277"/>
        <v>0</v>
      </c>
      <c r="AT103" s="81"/>
      <c r="AU103" s="214">
        <f t="shared" si="278"/>
        <v>0</v>
      </c>
    </row>
    <row r="104" spans="1:47" hidden="1" x14ac:dyDescent="0.35">
      <c r="A104" s="151" t="s">
        <v>471</v>
      </c>
      <c r="B104" s="180"/>
      <c r="C104" s="83">
        <f>'2020-21'!AS45</f>
        <v>0</v>
      </c>
      <c r="D104" s="107">
        <f t="shared" si="265"/>
        <v>0</v>
      </c>
      <c r="E104" s="304"/>
      <c r="F104" s="287"/>
      <c r="G104" s="288" t="e">
        <f t="shared" si="211"/>
        <v>#DIV/0!</v>
      </c>
      <c r="H104" s="289"/>
      <c r="I104" s="290" t="e">
        <f t="shared" si="212"/>
        <v>#DIV/0!</v>
      </c>
      <c r="J104" s="287"/>
      <c r="K104" s="288" t="e">
        <f t="shared" si="213"/>
        <v>#DIV/0!</v>
      </c>
      <c r="L104" s="289"/>
      <c r="M104" s="290" t="e">
        <f t="shared" si="214"/>
        <v>#DIV/0!</v>
      </c>
      <c r="N104" s="287"/>
      <c r="O104" s="288" t="e">
        <f t="shared" si="215"/>
        <v>#DIV/0!</v>
      </c>
      <c r="P104" s="289"/>
      <c r="Q104" s="290" t="e">
        <f t="shared" si="216"/>
        <v>#DIV/0!</v>
      </c>
      <c r="R104" s="287"/>
      <c r="S104" s="313" t="e">
        <f t="shared" si="217"/>
        <v>#DIV/0!</v>
      </c>
      <c r="T104" s="287"/>
      <c r="U104" s="313" t="e">
        <f t="shared" si="115"/>
        <v>#DIV/0!</v>
      </c>
      <c r="V104" s="323" t="e">
        <f t="shared" si="116"/>
        <v>#DIV/0!</v>
      </c>
      <c r="W104" s="81">
        <f t="shared" si="266"/>
        <v>0</v>
      </c>
      <c r="X104" s="81"/>
      <c r="Y104" s="84">
        <f t="shared" si="267"/>
        <v>0</v>
      </c>
      <c r="Z104" s="85"/>
      <c r="AA104" s="48">
        <f t="shared" si="268"/>
        <v>0</v>
      </c>
      <c r="AB104" s="81"/>
      <c r="AC104" s="84">
        <f t="shared" si="269"/>
        <v>0</v>
      </c>
      <c r="AD104" s="85"/>
      <c r="AE104" s="84">
        <f t="shared" si="270"/>
        <v>0</v>
      </c>
      <c r="AF104" s="81"/>
      <c r="AG104" s="84">
        <f t="shared" si="271"/>
        <v>0</v>
      </c>
      <c r="AH104" s="85"/>
      <c r="AI104" s="84">
        <f t="shared" si="272"/>
        <v>0</v>
      </c>
      <c r="AJ104" s="85"/>
      <c r="AK104" s="84">
        <f t="shared" si="273"/>
        <v>0</v>
      </c>
      <c r="AL104" s="85"/>
      <c r="AM104" s="84">
        <f t="shared" si="274"/>
        <v>0</v>
      </c>
      <c r="AN104" s="85"/>
      <c r="AO104" s="84">
        <f t="shared" si="275"/>
        <v>0</v>
      </c>
      <c r="AP104" s="85"/>
      <c r="AQ104" s="84">
        <f t="shared" si="276"/>
        <v>0</v>
      </c>
      <c r="AR104" s="85"/>
      <c r="AS104" s="84">
        <f t="shared" si="277"/>
        <v>0</v>
      </c>
      <c r="AT104" s="81"/>
      <c r="AU104" s="214">
        <f t="shared" si="278"/>
        <v>0</v>
      </c>
    </row>
    <row r="105" spans="1:47" hidden="1" x14ac:dyDescent="0.35">
      <c r="A105" s="151" t="s">
        <v>449</v>
      </c>
      <c r="B105" s="180"/>
      <c r="C105" s="83">
        <f>'2020-21'!AS46</f>
        <v>0</v>
      </c>
      <c r="D105" s="107">
        <f t="shared" si="265"/>
        <v>0</v>
      </c>
      <c r="E105" s="304"/>
      <c r="F105" s="287"/>
      <c r="G105" s="288" t="e">
        <f t="shared" si="211"/>
        <v>#DIV/0!</v>
      </c>
      <c r="H105" s="289"/>
      <c r="I105" s="290" t="e">
        <f t="shared" si="212"/>
        <v>#DIV/0!</v>
      </c>
      <c r="J105" s="287"/>
      <c r="K105" s="288" t="e">
        <f t="shared" si="213"/>
        <v>#DIV/0!</v>
      </c>
      <c r="L105" s="289"/>
      <c r="M105" s="290" t="e">
        <f t="shared" si="214"/>
        <v>#DIV/0!</v>
      </c>
      <c r="N105" s="287"/>
      <c r="O105" s="288" t="e">
        <f t="shared" si="215"/>
        <v>#DIV/0!</v>
      </c>
      <c r="P105" s="289"/>
      <c r="Q105" s="290" t="e">
        <f t="shared" si="216"/>
        <v>#DIV/0!</v>
      </c>
      <c r="R105" s="287"/>
      <c r="S105" s="313" t="e">
        <f t="shared" si="217"/>
        <v>#DIV/0!</v>
      </c>
      <c r="T105" s="287"/>
      <c r="U105" s="313" t="e">
        <f t="shared" si="115"/>
        <v>#DIV/0!</v>
      </c>
      <c r="V105" s="323" t="e">
        <f t="shared" si="116"/>
        <v>#DIV/0!</v>
      </c>
      <c r="W105" s="81">
        <f t="shared" si="266"/>
        <v>0</v>
      </c>
      <c r="X105" s="81"/>
      <c r="Y105" s="84">
        <f t="shared" si="267"/>
        <v>0</v>
      </c>
      <c r="Z105" s="85"/>
      <c r="AA105" s="48">
        <f t="shared" si="268"/>
        <v>0</v>
      </c>
      <c r="AB105" s="81"/>
      <c r="AC105" s="84">
        <f t="shared" si="269"/>
        <v>0</v>
      </c>
      <c r="AD105" s="85"/>
      <c r="AE105" s="84">
        <f t="shared" si="270"/>
        <v>0</v>
      </c>
      <c r="AF105" s="81"/>
      <c r="AG105" s="84">
        <f t="shared" si="271"/>
        <v>0</v>
      </c>
      <c r="AH105" s="85"/>
      <c r="AI105" s="84">
        <f t="shared" si="272"/>
        <v>0</v>
      </c>
      <c r="AJ105" s="85"/>
      <c r="AK105" s="84">
        <f t="shared" si="273"/>
        <v>0</v>
      </c>
      <c r="AL105" s="85"/>
      <c r="AM105" s="84">
        <f t="shared" si="274"/>
        <v>0</v>
      </c>
      <c r="AN105" s="85"/>
      <c r="AO105" s="84">
        <f t="shared" si="275"/>
        <v>0</v>
      </c>
      <c r="AP105" s="85"/>
      <c r="AQ105" s="84">
        <f t="shared" si="276"/>
        <v>0</v>
      </c>
      <c r="AR105" s="85"/>
      <c r="AS105" s="84">
        <f t="shared" si="277"/>
        <v>0</v>
      </c>
      <c r="AT105" s="81"/>
      <c r="AU105" s="214">
        <f t="shared" si="278"/>
        <v>0</v>
      </c>
    </row>
    <row r="106" spans="1:47" x14ac:dyDescent="0.35">
      <c r="A106" s="149" t="s">
        <v>330</v>
      </c>
      <c r="B106" s="180"/>
      <c r="C106" s="83">
        <f>'2020-21'!AS47+1690</f>
        <v>11730.75</v>
      </c>
      <c r="D106" s="107">
        <f>C106-2499</f>
        <v>9231.75</v>
      </c>
      <c r="E106" s="304">
        <f>D106</f>
        <v>9231.75</v>
      </c>
      <c r="F106" s="287">
        <v>0</v>
      </c>
      <c r="G106" s="288">
        <f t="shared" si="211"/>
        <v>0</v>
      </c>
      <c r="H106" s="289">
        <v>0</v>
      </c>
      <c r="I106" s="290">
        <f t="shared" si="212"/>
        <v>0</v>
      </c>
      <c r="J106" s="287">
        <v>0</v>
      </c>
      <c r="K106" s="288">
        <f t="shared" si="213"/>
        <v>0</v>
      </c>
      <c r="L106" s="289">
        <v>0</v>
      </c>
      <c r="M106" s="290">
        <f t="shared" si="214"/>
        <v>0</v>
      </c>
      <c r="N106" s="287">
        <v>0</v>
      </c>
      <c r="O106" s="288">
        <f t="shared" si="215"/>
        <v>0</v>
      </c>
      <c r="P106" s="289"/>
      <c r="Q106" s="290">
        <f t="shared" si="216"/>
        <v>0</v>
      </c>
      <c r="R106" s="287"/>
      <c r="S106" s="313">
        <f t="shared" si="217"/>
        <v>0</v>
      </c>
      <c r="T106" s="287"/>
      <c r="U106" s="313">
        <f t="shared" si="115"/>
        <v>0</v>
      </c>
      <c r="V106" s="323">
        <f t="shared" si="116"/>
        <v>0</v>
      </c>
      <c r="W106" s="81">
        <v>0</v>
      </c>
      <c r="X106" s="81"/>
      <c r="Y106" s="230">
        <v>7953.61</v>
      </c>
      <c r="Z106" s="231">
        <v>7953.61</v>
      </c>
      <c r="AA106" s="342">
        <v>4777</v>
      </c>
      <c r="AB106" s="195">
        <f>4776.54</f>
        <v>4776.54</v>
      </c>
      <c r="AC106" s="230">
        <v>-3498.41</v>
      </c>
      <c r="AD106" s="231">
        <v>-3498.41</v>
      </c>
      <c r="AE106" s="84">
        <v>0</v>
      </c>
      <c r="AF106" s="81"/>
      <c r="AG106" s="84"/>
      <c r="AH106" s="85"/>
      <c r="AI106" s="84">
        <f t="shared" si="272"/>
        <v>-0.4499999999998181</v>
      </c>
      <c r="AJ106" s="85"/>
      <c r="AK106" s="84">
        <f t="shared" si="273"/>
        <v>0</v>
      </c>
      <c r="AL106" s="85"/>
      <c r="AM106" s="84">
        <f t="shared" si="274"/>
        <v>0</v>
      </c>
      <c r="AN106" s="85"/>
      <c r="AO106" s="84">
        <f t="shared" si="275"/>
        <v>0</v>
      </c>
      <c r="AP106" s="85"/>
      <c r="AQ106" s="84">
        <f t="shared" si="276"/>
        <v>0</v>
      </c>
      <c r="AR106" s="85"/>
      <c r="AS106" s="84">
        <f t="shared" si="277"/>
        <v>0</v>
      </c>
      <c r="AT106" s="81"/>
      <c r="AU106" s="214">
        <f t="shared" si="278"/>
        <v>0</v>
      </c>
    </row>
    <row r="107" spans="1:47" hidden="1" x14ac:dyDescent="0.35">
      <c r="A107" s="151" t="s">
        <v>362</v>
      </c>
      <c r="B107" s="180"/>
      <c r="C107" s="83">
        <f>'2020-21'!AS48</f>
        <v>0</v>
      </c>
      <c r="D107" s="107">
        <f t="shared" si="265"/>
        <v>0</v>
      </c>
      <c r="E107" s="304"/>
      <c r="F107" s="287"/>
      <c r="G107" s="288" t="e">
        <f t="shared" si="211"/>
        <v>#DIV/0!</v>
      </c>
      <c r="H107" s="289"/>
      <c r="I107" s="290" t="e">
        <f t="shared" si="212"/>
        <v>#DIV/0!</v>
      </c>
      <c r="J107" s="287"/>
      <c r="K107" s="288" t="e">
        <f t="shared" si="213"/>
        <v>#DIV/0!</v>
      </c>
      <c r="L107" s="289"/>
      <c r="M107" s="290" t="e">
        <f t="shared" si="214"/>
        <v>#DIV/0!</v>
      </c>
      <c r="N107" s="287"/>
      <c r="O107" s="288" t="e">
        <f t="shared" si="215"/>
        <v>#DIV/0!</v>
      </c>
      <c r="P107" s="289"/>
      <c r="Q107" s="290" t="e">
        <f t="shared" si="216"/>
        <v>#DIV/0!</v>
      </c>
      <c r="R107" s="287"/>
      <c r="S107" s="313" t="e">
        <f t="shared" si="217"/>
        <v>#DIV/0!</v>
      </c>
      <c r="T107" s="287"/>
      <c r="U107" s="313" t="e">
        <f t="shared" si="115"/>
        <v>#DIV/0!</v>
      </c>
      <c r="V107" s="323" t="e">
        <f t="shared" si="116"/>
        <v>#DIV/0!</v>
      </c>
      <c r="W107" s="81">
        <f t="shared" si="266"/>
        <v>0</v>
      </c>
      <c r="X107" s="81"/>
      <c r="Y107" s="84">
        <f t="shared" si="267"/>
        <v>0</v>
      </c>
      <c r="Z107" s="85"/>
      <c r="AA107" s="48">
        <f t="shared" si="268"/>
        <v>0</v>
      </c>
      <c r="AB107" s="81"/>
      <c r="AC107" s="84">
        <f t="shared" si="269"/>
        <v>0</v>
      </c>
      <c r="AD107" s="85"/>
      <c r="AE107" s="84">
        <f t="shared" si="270"/>
        <v>0</v>
      </c>
      <c r="AF107" s="81"/>
      <c r="AG107" s="84">
        <f t="shared" si="271"/>
        <v>0</v>
      </c>
      <c r="AH107" s="85"/>
      <c r="AI107" s="84">
        <f t="shared" si="272"/>
        <v>0</v>
      </c>
      <c r="AJ107" s="85"/>
      <c r="AK107" s="84">
        <f t="shared" si="273"/>
        <v>0</v>
      </c>
      <c r="AL107" s="85"/>
      <c r="AM107" s="84">
        <f t="shared" si="274"/>
        <v>0</v>
      </c>
      <c r="AN107" s="85"/>
      <c r="AO107" s="84">
        <f t="shared" si="275"/>
        <v>0</v>
      </c>
      <c r="AP107" s="85"/>
      <c r="AQ107" s="84">
        <f t="shared" si="276"/>
        <v>0</v>
      </c>
      <c r="AR107" s="85"/>
      <c r="AS107" s="84">
        <f t="shared" si="277"/>
        <v>0</v>
      </c>
      <c r="AT107" s="81"/>
      <c r="AU107" s="214">
        <f t="shared" si="278"/>
        <v>0</v>
      </c>
    </row>
    <row r="108" spans="1:47" hidden="1" x14ac:dyDescent="0.35">
      <c r="A108" s="159" t="s">
        <v>432</v>
      </c>
      <c r="B108" s="180"/>
      <c r="C108" s="83">
        <f>'2020-21'!AS49</f>
        <v>0</v>
      </c>
      <c r="D108" s="107">
        <f t="shared" si="265"/>
        <v>0</v>
      </c>
      <c r="E108" s="304"/>
      <c r="F108" s="287"/>
      <c r="G108" s="288" t="e">
        <f t="shared" si="211"/>
        <v>#DIV/0!</v>
      </c>
      <c r="H108" s="289"/>
      <c r="I108" s="290" t="e">
        <f t="shared" si="212"/>
        <v>#DIV/0!</v>
      </c>
      <c r="J108" s="287"/>
      <c r="K108" s="288" t="e">
        <f t="shared" si="213"/>
        <v>#DIV/0!</v>
      </c>
      <c r="L108" s="289"/>
      <c r="M108" s="290" t="e">
        <f t="shared" si="214"/>
        <v>#DIV/0!</v>
      </c>
      <c r="N108" s="287"/>
      <c r="O108" s="288" t="e">
        <f t="shared" si="215"/>
        <v>#DIV/0!</v>
      </c>
      <c r="P108" s="289"/>
      <c r="Q108" s="290" t="e">
        <f t="shared" si="216"/>
        <v>#DIV/0!</v>
      </c>
      <c r="R108" s="287"/>
      <c r="S108" s="313" t="e">
        <f t="shared" si="217"/>
        <v>#DIV/0!</v>
      </c>
      <c r="T108" s="287"/>
      <c r="U108" s="313" t="e">
        <f t="shared" si="115"/>
        <v>#DIV/0!</v>
      </c>
      <c r="V108" s="323" t="e">
        <f t="shared" si="116"/>
        <v>#DIV/0!</v>
      </c>
      <c r="W108" s="81">
        <f t="shared" si="266"/>
        <v>0</v>
      </c>
      <c r="X108" s="81"/>
      <c r="Y108" s="84">
        <f t="shared" si="267"/>
        <v>0</v>
      </c>
      <c r="Z108" s="85"/>
      <c r="AA108" s="48">
        <f t="shared" si="268"/>
        <v>0</v>
      </c>
      <c r="AB108" s="81"/>
      <c r="AC108" s="84">
        <f t="shared" si="269"/>
        <v>0</v>
      </c>
      <c r="AD108" s="85"/>
      <c r="AE108" s="84">
        <f t="shared" si="270"/>
        <v>0</v>
      </c>
      <c r="AF108" s="81"/>
      <c r="AG108" s="84">
        <f t="shared" si="271"/>
        <v>0</v>
      </c>
      <c r="AH108" s="85"/>
      <c r="AI108" s="84">
        <f t="shared" si="272"/>
        <v>0</v>
      </c>
      <c r="AJ108" s="85"/>
      <c r="AK108" s="84">
        <f t="shared" si="273"/>
        <v>0</v>
      </c>
      <c r="AL108" s="85"/>
      <c r="AM108" s="84">
        <f t="shared" si="274"/>
        <v>0</v>
      </c>
      <c r="AN108" s="85"/>
      <c r="AO108" s="84">
        <f t="shared" si="275"/>
        <v>0</v>
      </c>
      <c r="AP108" s="85"/>
      <c r="AQ108" s="84">
        <f t="shared" si="276"/>
        <v>0</v>
      </c>
      <c r="AR108" s="85"/>
      <c r="AS108" s="84">
        <f t="shared" si="277"/>
        <v>0</v>
      </c>
      <c r="AT108" s="81"/>
      <c r="AU108" s="214">
        <f t="shared" si="278"/>
        <v>0</v>
      </c>
    </row>
    <row r="109" spans="1:47" hidden="1" x14ac:dyDescent="0.35">
      <c r="A109" s="211" t="s">
        <v>448</v>
      </c>
      <c r="B109" s="180"/>
      <c r="C109" s="83">
        <f>'2020-21'!AS50</f>
        <v>0</v>
      </c>
      <c r="D109" s="107">
        <f t="shared" si="265"/>
        <v>0</v>
      </c>
      <c r="E109" s="304"/>
      <c r="F109" s="287"/>
      <c r="G109" s="288" t="e">
        <f t="shared" si="211"/>
        <v>#DIV/0!</v>
      </c>
      <c r="H109" s="289"/>
      <c r="I109" s="290" t="e">
        <f t="shared" si="212"/>
        <v>#DIV/0!</v>
      </c>
      <c r="J109" s="287"/>
      <c r="K109" s="288" t="e">
        <f t="shared" si="213"/>
        <v>#DIV/0!</v>
      </c>
      <c r="L109" s="289"/>
      <c r="M109" s="290" t="e">
        <f t="shared" si="214"/>
        <v>#DIV/0!</v>
      </c>
      <c r="N109" s="287"/>
      <c r="O109" s="288" t="e">
        <f t="shared" si="215"/>
        <v>#DIV/0!</v>
      </c>
      <c r="P109" s="289"/>
      <c r="Q109" s="290" t="e">
        <f t="shared" si="216"/>
        <v>#DIV/0!</v>
      </c>
      <c r="R109" s="287"/>
      <c r="S109" s="313" t="e">
        <f t="shared" si="217"/>
        <v>#DIV/0!</v>
      </c>
      <c r="T109" s="287"/>
      <c r="U109" s="313" t="e">
        <f t="shared" si="115"/>
        <v>#DIV/0!</v>
      </c>
      <c r="V109" s="323" t="e">
        <f t="shared" si="116"/>
        <v>#DIV/0!</v>
      </c>
      <c r="W109" s="81">
        <f t="shared" si="266"/>
        <v>0</v>
      </c>
      <c r="X109" s="81"/>
      <c r="Y109" s="84">
        <f t="shared" si="267"/>
        <v>0</v>
      </c>
      <c r="Z109" s="85"/>
      <c r="AA109" s="48">
        <f t="shared" si="268"/>
        <v>0</v>
      </c>
      <c r="AB109" s="48"/>
      <c r="AC109" s="84">
        <f t="shared" si="269"/>
        <v>0</v>
      </c>
      <c r="AD109" s="85"/>
      <c r="AE109" s="84">
        <f t="shared" si="270"/>
        <v>0</v>
      </c>
      <c r="AF109" s="81"/>
      <c r="AG109" s="84">
        <f t="shared" si="271"/>
        <v>0</v>
      </c>
      <c r="AH109" s="85"/>
      <c r="AI109" s="84">
        <f t="shared" si="272"/>
        <v>0</v>
      </c>
      <c r="AJ109" s="85"/>
      <c r="AK109" s="84">
        <f t="shared" si="273"/>
        <v>0</v>
      </c>
      <c r="AL109" s="85"/>
      <c r="AM109" s="84">
        <f t="shared" si="274"/>
        <v>0</v>
      </c>
      <c r="AN109" s="85"/>
      <c r="AO109" s="84">
        <f t="shared" si="275"/>
        <v>0</v>
      </c>
      <c r="AP109" s="85"/>
      <c r="AQ109" s="84">
        <f t="shared" si="276"/>
        <v>0</v>
      </c>
      <c r="AR109" s="85"/>
      <c r="AS109" s="84">
        <f t="shared" si="277"/>
        <v>0</v>
      </c>
      <c r="AT109" s="81"/>
      <c r="AU109" s="214">
        <f t="shared" si="278"/>
        <v>0</v>
      </c>
    </row>
    <row r="110" spans="1:47" hidden="1" x14ac:dyDescent="0.35">
      <c r="A110" s="159" t="s">
        <v>404</v>
      </c>
      <c r="B110" s="180"/>
      <c r="C110" s="83">
        <f>'2020-21'!AS51</f>
        <v>0</v>
      </c>
      <c r="D110" s="107">
        <f t="shared" si="265"/>
        <v>0</v>
      </c>
      <c r="E110" s="304">
        <f t="shared" ref="E110:E139" si="279">D110</f>
        <v>0</v>
      </c>
      <c r="F110" s="287"/>
      <c r="G110" s="288" t="e">
        <f t="shared" si="211"/>
        <v>#DIV/0!</v>
      </c>
      <c r="H110" s="289"/>
      <c r="I110" s="290" t="e">
        <f t="shared" si="212"/>
        <v>#DIV/0!</v>
      </c>
      <c r="J110" s="287"/>
      <c r="K110" s="288" t="e">
        <f t="shared" si="213"/>
        <v>#DIV/0!</v>
      </c>
      <c r="L110" s="289"/>
      <c r="M110" s="290" t="e">
        <f t="shared" si="214"/>
        <v>#DIV/0!</v>
      </c>
      <c r="N110" s="287"/>
      <c r="O110" s="288" t="e">
        <f t="shared" si="215"/>
        <v>#DIV/0!</v>
      </c>
      <c r="P110" s="289"/>
      <c r="Q110" s="290" t="e">
        <f t="shared" si="216"/>
        <v>#DIV/0!</v>
      </c>
      <c r="R110" s="287"/>
      <c r="S110" s="313" t="e">
        <f t="shared" si="217"/>
        <v>#DIV/0!</v>
      </c>
      <c r="T110" s="287"/>
      <c r="U110" s="313" t="e">
        <f t="shared" ref="U110:U140" si="280">T110/E110</f>
        <v>#DIV/0!</v>
      </c>
      <c r="V110" s="323" t="e">
        <f t="shared" ref="V110:V142" si="281">U110+S110+Q110+O110+M110+K110+I110+G110</f>
        <v>#DIV/0!</v>
      </c>
      <c r="W110" s="81">
        <f t="shared" si="266"/>
        <v>0</v>
      </c>
      <c r="X110" s="81"/>
      <c r="Y110" s="84">
        <f t="shared" si="267"/>
        <v>0</v>
      </c>
      <c r="Z110" s="85"/>
      <c r="AA110" s="48">
        <f t="shared" si="268"/>
        <v>0</v>
      </c>
      <c r="AB110" s="81"/>
      <c r="AC110" s="84">
        <f t="shared" si="269"/>
        <v>0</v>
      </c>
      <c r="AD110" s="85"/>
      <c r="AE110" s="84">
        <f t="shared" si="270"/>
        <v>0</v>
      </c>
      <c r="AF110" s="81"/>
      <c r="AG110" s="84">
        <f t="shared" si="271"/>
        <v>0</v>
      </c>
      <c r="AH110" s="326"/>
      <c r="AI110" s="84">
        <f t="shared" si="272"/>
        <v>0</v>
      </c>
      <c r="AJ110" s="85"/>
      <c r="AK110" s="84">
        <f t="shared" si="273"/>
        <v>0</v>
      </c>
      <c r="AL110" s="85"/>
      <c r="AM110" s="84">
        <f t="shared" si="274"/>
        <v>0</v>
      </c>
      <c r="AN110" s="85"/>
      <c r="AO110" s="84">
        <f t="shared" si="275"/>
        <v>0</v>
      </c>
      <c r="AP110" s="85"/>
      <c r="AQ110" s="84">
        <f t="shared" si="276"/>
        <v>0</v>
      </c>
      <c r="AR110" s="85"/>
      <c r="AS110" s="84">
        <f t="shared" si="277"/>
        <v>0</v>
      </c>
      <c r="AT110" s="81"/>
      <c r="AU110" s="214">
        <f t="shared" si="278"/>
        <v>0</v>
      </c>
    </row>
    <row r="111" spans="1:47" hidden="1" x14ac:dyDescent="0.35">
      <c r="A111" s="159" t="s">
        <v>474</v>
      </c>
      <c r="B111" s="180"/>
      <c r="C111" s="83">
        <f>'2020-21'!AS52</f>
        <v>-0.31000000000130967</v>
      </c>
      <c r="D111" s="107">
        <f t="shared" si="265"/>
        <v>-0.31000000000130967</v>
      </c>
      <c r="E111" s="304">
        <f t="shared" si="279"/>
        <v>-0.31000000000130967</v>
      </c>
      <c r="F111" s="287"/>
      <c r="G111" s="288">
        <f t="shared" si="211"/>
        <v>0</v>
      </c>
      <c r="H111" s="289"/>
      <c r="I111" s="290">
        <f t="shared" si="212"/>
        <v>0</v>
      </c>
      <c r="J111" s="287"/>
      <c r="K111" s="288">
        <f t="shared" si="213"/>
        <v>0</v>
      </c>
      <c r="L111" s="289"/>
      <c r="M111" s="290">
        <f t="shared" si="214"/>
        <v>0</v>
      </c>
      <c r="N111" s="287"/>
      <c r="O111" s="288">
        <f t="shared" si="215"/>
        <v>0</v>
      </c>
      <c r="P111" s="289"/>
      <c r="Q111" s="290">
        <f t="shared" si="216"/>
        <v>0</v>
      </c>
      <c r="R111" s="287"/>
      <c r="S111" s="313">
        <f t="shared" si="217"/>
        <v>0</v>
      </c>
      <c r="T111" s="287"/>
      <c r="U111" s="313">
        <f t="shared" si="280"/>
        <v>0</v>
      </c>
      <c r="V111" s="323">
        <f t="shared" si="281"/>
        <v>0</v>
      </c>
      <c r="W111" s="81">
        <f t="shared" si="266"/>
        <v>-0.31000000000130967</v>
      </c>
      <c r="X111" s="81"/>
      <c r="Y111" s="84">
        <f t="shared" si="267"/>
        <v>0</v>
      </c>
      <c r="Z111" s="85"/>
      <c r="AA111" s="48">
        <f t="shared" si="268"/>
        <v>0</v>
      </c>
      <c r="AB111" s="81"/>
      <c r="AC111" s="84">
        <f t="shared" si="269"/>
        <v>0</v>
      </c>
      <c r="AD111" s="85"/>
      <c r="AE111" s="84">
        <f t="shared" si="270"/>
        <v>0</v>
      </c>
      <c r="AF111" s="81"/>
      <c r="AG111" s="84">
        <f t="shared" si="271"/>
        <v>0</v>
      </c>
      <c r="AH111" s="85"/>
      <c r="AI111" s="84">
        <f t="shared" si="272"/>
        <v>0</v>
      </c>
      <c r="AJ111" s="85"/>
      <c r="AK111" s="84">
        <f t="shared" si="273"/>
        <v>0</v>
      </c>
      <c r="AL111" s="85"/>
      <c r="AM111" s="84">
        <f t="shared" si="274"/>
        <v>0</v>
      </c>
      <c r="AN111" s="85"/>
      <c r="AO111" s="84">
        <f t="shared" si="275"/>
        <v>0</v>
      </c>
      <c r="AP111" s="85"/>
      <c r="AQ111" s="84">
        <f t="shared" si="276"/>
        <v>0</v>
      </c>
      <c r="AR111" s="85"/>
      <c r="AS111" s="84">
        <f t="shared" si="277"/>
        <v>0</v>
      </c>
      <c r="AT111" s="81"/>
      <c r="AU111" s="214">
        <f t="shared" si="278"/>
        <v>0</v>
      </c>
    </row>
    <row r="112" spans="1:47" hidden="1" x14ac:dyDescent="0.35">
      <c r="A112" s="159" t="s">
        <v>473</v>
      </c>
      <c r="B112" s="180"/>
      <c r="C112" s="83">
        <f>'2020-21'!AS53</f>
        <v>0</v>
      </c>
      <c r="D112" s="107">
        <f t="shared" si="265"/>
        <v>0</v>
      </c>
      <c r="E112" s="304">
        <f t="shared" si="279"/>
        <v>0</v>
      </c>
      <c r="F112" s="287"/>
      <c r="G112" s="288" t="e">
        <f t="shared" si="211"/>
        <v>#DIV/0!</v>
      </c>
      <c r="H112" s="289"/>
      <c r="I112" s="290" t="e">
        <f t="shared" si="212"/>
        <v>#DIV/0!</v>
      </c>
      <c r="J112" s="287"/>
      <c r="K112" s="288" t="e">
        <f t="shared" si="213"/>
        <v>#DIV/0!</v>
      </c>
      <c r="L112" s="289"/>
      <c r="M112" s="290" t="e">
        <f t="shared" si="214"/>
        <v>#DIV/0!</v>
      </c>
      <c r="N112" s="287"/>
      <c r="O112" s="288" t="e">
        <f t="shared" si="215"/>
        <v>#DIV/0!</v>
      </c>
      <c r="P112" s="289"/>
      <c r="Q112" s="290" t="e">
        <f t="shared" si="216"/>
        <v>#DIV/0!</v>
      </c>
      <c r="R112" s="287"/>
      <c r="S112" s="313" t="e">
        <f t="shared" si="217"/>
        <v>#DIV/0!</v>
      </c>
      <c r="T112" s="287"/>
      <c r="U112" s="313" t="e">
        <f t="shared" si="280"/>
        <v>#DIV/0!</v>
      </c>
      <c r="V112" s="323" t="e">
        <f t="shared" si="281"/>
        <v>#DIV/0!</v>
      </c>
      <c r="W112" s="81">
        <f t="shared" si="266"/>
        <v>0</v>
      </c>
      <c r="X112" s="81"/>
      <c r="Y112" s="84">
        <f t="shared" si="267"/>
        <v>0</v>
      </c>
      <c r="Z112" s="85"/>
      <c r="AA112" s="48">
        <f t="shared" si="268"/>
        <v>0</v>
      </c>
      <c r="AB112" s="81"/>
      <c r="AC112" s="84">
        <f t="shared" si="269"/>
        <v>0</v>
      </c>
      <c r="AD112" s="85"/>
      <c r="AE112" s="84">
        <f t="shared" si="270"/>
        <v>0</v>
      </c>
      <c r="AF112" s="81"/>
      <c r="AG112" s="84">
        <f t="shared" si="271"/>
        <v>0</v>
      </c>
      <c r="AH112" s="85"/>
      <c r="AI112" s="84">
        <f t="shared" si="272"/>
        <v>0</v>
      </c>
      <c r="AJ112" s="85"/>
      <c r="AK112" s="84">
        <f t="shared" si="273"/>
        <v>0</v>
      </c>
      <c r="AL112" s="85"/>
      <c r="AM112" s="84">
        <f t="shared" si="274"/>
        <v>0</v>
      </c>
      <c r="AN112" s="85"/>
      <c r="AO112" s="84">
        <f t="shared" si="275"/>
        <v>0</v>
      </c>
      <c r="AP112" s="85"/>
      <c r="AQ112" s="84">
        <f t="shared" si="276"/>
        <v>0</v>
      </c>
      <c r="AR112" s="85"/>
      <c r="AS112" s="84">
        <f t="shared" si="277"/>
        <v>0</v>
      </c>
      <c r="AT112" s="81"/>
      <c r="AU112" s="214">
        <f t="shared" si="278"/>
        <v>0</v>
      </c>
    </row>
    <row r="113" spans="1:47" hidden="1" x14ac:dyDescent="0.35">
      <c r="A113" s="211" t="s">
        <v>445</v>
      </c>
      <c r="B113" s="180"/>
      <c r="C113" s="83">
        <f>'2020-21'!AS54</f>
        <v>0</v>
      </c>
      <c r="D113" s="107">
        <f t="shared" si="265"/>
        <v>0</v>
      </c>
      <c r="E113" s="304">
        <f t="shared" si="279"/>
        <v>0</v>
      </c>
      <c r="F113" s="287"/>
      <c r="G113" s="288" t="e">
        <f t="shared" si="211"/>
        <v>#DIV/0!</v>
      </c>
      <c r="H113" s="289"/>
      <c r="I113" s="290" t="e">
        <f t="shared" si="212"/>
        <v>#DIV/0!</v>
      </c>
      <c r="J113" s="287"/>
      <c r="K113" s="288" t="e">
        <f t="shared" si="213"/>
        <v>#DIV/0!</v>
      </c>
      <c r="L113" s="289"/>
      <c r="M113" s="290" t="e">
        <f t="shared" si="214"/>
        <v>#DIV/0!</v>
      </c>
      <c r="N113" s="287"/>
      <c r="O113" s="288" t="e">
        <f t="shared" si="215"/>
        <v>#DIV/0!</v>
      </c>
      <c r="P113" s="289"/>
      <c r="Q113" s="290" t="e">
        <f t="shared" si="216"/>
        <v>#DIV/0!</v>
      </c>
      <c r="R113" s="287"/>
      <c r="S113" s="313" t="e">
        <f t="shared" si="217"/>
        <v>#DIV/0!</v>
      </c>
      <c r="T113" s="287"/>
      <c r="U113" s="313" t="e">
        <f t="shared" si="280"/>
        <v>#DIV/0!</v>
      </c>
      <c r="V113" s="323" t="e">
        <f t="shared" si="281"/>
        <v>#DIV/0!</v>
      </c>
      <c r="W113" s="81">
        <f t="shared" si="266"/>
        <v>0</v>
      </c>
      <c r="X113" s="81"/>
      <c r="Y113" s="84">
        <f t="shared" si="267"/>
        <v>0</v>
      </c>
      <c r="Z113" s="85"/>
      <c r="AA113" s="48">
        <f t="shared" si="268"/>
        <v>0</v>
      </c>
      <c r="AB113" s="81"/>
      <c r="AC113" s="84">
        <f t="shared" si="269"/>
        <v>0</v>
      </c>
      <c r="AD113" s="85"/>
      <c r="AE113" s="84">
        <f t="shared" si="270"/>
        <v>0</v>
      </c>
      <c r="AF113" s="81"/>
      <c r="AG113" s="84">
        <f t="shared" si="271"/>
        <v>0</v>
      </c>
      <c r="AH113" s="85"/>
      <c r="AI113" s="84">
        <f t="shared" si="272"/>
        <v>0</v>
      </c>
      <c r="AJ113" s="85"/>
      <c r="AK113" s="84">
        <f t="shared" si="273"/>
        <v>0</v>
      </c>
      <c r="AL113" s="85"/>
      <c r="AM113" s="84">
        <f t="shared" si="274"/>
        <v>0</v>
      </c>
      <c r="AN113" s="85"/>
      <c r="AO113" s="84">
        <f t="shared" si="275"/>
        <v>0</v>
      </c>
      <c r="AP113" s="85"/>
      <c r="AQ113" s="84">
        <f t="shared" si="276"/>
        <v>0</v>
      </c>
      <c r="AR113" s="85"/>
      <c r="AS113" s="84">
        <f t="shared" si="277"/>
        <v>0</v>
      </c>
      <c r="AT113" s="81"/>
      <c r="AU113" s="214">
        <f t="shared" si="278"/>
        <v>0</v>
      </c>
    </row>
    <row r="114" spans="1:47" hidden="1" x14ac:dyDescent="0.35">
      <c r="A114" s="41" t="s">
        <v>349</v>
      </c>
      <c r="B114" s="174"/>
      <c r="C114" s="83">
        <f>'2020-21'!AS55</f>
        <v>0</v>
      </c>
      <c r="D114" s="107">
        <f t="shared" si="265"/>
        <v>0</v>
      </c>
      <c r="E114" s="304">
        <f t="shared" si="279"/>
        <v>0</v>
      </c>
      <c r="F114" s="287"/>
      <c r="G114" s="288" t="e">
        <f t="shared" si="211"/>
        <v>#DIV/0!</v>
      </c>
      <c r="H114" s="289"/>
      <c r="I114" s="290" t="e">
        <f t="shared" si="212"/>
        <v>#DIV/0!</v>
      </c>
      <c r="J114" s="287"/>
      <c r="K114" s="288" t="e">
        <f t="shared" si="213"/>
        <v>#DIV/0!</v>
      </c>
      <c r="L114" s="289"/>
      <c r="M114" s="290" t="e">
        <f t="shared" si="214"/>
        <v>#DIV/0!</v>
      </c>
      <c r="N114" s="287"/>
      <c r="O114" s="288" t="e">
        <f t="shared" si="215"/>
        <v>#DIV/0!</v>
      </c>
      <c r="P114" s="289"/>
      <c r="Q114" s="290" t="e">
        <f t="shared" si="216"/>
        <v>#DIV/0!</v>
      </c>
      <c r="R114" s="287"/>
      <c r="S114" s="313" t="e">
        <f t="shared" si="217"/>
        <v>#DIV/0!</v>
      </c>
      <c r="T114" s="287"/>
      <c r="U114" s="313" t="e">
        <f t="shared" si="280"/>
        <v>#DIV/0!</v>
      </c>
      <c r="V114" s="323" t="e">
        <f t="shared" si="281"/>
        <v>#DIV/0!</v>
      </c>
      <c r="W114" s="81">
        <f t="shared" si="266"/>
        <v>0</v>
      </c>
      <c r="X114" s="81"/>
      <c r="Y114" s="84">
        <f t="shared" si="267"/>
        <v>0</v>
      </c>
      <c r="Z114" s="85"/>
      <c r="AA114" s="48">
        <f t="shared" si="268"/>
        <v>0</v>
      </c>
      <c r="AB114" s="81"/>
      <c r="AC114" s="84">
        <f t="shared" si="269"/>
        <v>0</v>
      </c>
      <c r="AD114" s="85"/>
      <c r="AE114" s="84">
        <f t="shared" si="270"/>
        <v>0</v>
      </c>
      <c r="AF114" s="81"/>
      <c r="AG114" s="84">
        <f t="shared" si="271"/>
        <v>0</v>
      </c>
      <c r="AH114" s="85"/>
      <c r="AI114" s="84">
        <f t="shared" si="272"/>
        <v>0</v>
      </c>
      <c r="AJ114" s="85"/>
      <c r="AK114" s="84">
        <f t="shared" si="273"/>
        <v>0</v>
      </c>
      <c r="AL114" s="85"/>
      <c r="AM114" s="84">
        <f t="shared" si="274"/>
        <v>0</v>
      </c>
      <c r="AN114" s="85"/>
      <c r="AO114" s="84">
        <f t="shared" si="275"/>
        <v>0</v>
      </c>
      <c r="AP114" s="85"/>
      <c r="AQ114" s="84">
        <f t="shared" si="276"/>
        <v>0</v>
      </c>
      <c r="AR114" s="85"/>
      <c r="AS114" s="84">
        <f t="shared" si="277"/>
        <v>0</v>
      </c>
      <c r="AT114" s="81"/>
      <c r="AU114" s="214">
        <f t="shared" si="278"/>
        <v>0</v>
      </c>
    </row>
    <row r="115" spans="1:47" hidden="1" x14ac:dyDescent="0.35">
      <c r="A115" s="149" t="s">
        <v>395</v>
      </c>
      <c r="B115" s="180"/>
      <c r="C115" s="83">
        <f>'2020-21'!AS56</f>
        <v>0</v>
      </c>
      <c r="D115" s="107">
        <f t="shared" si="265"/>
        <v>0</v>
      </c>
      <c r="E115" s="304">
        <f t="shared" si="279"/>
        <v>0</v>
      </c>
      <c r="F115" s="287"/>
      <c r="G115" s="288" t="e">
        <f t="shared" si="211"/>
        <v>#DIV/0!</v>
      </c>
      <c r="H115" s="289"/>
      <c r="I115" s="290" t="e">
        <f t="shared" si="212"/>
        <v>#DIV/0!</v>
      </c>
      <c r="J115" s="287"/>
      <c r="K115" s="288" t="e">
        <f t="shared" si="213"/>
        <v>#DIV/0!</v>
      </c>
      <c r="L115" s="289"/>
      <c r="M115" s="290" t="e">
        <f t="shared" si="214"/>
        <v>#DIV/0!</v>
      </c>
      <c r="N115" s="287"/>
      <c r="O115" s="288" t="e">
        <f t="shared" si="215"/>
        <v>#DIV/0!</v>
      </c>
      <c r="P115" s="289"/>
      <c r="Q115" s="290" t="e">
        <f t="shared" si="216"/>
        <v>#DIV/0!</v>
      </c>
      <c r="R115" s="287"/>
      <c r="S115" s="313" t="e">
        <f t="shared" si="217"/>
        <v>#DIV/0!</v>
      </c>
      <c r="T115" s="287"/>
      <c r="U115" s="313" t="e">
        <f t="shared" si="280"/>
        <v>#DIV/0!</v>
      </c>
      <c r="V115" s="323" t="e">
        <f t="shared" si="281"/>
        <v>#DIV/0!</v>
      </c>
      <c r="W115" s="81">
        <f t="shared" si="266"/>
        <v>0</v>
      </c>
      <c r="X115" s="81"/>
      <c r="Y115" s="84">
        <f t="shared" si="267"/>
        <v>0</v>
      </c>
      <c r="Z115" s="85"/>
      <c r="AA115" s="48">
        <f t="shared" si="268"/>
        <v>0</v>
      </c>
      <c r="AB115" s="81"/>
      <c r="AC115" s="84">
        <f t="shared" si="269"/>
        <v>0</v>
      </c>
      <c r="AD115" s="85"/>
      <c r="AE115" s="84">
        <f t="shared" si="270"/>
        <v>0</v>
      </c>
      <c r="AF115" s="81"/>
      <c r="AG115" s="84">
        <f t="shared" si="271"/>
        <v>0</v>
      </c>
      <c r="AH115" s="85"/>
      <c r="AI115" s="84">
        <f t="shared" si="272"/>
        <v>0</v>
      </c>
      <c r="AJ115" s="85"/>
      <c r="AK115" s="84">
        <f t="shared" si="273"/>
        <v>0</v>
      </c>
      <c r="AL115" s="85"/>
      <c r="AM115" s="84">
        <f t="shared" si="274"/>
        <v>0</v>
      </c>
      <c r="AN115" s="85"/>
      <c r="AO115" s="84">
        <f t="shared" si="275"/>
        <v>0</v>
      </c>
      <c r="AP115" s="85"/>
      <c r="AQ115" s="84">
        <f t="shared" si="276"/>
        <v>0</v>
      </c>
      <c r="AR115" s="85"/>
      <c r="AS115" s="84">
        <f t="shared" si="277"/>
        <v>0</v>
      </c>
      <c r="AT115" s="81"/>
      <c r="AU115" s="214">
        <f t="shared" si="278"/>
        <v>0</v>
      </c>
    </row>
    <row r="116" spans="1:47" hidden="1" x14ac:dyDescent="0.35">
      <c r="A116" s="159" t="s">
        <v>430</v>
      </c>
      <c r="B116" s="180"/>
      <c r="C116" s="83">
        <f>'2020-21'!AS57</f>
        <v>0</v>
      </c>
      <c r="D116" s="107">
        <f t="shared" si="265"/>
        <v>0</v>
      </c>
      <c r="E116" s="304">
        <f t="shared" si="279"/>
        <v>0</v>
      </c>
      <c r="F116" s="287"/>
      <c r="G116" s="288" t="e">
        <f t="shared" si="211"/>
        <v>#DIV/0!</v>
      </c>
      <c r="H116" s="289"/>
      <c r="I116" s="290" t="e">
        <f t="shared" si="212"/>
        <v>#DIV/0!</v>
      </c>
      <c r="J116" s="287"/>
      <c r="K116" s="288" t="e">
        <f t="shared" si="213"/>
        <v>#DIV/0!</v>
      </c>
      <c r="L116" s="289"/>
      <c r="M116" s="290" t="e">
        <f t="shared" si="214"/>
        <v>#DIV/0!</v>
      </c>
      <c r="N116" s="287"/>
      <c r="O116" s="288" t="e">
        <f t="shared" si="215"/>
        <v>#DIV/0!</v>
      </c>
      <c r="P116" s="289"/>
      <c r="Q116" s="290" t="e">
        <f t="shared" si="216"/>
        <v>#DIV/0!</v>
      </c>
      <c r="R116" s="287"/>
      <c r="S116" s="313" t="e">
        <f t="shared" si="217"/>
        <v>#DIV/0!</v>
      </c>
      <c r="T116" s="287"/>
      <c r="U116" s="313" t="e">
        <f t="shared" si="280"/>
        <v>#DIV/0!</v>
      </c>
      <c r="V116" s="323" t="e">
        <f t="shared" si="281"/>
        <v>#DIV/0!</v>
      </c>
      <c r="W116" s="81">
        <f t="shared" si="266"/>
        <v>0</v>
      </c>
      <c r="X116" s="81"/>
      <c r="Y116" s="84">
        <f t="shared" si="267"/>
        <v>0</v>
      </c>
      <c r="Z116" s="85"/>
      <c r="AA116" s="48">
        <f t="shared" si="268"/>
        <v>0</v>
      </c>
      <c r="AB116" s="81"/>
      <c r="AC116" s="84">
        <f t="shared" si="269"/>
        <v>0</v>
      </c>
      <c r="AD116" s="85"/>
      <c r="AE116" s="84">
        <f t="shared" si="270"/>
        <v>0</v>
      </c>
      <c r="AF116" s="81"/>
      <c r="AG116" s="84">
        <f t="shared" si="271"/>
        <v>0</v>
      </c>
      <c r="AH116" s="85"/>
      <c r="AI116" s="84">
        <f t="shared" si="272"/>
        <v>0</v>
      </c>
      <c r="AJ116" s="85"/>
      <c r="AK116" s="84">
        <f t="shared" si="273"/>
        <v>0</v>
      </c>
      <c r="AL116" s="85"/>
      <c r="AM116" s="84">
        <f t="shared" si="274"/>
        <v>0</v>
      </c>
      <c r="AN116" s="85"/>
      <c r="AO116" s="84">
        <f t="shared" si="275"/>
        <v>0</v>
      </c>
      <c r="AP116" s="85"/>
      <c r="AQ116" s="84">
        <f t="shared" si="276"/>
        <v>0</v>
      </c>
      <c r="AR116" s="85"/>
      <c r="AS116" s="84">
        <f t="shared" si="277"/>
        <v>0</v>
      </c>
      <c r="AT116" s="81"/>
      <c r="AU116" s="214">
        <f t="shared" si="278"/>
        <v>0</v>
      </c>
    </row>
    <row r="117" spans="1:47" hidden="1" x14ac:dyDescent="0.35">
      <c r="A117" s="159" t="s">
        <v>429</v>
      </c>
      <c r="B117" s="180"/>
      <c r="C117" s="83">
        <f>'2020-21'!AS58</f>
        <v>0</v>
      </c>
      <c r="D117" s="107">
        <f t="shared" si="265"/>
        <v>0</v>
      </c>
      <c r="E117" s="304">
        <f t="shared" si="279"/>
        <v>0</v>
      </c>
      <c r="F117" s="287"/>
      <c r="G117" s="288" t="e">
        <f t="shared" si="211"/>
        <v>#DIV/0!</v>
      </c>
      <c r="H117" s="289"/>
      <c r="I117" s="290" t="e">
        <f t="shared" si="212"/>
        <v>#DIV/0!</v>
      </c>
      <c r="J117" s="287"/>
      <c r="K117" s="288" t="e">
        <f t="shared" si="213"/>
        <v>#DIV/0!</v>
      </c>
      <c r="L117" s="289"/>
      <c r="M117" s="290" t="e">
        <f t="shared" si="214"/>
        <v>#DIV/0!</v>
      </c>
      <c r="N117" s="287"/>
      <c r="O117" s="288" t="e">
        <f t="shared" si="215"/>
        <v>#DIV/0!</v>
      </c>
      <c r="P117" s="289"/>
      <c r="Q117" s="290" t="e">
        <f t="shared" si="216"/>
        <v>#DIV/0!</v>
      </c>
      <c r="R117" s="287"/>
      <c r="S117" s="313" t="e">
        <f t="shared" si="217"/>
        <v>#DIV/0!</v>
      </c>
      <c r="T117" s="287"/>
      <c r="U117" s="313" t="e">
        <f t="shared" si="280"/>
        <v>#DIV/0!</v>
      </c>
      <c r="V117" s="323" t="e">
        <f t="shared" si="281"/>
        <v>#DIV/0!</v>
      </c>
      <c r="W117" s="81">
        <f t="shared" si="266"/>
        <v>0</v>
      </c>
      <c r="X117" s="81"/>
      <c r="Y117" s="84">
        <f t="shared" si="267"/>
        <v>0</v>
      </c>
      <c r="Z117" s="85"/>
      <c r="AA117" s="48">
        <f t="shared" si="268"/>
        <v>0</v>
      </c>
      <c r="AB117" s="81"/>
      <c r="AC117" s="84">
        <f t="shared" si="269"/>
        <v>0</v>
      </c>
      <c r="AD117" s="85"/>
      <c r="AE117" s="84">
        <f t="shared" si="270"/>
        <v>0</v>
      </c>
      <c r="AF117" s="81"/>
      <c r="AG117" s="84">
        <f t="shared" si="271"/>
        <v>0</v>
      </c>
      <c r="AH117" s="85"/>
      <c r="AI117" s="84">
        <f t="shared" si="272"/>
        <v>0</v>
      </c>
      <c r="AJ117" s="85"/>
      <c r="AK117" s="84">
        <f t="shared" si="273"/>
        <v>0</v>
      </c>
      <c r="AL117" s="85"/>
      <c r="AM117" s="84">
        <f t="shared" si="274"/>
        <v>0</v>
      </c>
      <c r="AN117" s="85"/>
      <c r="AO117" s="84">
        <f t="shared" si="275"/>
        <v>0</v>
      </c>
      <c r="AP117" s="85"/>
      <c r="AQ117" s="84">
        <f t="shared" si="276"/>
        <v>0</v>
      </c>
      <c r="AR117" s="85"/>
      <c r="AS117" s="84">
        <f t="shared" si="277"/>
        <v>0</v>
      </c>
      <c r="AT117" s="81"/>
      <c r="AU117" s="214">
        <f t="shared" si="278"/>
        <v>0</v>
      </c>
    </row>
    <row r="118" spans="1:47" hidden="1" x14ac:dyDescent="0.35">
      <c r="A118" s="159" t="s">
        <v>416</v>
      </c>
      <c r="B118" s="170"/>
      <c r="C118" s="83">
        <f>'2020-21'!AS59</f>
        <v>0</v>
      </c>
      <c r="D118" s="107">
        <f t="shared" si="265"/>
        <v>0</v>
      </c>
      <c r="E118" s="304">
        <f t="shared" si="279"/>
        <v>0</v>
      </c>
      <c r="F118" s="287"/>
      <c r="G118" s="288" t="e">
        <f t="shared" si="211"/>
        <v>#DIV/0!</v>
      </c>
      <c r="H118" s="289"/>
      <c r="I118" s="290" t="e">
        <f t="shared" si="212"/>
        <v>#DIV/0!</v>
      </c>
      <c r="J118" s="287"/>
      <c r="K118" s="288" t="e">
        <f t="shared" si="213"/>
        <v>#DIV/0!</v>
      </c>
      <c r="L118" s="289"/>
      <c r="M118" s="290" t="e">
        <f t="shared" si="214"/>
        <v>#DIV/0!</v>
      </c>
      <c r="N118" s="287"/>
      <c r="O118" s="288" t="e">
        <f t="shared" si="215"/>
        <v>#DIV/0!</v>
      </c>
      <c r="P118" s="289"/>
      <c r="Q118" s="290" t="e">
        <f t="shared" si="216"/>
        <v>#DIV/0!</v>
      </c>
      <c r="R118" s="287"/>
      <c r="S118" s="313" t="e">
        <f t="shared" si="217"/>
        <v>#DIV/0!</v>
      </c>
      <c r="T118" s="287"/>
      <c r="U118" s="313" t="e">
        <f t="shared" si="280"/>
        <v>#DIV/0!</v>
      </c>
      <c r="V118" s="323" t="e">
        <f t="shared" si="281"/>
        <v>#DIV/0!</v>
      </c>
      <c r="W118" s="81">
        <f t="shared" si="266"/>
        <v>0</v>
      </c>
      <c r="X118" s="81"/>
      <c r="Y118" s="84">
        <f t="shared" si="267"/>
        <v>0</v>
      </c>
      <c r="Z118" s="85"/>
      <c r="AA118" s="48">
        <f t="shared" si="268"/>
        <v>0</v>
      </c>
      <c r="AB118" s="81"/>
      <c r="AC118" s="84">
        <f t="shared" si="269"/>
        <v>0</v>
      </c>
      <c r="AD118" s="85"/>
      <c r="AE118" s="84">
        <f t="shared" si="270"/>
        <v>0</v>
      </c>
      <c r="AF118" s="81"/>
      <c r="AG118" s="84">
        <f t="shared" si="271"/>
        <v>0</v>
      </c>
      <c r="AH118" s="85"/>
      <c r="AI118" s="84">
        <f t="shared" si="272"/>
        <v>0</v>
      </c>
      <c r="AJ118" s="85"/>
      <c r="AK118" s="84">
        <f t="shared" si="273"/>
        <v>0</v>
      </c>
      <c r="AL118" s="85"/>
      <c r="AM118" s="84">
        <f t="shared" si="274"/>
        <v>0</v>
      </c>
      <c r="AN118" s="85"/>
      <c r="AO118" s="84">
        <f t="shared" si="275"/>
        <v>0</v>
      </c>
      <c r="AP118" s="85"/>
      <c r="AQ118" s="84">
        <f t="shared" si="276"/>
        <v>0</v>
      </c>
      <c r="AR118" s="85"/>
      <c r="AS118" s="84">
        <f t="shared" si="277"/>
        <v>0</v>
      </c>
      <c r="AT118" s="81"/>
      <c r="AU118" s="214">
        <f t="shared" si="278"/>
        <v>0</v>
      </c>
    </row>
    <row r="119" spans="1:47" hidden="1" x14ac:dyDescent="0.35">
      <c r="A119" s="149" t="s">
        <v>396</v>
      </c>
      <c r="B119" s="170"/>
      <c r="C119" s="83">
        <f>'2020-21'!AS60</f>
        <v>0</v>
      </c>
      <c r="D119" s="107">
        <f t="shared" si="265"/>
        <v>0</v>
      </c>
      <c r="E119" s="304">
        <f t="shared" si="279"/>
        <v>0</v>
      </c>
      <c r="F119" s="287"/>
      <c r="G119" s="288" t="e">
        <f t="shared" si="211"/>
        <v>#DIV/0!</v>
      </c>
      <c r="H119" s="289"/>
      <c r="I119" s="290" t="e">
        <f t="shared" si="212"/>
        <v>#DIV/0!</v>
      </c>
      <c r="J119" s="287"/>
      <c r="K119" s="288" t="e">
        <f t="shared" si="213"/>
        <v>#DIV/0!</v>
      </c>
      <c r="L119" s="289"/>
      <c r="M119" s="290" t="e">
        <f t="shared" si="214"/>
        <v>#DIV/0!</v>
      </c>
      <c r="N119" s="287"/>
      <c r="O119" s="288" t="e">
        <f t="shared" si="215"/>
        <v>#DIV/0!</v>
      </c>
      <c r="P119" s="289"/>
      <c r="Q119" s="290" t="e">
        <f t="shared" si="216"/>
        <v>#DIV/0!</v>
      </c>
      <c r="R119" s="287"/>
      <c r="S119" s="313" t="e">
        <f t="shared" si="217"/>
        <v>#DIV/0!</v>
      </c>
      <c r="T119" s="287"/>
      <c r="U119" s="313" t="e">
        <f t="shared" si="280"/>
        <v>#DIV/0!</v>
      </c>
      <c r="V119" s="323" t="e">
        <f t="shared" si="281"/>
        <v>#DIV/0!</v>
      </c>
      <c r="W119" s="81">
        <f t="shared" si="266"/>
        <v>0</v>
      </c>
      <c r="X119" s="81"/>
      <c r="Y119" s="84">
        <f t="shared" si="267"/>
        <v>0</v>
      </c>
      <c r="Z119" s="85"/>
      <c r="AA119" s="48">
        <f t="shared" si="268"/>
        <v>0</v>
      </c>
      <c r="AB119" s="81"/>
      <c r="AC119" s="84">
        <f t="shared" si="269"/>
        <v>0</v>
      </c>
      <c r="AD119" s="85"/>
      <c r="AE119" s="84">
        <f t="shared" si="270"/>
        <v>0</v>
      </c>
      <c r="AF119" s="81"/>
      <c r="AG119" s="84">
        <f t="shared" si="271"/>
        <v>0</v>
      </c>
      <c r="AH119" s="85"/>
      <c r="AI119" s="84">
        <f t="shared" si="272"/>
        <v>0</v>
      </c>
      <c r="AJ119" s="85"/>
      <c r="AK119" s="84">
        <f t="shared" si="273"/>
        <v>0</v>
      </c>
      <c r="AL119" s="85"/>
      <c r="AM119" s="84">
        <f t="shared" si="274"/>
        <v>0</v>
      </c>
      <c r="AN119" s="85"/>
      <c r="AO119" s="84">
        <f t="shared" si="275"/>
        <v>0</v>
      </c>
      <c r="AP119" s="85"/>
      <c r="AQ119" s="84">
        <f t="shared" si="276"/>
        <v>0</v>
      </c>
      <c r="AR119" s="85"/>
      <c r="AS119" s="84">
        <f t="shared" si="277"/>
        <v>0</v>
      </c>
      <c r="AT119" s="81"/>
      <c r="AU119" s="214">
        <f t="shared" si="278"/>
        <v>0</v>
      </c>
    </row>
    <row r="120" spans="1:47" hidden="1" x14ac:dyDescent="0.35">
      <c r="A120" s="159" t="s">
        <v>382</v>
      </c>
      <c r="B120" s="170"/>
      <c r="C120" s="83">
        <f>'2020-21'!AS61</f>
        <v>0</v>
      </c>
      <c r="D120" s="107">
        <f t="shared" si="265"/>
        <v>0</v>
      </c>
      <c r="E120" s="304">
        <f t="shared" si="279"/>
        <v>0</v>
      </c>
      <c r="F120" s="287"/>
      <c r="G120" s="288" t="e">
        <f t="shared" si="211"/>
        <v>#DIV/0!</v>
      </c>
      <c r="H120" s="289"/>
      <c r="I120" s="290" t="e">
        <f t="shared" si="212"/>
        <v>#DIV/0!</v>
      </c>
      <c r="J120" s="287"/>
      <c r="K120" s="288" t="e">
        <f t="shared" si="213"/>
        <v>#DIV/0!</v>
      </c>
      <c r="L120" s="289"/>
      <c r="M120" s="290" t="e">
        <f t="shared" si="214"/>
        <v>#DIV/0!</v>
      </c>
      <c r="N120" s="287"/>
      <c r="O120" s="288" t="e">
        <f t="shared" si="215"/>
        <v>#DIV/0!</v>
      </c>
      <c r="P120" s="289"/>
      <c r="Q120" s="290" t="e">
        <f t="shared" si="216"/>
        <v>#DIV/0!</v>
      </c>
      <c r="R120" s="287"/>
      <c r="S120" s="313" t="e">
        <f t="shared" si="217"/>
        <v>#DIV/0!</v>
      </c>
      <c r="T120" s="287"/>
      <c r="U120" s="313" t="e">
        <f t="shared" si="280"/>
        <v>#DIV/0!</v>
      </c>
      <c r="V120" s="323" t="e">
        <f t="shared" si="281"/>
        <v>#DIV/0!</v>
      </c>
      <c r="W120" s="81">
        <f t="shared" si="266"/>
        <v>0</v>
      </c>
      <c r="X120" s="81"/>
      <c r="Y120" s="84">
        <f t="shared" si="267"/>
        <v>0</v>
      </c>
      <c r="Z120" s="85"/>
      <c r="AA120" s="48">
        <f t="shared" si="268"/>
        <v>0</v>
      </c>
      <c r="AB120" s="81"/>
      <c r="AC120" s="84">
        <f t="shared" si="269"/>
        <v>0</v>
      </c>
      <c r="AD120" s="85"/>
      <c r="AE120" s="84">
        <f t="shared" si="270"/>
        <v>0</v>
      </c>
      <c r="AF120" s="81"/>
      <c r="AG120" s="84">
        <f t="shared" si="271"/>
        <v>0</v>
      </c>
      <c r="AH120" s="85"/>
      <c r="AI120" s="84">
        <f t="shared" si="272"/>
        <v>0</v>
      </c>
      <c r="AJ120" s="85"/>
      <c r="AK120" s="84">
        <f t="shared" si="273"/>
        <v>0</v>
      </c>
      <c r="AL120" s="85"/>
      <c r="AM120" s="84">
        <f t="shared" si="274"/>
        <v>0</v>
      </c>
      <c r="AN120" s="85"/>
      <c r="AO120" s="84">
        <f t="shared" si="275"/>
        <v>0</v>
      </c>
      <c r="AP120" s="85"/>
      <c r="AQ120" s="84">
        <f t="shared" si="276"/>
        <v>0</v>
      </c>
      <c r="AR120" s="85"/>
      <c r="AS120" s="84">
        <f t="shared" si="277"/>
        <v>0</v>
      </c>
      <c r="AT120" s="81"/>
      <c r="AU120" s="214">
        <f t="shared" si="278"/>
        <v>0</v>
      </c>
    </row>
    <row r="121" spans="1:47" hidden="1" x14ac:dyDescent="0.35">
      <c r="A121" s="160" t="s">
        <v>433</v>
      </c>
      <c r="B121" s="170"/>
      <c r="C121" s="83">
        <f>'2020-21'!AS62</f>
        <v>0</v>
      </c>
      <c r="D121" s="107">
        <f t="shared" si="265"/>
        <v>0</v>
      </c>
      <c r="E121" s="304">
        <f t="shared" si="279"/>
        <v>0</v>
      </c>
      <c r="F121" s="287"/>
      <c r="G121" s="288" t="e">
        <f t="shared" si="211"/>
        <v>#DIV/0!</v>
      </c>
      <c r="H121" s="289"/>
      <c r="I121" s="290" t="e">
        <f t="shared" si="212"/>
        <v>#DIV/0!</v>
      </c>
      <c r="J121" s="287"/>
      <c r="K121" s="288" t="e">
        <f t="shared" si="213"/>
        <v>#DIV/0!</v>
      </c>
      <c r="L121" s="289"/>
      <c r="M121" s="290" t="e">
        <f t="shared" si="214"/>
        <v>#DIV/0!</v>
      </c>
      <c r="N121" s="287"/>
      <c r="O121" s="288" t="e">
        <f t="shared" si="215"/>
        <v>#DIV/0!</v>
      </c>
      <c r="P121" s="289"/>
      <c r="Q121" s="290" t="e">
        <f t="shared" si="216"/>
        <v>#DIV/0!</v>
      </c>
      <c r="R121" s="287"/>
      <c r="S121" s="313" t="e">
        <f t="shared" si="217"/>
        <v>#DIV/0!</v>
      </c>
      <c r="T121" s="287"/>
      <c r="U121" s="313" t="e">
        <f t="shared" si="280"/>
        <v>#DIV/0!</v>
      </c>
      <c r="V121" s="323" t="e">
        <f t="shared" si="281"/>
        <v>#DIV/0!</v>
      </c>
      <c r="W121" s="81">
        <f t="shared" si="266"/>
        <v>0</v>
      </c>
      <c r="X121" s="81"/>
      <c r="Y121" s="84">
        <f t="shared" si="267"/>
        <v>0</v>
      </c>
      <c r="Z121" s="85"/>
      <c r="AA121" s="48">
        <f t="shared" si="268"/>
        <v>0</v>
      </c>
      <c r="AB121" s="81"/>
      <c r="AC121" s="84">
        <f t="shared" si="269"/>
        <v>0</v>
      </c>
      <c r="AD121" s="85"/>
      <c r="AE121" s="84">
        <f t="shared" si="270"/>
        <v>0</v>
      </c>
      <c r="AF121" s="81"/>
      <c r="AG121" s="84">
        <f t="shared" si="271"/>
        <v>0</v>
      </c>
      <c r="AH121" s="85"/>
      <c r="AI121" s="84">
        <f t="shared" si="272"/>
        <v>0</v>
      </c>
      <c r="AJ121" s="85"/>
      <c r="AK121" s="84">
        <f t="shared" si="273"/>
        <v>0</v>
      </c>
      <c r="AL121" s="85"/>
      <c r="AM121" s="84">
        <f t="shared" si="274"/>
        <v>0</v>
      </c>
      <c r="AN121" s="85"/>
      <c r="AO121" s="84">
        <f t="shared" si="275"/>
        <v>0</v>
      </c>
      <c r="AP121" s="85"/>
      <c r="AQ121" s="84">
        <f t="shared" si="276"/>
        <v>0</v>
      </c>
      <c r="AR121" s="85"/>
      <c r="AS121" s="84">
        <f t="shared" si="277"/>
        <v>0</v>
      </c>
      <c r="AT121" s="81"/>
      <c r="AU121" s="214">
        <f t="shared" si="278"/>
        <v>0</v>
      </c>
    </row>
    <row r="122" spans="1:47" hidden="1" x14ac:dyDescent="0.35">
      <c r="A122" s="100" t="s">
        <v>356</v>
      </c>
      <c r="B122" s="172"/>
      <c r="C122" s="83">
        <f>'2020-21'!AS63</f>
        <v>0</v>
      </c>
      <c r="D122" s="107">
        <f t="shared" si="265"/>
        <v>0</v>
      </c>
      <c r="E122" s="304">
        <f t="shared" si="279"/>
        <v>0</v>
      </c>
      <c r="F122" s="287"/>
      <c r="G122" s="288" t="e">
        <f t="shared" si="211"/>
        <v>#DIV/0!</v>
      </c>
      <c r="H122" s="289"/>
      <c r="I122" s="290" t="e">
        <f t="shared" si="212"/>
        <v>#DIV/0!</v>
      </c>
      <c r="J122" s="287"/>
      <c r="K122" s="288" t="e">
        <f t="shared" si="213"/>
        <v>#DIV/0!</v>
      </c>
      <c r="L122" s="289"/>
      <c r="M122" s="290" t="e">
        <f t="shared" si="214"/>
        <v>#DIV/0!</v>
      </c>
      <c r="N122" s="287"/>
      <c r="O122" s="288" t="e">
        <f t="shared" si="215"/>
        <v>#DIV/0!</v>
      </c>
      <c r="P122" s="289"/>
      <c r="Q122" s="290" t="e">
        <f t="shared" si="216"/>
        <v>#DIV/0!</v>
      </c>
      <c r="R122" s="287"/>
      <c r="S122" s="313" t="e">
        <f t="shared" si="217"/>
        <v>#DIV/0!</v>
      </c>
      <c r="T122" s="287"/>
      <c r="U122" s="313" t="e">
        <f t="shared" si="280"/>
        <v>#DIV/0!</v>
      </c>
      <c r="V122" s="323" t="e">
        <f t="shared" si="281"/>
        <v>#DIV/0!</v>
      </c>
      <c r="W122" s="81">
        <f t="shared" si="266"/>
        <v>0</v>
      </c>
      <c r="X122" s="81"/>
      <c r="Y122" s="84">
        <f t="shared" si="267"/>
        <v>0</v>
      </c>
      <c r="Z122" s="85"/>
      <c r="AA122" s="48">
        <f t="shared" si="268"/>
        <v>0</v>
      </c>
      <c r="AB122" s="81"/>
      <c r="AC122" s="84">
        <f t="shared" si="269"/>
        <v>0</v>
      </c>
      <c r="AD122" s="85"/>
      <c r="AE122" s="84">
        <f t="shared" si="270"/>
        <v>0</v>
      </c>
      <c r="AF122" s="81"/>
      <c r="AG122" s="84">
        <f t="shared" si="271"/>
        <v>0</v>
      </c>
      <c r="AH122" s="85"/>
      <c r="AI122" s="84">
        <f t="shared" si="272"/>
        <v>0</v>
      </c>
      <c r="AJ122" s="85"/>
      <c r="AK122" s="84">
        <f t="shared" si="273"/>
        <v>0</v>
      </c>
      <c r="AL122" s="85"/>
      <c r="AM122" s="84">
        <f t="shared" si="274"/>
        <v>0</v>
      </c>
      <c r="AN122" s="85"/>
      <c r="AO122" s="84">
        <f t="shared" si="275"/>
        <v>0</v>
      </c>
      <c r="AP122" s="85"/>
      <c r="AQ122" s="84">
        <f t="shared" si="276"/>
        <v>0</v>
      </c>
      <c r="AR122" s="85"/>
      <c r="AS122" s="84">
        <f t="shared" si="277"/>
        <v>0</v>
      </c>
      <c r="AT122" s="81"/>
      <c r="AU122" s="214">
        <f t="shared" si="278"/>
        <v>0</v>
      </c>
    </row>
    <row r="123" spans="1:47" hidden="1" x14ac:dyDescent="0.35">
      <c r="A123" s="160" t="s">
        <v>423</v>
      </c>
      <c r="B123" s="170"/>
      <c r="C123" s="83">
        <f>'2020-21'!AS64</f>
        <v>0</v>
      </c>
      <c r="D123" s="107">
        <f t="shared" si="265"/>
        <v>0</v>
      </c>
      <c r="E123" s="304">
        <f t="shared" si="279"/>
        <v>0</v>
      </c>
      <c r="F123" s="287"/>
      <c r="G123" s="288" t="e">
        <f t="shared" si="211"/>
        <v>#DIV/0!</v>
      </c>
      <c r="H123" s="289"/>
      <c r="I123" s="290" t="e">
        <f t="shared" si="212"/>
        <v>#DIV/0!</v>
      </c>
      <c r="J123" s="287"/>
      <c r="K123" s="288" t="e">
        <f t="shared" si="213"/>
        <v>#DIV/0!</v>
      </c>
      <c r="L123" s="289"/>
      <c r="M123" s="290" t="e">
        <f t="shared" si="214"/>
        <v>#DIV/0!</v>
      </c>
      <c r="N123" s="287"/>
      <c r="O123" s="288" t="e">
        <f t="shared" si="215"/>
        <v>#DIV/0!</v>
      </c>
      <c r="P123" s="289"/>
      <c r="Q123" s="290" t="e">
        <f t="shared" si="216"/>
        <v>#DIV/0!</v>
      </c>
      <c r="R123" s="287"/>
      <c r="S123" s="313" t="e">
        <f t="shared" si="217"/>
        <v>#DIV/0!</v>
      </c>
      <c r="T123" s="287"/>
      <c r="U123" s="313" t="e">
        <f t="shared" si="280"/>
        <v>#DIV/0!</v>
      </c>
      <c r="V123" s="323" t="e">
        <f t="shared" si="281"/>
        <v>#DIV/0!</v>
      </c>
      <c r="W123" s="81">
        <f t="shared" si="266"/>
        <v>0</v>
      </c>
      <c r="X123" s="81"/>
      <c r="Y123" s="84">
        <f t="shared" si="267"/>
        <v>0</v>
      </c>
      <c r="Z123" s="85"/>
      <c r="AA123" s="48">
        <f t="shared" si="268"/>
        <v>0</v>
      </c>
      <c r="AB123" s="81"/>
      <c r="AC123" s="84">
        <f t="shared" si="269"/>
        <v>0</v>
      </c>
      <c r="AD123" s="85"/>
      <c r="AE123" s="84">
        <f t="shared" si="270"/>
        <v>0</v>
      </c>
      <c r="AF123" s="81"/>
      <c r="AG123" s="84">
        <f t="shared" si="271"/>
        <v>0</v>
      </c>
      <c r="AH123" s="85"/>
      <c r="AI123" s="84">
        <f t="shared" si="272"/>
        <v>0</v>
      </c>
      <c r="AJ123" s="85"/>
      <c r="AK123" s="84">
        <f t="shared" si="273"/>
        <v>0</v>
      </c>
      <c r="AL123" s="85"/>
      <c r="AM123" s="84">
        <f t="shared" si="274"/>
        <v>0</v>
      </c>
      <c r="AN123" s="85"/>
      <c r="AO123" s="84">
        <f t="shared" si="275"/>
        <v>0</v>
      </c>
      <c r="AP123" s="85"/>
      <c r="AQ123" s="84">
        <f t="shared" si="276"/>
        <v>0</v>
      </c>
      <c r="AR123" s="85"/>
      <c r="AS123" s="84">
        <f t="shared" si="277"/>
        <v>0</v>
      </c>
      <c r="AT123" s="81"/>
      <c r="AU123" s="214">
        <f t="shared" si="278"/>
        <v>0</v>
      </c>
    </row>
    <row r="124" spans="1:47" hidden="1" x14ac:dyDescent="0.35">
      <c r="A124" s="151" t="s">
        <v>421</v>
      </c>
      <c r="B124" s="170"/>
      <c r="C124" s="83">
        <f>'2020-21'!AS65</f>
        <v>0</v>
      </c>
      <c r="D124" s="107">
        <f t="shared" si="265"/>
        <v>0</v>
      </c>
      <c r="E124" s="304">
        <f t="shared" si="279"/>
        <v>0</v>
      </c>
      <c r="F124" s="287"/>
      <c r="G124" s="288" t="e">
        <f t="shared" si="211"/>
        <v>#DIV/0!</v>
      </c>
      <c r="H124" s="289"/>
      <c r="I124" s="290" t="e">
        <f t="shared" si="212"/>
        <v>#DIV/0!</v>
      </c>
      <c r="J124" s="287"/>
      <c r="K124" s="288" t="e">
        <f t="shared" si="213"/>
        <v>#DIV/0!</v>
      </c>
      <c r="L124" s="289"/>
      <c r="M124" s="290" t="e">
        <f t="shared" si="214"/>
        <v>#DIV/0!</v>
      </c>
      <c r="N124" s="287"/>
      <c r="O124" s="288" t="e">
        <f t="shared" si="215"/>
        <v>#DIV/0!</v>
      </c>
      <c r="P124" s="289"/>
      <c r="Q124" s="290" t="e">
        <f t="shared" si="216"/>
        <v>#DIV/0!</v>
      </c>
      <c r="R124" s="287"/>
      <c r="S124" s="313" t="e">
        <f t="shared" si="217"/>
        <v>#DIV/0!</v>
      </c>
      <c r="T124" s="287"/>
      <c r="U124" s="313" t="e">
        <f t="shared" si="280"/>
        <v>#DIV/0!</v>
      </c>
      <c r="V124" s="323" t="e">
        <f t="shared" si="281"/>
        <v>#DIV/0!</v>
      </c>
      <c r="W124" s="81">
        <f t="shared" si="266"/>
        <v>0</v>
      </c>
      <c r="X124" s="81"/>
      <c r="Y124" s="84">
        <f t="shared" si="267"/>
        <v>0</v>
      </c>
      <c r="Z124" s="51"/>
      <c r="AA124" s="48">
        <f t="shared" si="268"/>
        <v>0</v>
      </c>
      <c r="AB124" s="81"/>
      <c r="AC124" s="84">
        <f t="shared" si="269"/>
        <v>0</v>
      </c>
      <c r="AD124" s="85"/>
      <c r="AE124" s="84">
        <f t="shared" si="270"/>
        <v>0</v>
      </c>
      <c r="AF124" s="81"/>
      <c r="AG124" s="84">
        <f t="shared" si="271"/>
        <v>0</v>
      </c>
      <c r="AH124" s="85"/>
      <c r="AI124" s="84">
        <f t="shared" si="272"/>
        <v>0</v>
      </c>
      <c r="AJ124" s="85"/>
      <c r="AK124" s="84">
        <f t="shared" si="273"/>
        <v>0</v>
      </c>
      <c r="AL124" s="85"/>
      <c r="AM124" s="84">
        <f t="shared" si="274"/>
        <v>0</v>
      </c>
      <c r="AN124" s="85"/>
      <c r="AO124" s="84">
        <f t="shared" si="275"/>
        <v>0</v>
      </c>
      <c r="AP124" s="85"/>
      <c r="AQ124" s="84">
        <f t="shared" si="276"/>
        <v>0</v>
      </c>
      <c r="AR124" s="85"/>
      <c r="AS124" s="84">
        <f t="shared" si="277"/>
        <v>0</v>
      </c>
      <c r="AT124" s="81"/>
      <c r="AU124" s="214">
        <f t="shared" si="278"/>
        <v>0</v>
      </c>
    </row>
    <row r="125" spans="1:47" hidden="1" x14ac:dyDescent="0.35">
      <c r="A125" s="160" t="s">
        <v>422</v>
      </c>
      <c r="B125" s="170"/>
      <c r="C125" s="83">
        <f>'2020-21'!AS66</f>
        <v>0</v>
      </c>
      <c r="D125" s="107">
        <f t="shared" si="265"/>
        <v>0</v>
      </c>
      <c r="E125" s="304">
        <f t="shared" si="279"/>
        <v>0</v>
      </c>
      <c r="F125" s="287"/>
      <c r="G125" s="288" t="e">
        <f t="shared" si="211"/>
        <v>#DIV/0!</v>
      </c>
      <c r="H125" s="289"/>
      <c r="I125" s="290" t="e">
        <f t="shared" si="212"/>
        <v>#DIV/0!</v>
      </c>
      <c r="J125" s="287"/>
      <c r="K125" s="288" t="e">
        <f t="shared" si="213"/>
        <v>#DIV/0!</v>
      </c>
      <c r="L125" s="289"/>
      <c r="M125" s="290" t="e">
        <f t="shared" si="214"/>
        <v>#DIV/0!</v>
      </c>
      <c r="N125" s="287"/>
      <c r="O125" s="288" t="e">
        <f t="shared" si="215"/>
        <v>#DIV/0!</v>
      </c>
      <c r="P125" s="289"/>
      <c r="Q125" s="290" t="e">
        <f t="shared" si="216"/>
        <v>#DIV/0!</v>
      </c>
      <c r="R125" s="287"/>
      <c r="S125" s="313" t="e">
        <f t="shared" si="217"/>
        <v>#DIV/0!</v>
      </c>
      <c r="T125" s="287"/>
      <c r="U125" s="313" t="e">
        <f t="shared" si="280"/>
        <v>#DIV/0!</v>
      </c>
      <c r="V125" s="323" t="e">
        <f t="shared" si="281"/>
        <v>#DIV/0!</v>
      </c>
      <c r="W125" s="81">
        <f t="shared" si="266"/>
        <v>0</v>
      </c>
      <c r="X125" s="81"/>
      <c r="Y125" s="84">
        <f t="shared" si="267"/>
        <v>0</v>
      </c>
      <c r="Z125" s="85"/>
      <c r="AA125" s="48">
        <f t="shared" si="268"/>
        <v>0</v>
      </c>
      <c r="AB125" s="81"/>
      <c r="AC125" s="84">
        <f t="shared" si="269"/>
        <v>0</v>
      </c>
      <c r="AD125" s="85"/>
      <c r="AE125" s="84">
        <f t="shared" si="270"/>
        <v>0</v>
      </c>
      <c r="AF125" s="81"/>
      <c r="AG125" s="84">
        <f t="shared" si="271"/>
        <v>0</v>
      </c>
      <c r="AH125" s="85"/>
      <c r="AI125" s="84">
        <f t="shared" si="272"/>
        <v>0</v>
      </c>
      <c r="AJ125" s="85"/>
      <c r="AK125" s="84">
        <f t="shared" si="273"/>
        <v>0</v>
      </c>
      <c r="AL125" s="85"/>
      <c r="AM125" s="84">
        <f t="shared" si="274"/>
        <v>0</v>
      </c>
      <c r="AN125" s="85"/>
      <c r="AO125" s="84">
        <f t="shared" si="275"/>
        <v>0</v>
      </c>
      <c r="AP125" s="85"/>
      <c r="AQ125" s="84">
        <f t="shared" si="276"/>
        <v>0</v>
      </c>
      <c r="AR125" s="85"/>
      <c r="AS125" s="84">
        <f t="shared" si="277"/>
        <v>0</v>
      </c>
      <c r="AT125" s="81"/>
      <c r="AU125" s="214">
        <f t="shared" si="278"/>
        <v>0</v>
      </c>
    </row>
    <row r="126" spans="1:47" hidden="1" x14ac:dyDescent="0.35">
      <c r="A126" s="151" t="s">
        <v>467</v>
      </c>
      <c r="B126" s="180"/>
      <c r="C126" s="83">
        <f>'2020-21'!AS67</f>
        <v>0</v>
      </c>
      <c r="D126" s="107">
        <f t="shared" si="265"/>
        <v>0</v>
      </c>
      <c r="E126" s="304">
        <f t="shared" si="279"/>
        <v>0</v>
      </c>
      <c r="F126" s="287"/>
      <c r="G126" s="288" t="e">
        <f t="shared" si="211"/>
        <v>#DIV/0!</v>
      </c>
      <c r="H126" s="289"/>
      <c r="I126" s="290" t="e">
        <f t="shared" si="212"/>
        <v>#DIV/0!</v>
      </c>
      <c r="J126" s="287"/>
      <c r="K126" s="288" t="e">
        <f t="shared" si="213"/>
        <v>#DIV/0!</v>
      </c>
      <c r="L126" s="289"/>
      <c r="M126" s="290" t="e">
        <f t="shared" si="214"/>
        <v>#DIV/0!</v>
      </c>
      <c r="N126" s="287"/>
      <c r="O126" s="288" t="e">
        <f t="shared" si="215"/>
        <v>#DIV/0!</v>
      </c>
      <c r="P126" s="289"/>
      <c r="Q126" s="290" t="e">
        <f t="shared" si="216"/>
        <v>#DIV/0!</v>
      </c>
      <c r="R126" s="287"/>
      <c r="S126" s="313" t="e">
        <f t="shared" si="217"/>
        <v>#DIV/0!</v>
      </c>
      <c r="T126" s="287"/>
      <c r="U126" s="313" t="e">
        <f t="shared" si="280"/>
        <v>#DIV/0!</v>
      </c>
      <c r="V126" s="323" t="e">
        <f t="shared" si="281"/>
        <v>#DIV/0!</v>
      </c>
      <c r="W126" s="81">
        <f t="shared" si="266"/>
        <v>0</v>
      </c>
      <c r="X126" s="81"/>
      <c r="Y126" s="84">
        <f t="shared" si="267"/>
        <v>0</v>
      </c>
      <c r="Z126" s="85"/>
      <c r="AA126" s="48">
        <f t="shared" si="268"/>
        <v>0</v>
      </c>
      <c r="AB126" s="81"/>
      <c r="AC126" s="84">
        <f t="shared" si="269"/>
        <v>0</v>
      </c>
      <c r="AD126" s="85"/>
      <c r="AE126" s="84">
        <f t="shared" si="270"/>
        <v>0</v>
      </c>
      <c r="AF126" s="81"/>
      <c r="AG126" s="84">
        <f t="shared" si="271"/>
        <v>0</v>
      </c>
      <c r="AH126" s="85"/>
      <c r="AI126" s="84">
        <f t="shared" si="272"/>
        <v>0</v>
      </c>
      <c r="AJ126" s="85"/>
      <c r="AK126" s="84">
        <f t="shared" si="273"/>
        <v>0</v>
      </c>
      <c r="AL126" s="85"/>
      <c r="AM126" s="84">
        <f t="shared" si="274"/>
        <v>0</v>
      </c>
      <c r="AN126" s="85"/>
      <c r="AO126" s="84">
        <f t="shared" si="275"/>
        <v>0</v>
      </c>
      <c r="AP126" s="85"/>
      <c r="AQ126" s="84">
        <f t="shared" si="276"/>
        <v>0</v>
      </c>
      <c r="AR126" s="85"/>
      <c r="AS126" s="84">
        <f t="shared" si="277"/>
        <v>0</v>
      </c>
      <c r="AT126" s="81"/>
      <c r="AU126" s="214">
        <f t="shared" si="278"/>
        <v>0</v>
      </c>
    </row>
    <row r="127" spans="1:47" hidden="1" x14ac:dyDescent="0.35">
      <c r="A127" s="151" t="s">
        <v>308</v>
      </c>
      <c r="B127" s="180"/>
      <c r="C127" s="83">
        <f>'2020-21'!AS68</f>
        <v>0</v>
      </c>
      <c r="D127" s="107">
        <f t="shared" si="265"/>
        <v>0</v>
      </c>
      <c r="E127" s="304">
        <f t="shared" si="279"/>
        <v>0</v>
      </c>
      <c r="F127" s="287"/>
      <c r="G127" s="288" t="e">
        <f t="shared" si="211"/>
        <v>#DIV/0!</v>
      </c>
      <c r="H127" s="289"/>
      <c r="I127" s="290" t="e">
        <f t="shared" si="212"/>
        <v>#DIV/0!</v>
      </c>
      <c r="J127" s="287"/>
      <c r="K127" s="288" t="e">
        <f t="shared" si="213"/>
        <v>#DIV/0!</v>
      </c>
      <c r="L127" s="289"/>
      <c r="M127" s="290" t="e">
        <f t="shared" si="214"/>
        <v>#DIV/0!</v>
      </c>
      <c r="N127" s="287"/>
      <c r="O127" s="288" t="e">
        <f t="shared" si="215"/>
        <v>#DIV/0!</v>
      </c>
      <c r="P127" s="289"/>
      <c r="Q127" s="290" t="e">
        <f t="shared" si="216"/>
        <v>#DIV/0!</v>
      </c>
      <c r="R127" s="287"/>
      <c r="S127" s="313" t="e">
        <f t="shared" si="217"/>
        <v>#DIV/0!</v>
      </c>
      <c r="T127" s="287"/>
      <c r="U127" s="313" t="e">
        <f t="shared" si="280"/>
        <v>#DIV/0!</v>
      </c>
      <c r="V127" s="323" t="e">
        <f t="shared" si="281"/>
        <v>#DIV/0!</v>
      </c>
      <c r="W127" s="81">
        <f t="shared" si="266"/>
        <v>0</v>
      </c>
      <c r="X127" s="81"/>
      <c r="Y127" s="84">
        <f t="shared" si="267"/>
        <v>0</v>
      </c>
      <c r="Z127" s="85"/>
      <c r="AA127" s="48">
        <f t="shared" si="268"/>
        <v>0</v>
      </c>
      <c r="AB127" s="81"/>
      <c r="AC127" s="84">
        <f t="shared" si="269"/>
        <v>0</v>
      </c>
      <c r="AD127" s="85"/>
      <c r="AE127" s="84">
        <f t="shared" si="270"/>
        <v>0</v>
      </c>
      <c r="AF127" s="81"/>
      <c r="AG127" s="84">
        <f t="shared" si="271"/>
        <v>0</v>
      </c>
      <c r="AH127" s="85"/>
      <c r="AI127" s="84">
        <f t="shared" si="272"/>
        <v>0</v>
      </c>
      <c r="AJ127" s="85"/>
      <c r="AK127" s="84">
        <f t="shared" si="273"/>
        <v>0</v>
      </c>
      <c r="AL127" s="85"/>
      <c r="AM127" s="84">
        <f t="shared" si="274"/>
        <v>0</v>
      </c>
      <c r="AN127" s="85"/>
      <c r="AO127" s="84">
        <f t="shared" si="275"/>
        <v>0</v>
      </c>
      <c r="AP127" s="85"/>
      <c r="AQ127" s="84">
        <f t="shared" si="276"/>
        <v>0</v>
      </c>
      <c r="AR127" s="85"/>
      <c r="AS127" s="84">
        <f t="shared" si="277"/>
        <v>0</v>
      </c>
      <c r="AT127" s="81"/>
      <c r="AU127" s="214">
        <f t="shared" si="278"/>
        <v>0</v>
      </c>
    </row>
    <row r="128" spans="1:47" hidden="1" x14ac:dyDescent="0.35">
      <c r="A128" s="187" t="s">
        <v>381</v>
      </c>
      <c r="B128" s="170"/>
      <c r="C128" s="83">
        <f>'2020-21'!AS69</f>
        <v>0</v>
      </c>
      <c r="D128" s="107">
        <f t="shared" si="265"/>
        <v>0</v>
      </c>
      <c r="E128" s="304">
        <f t="shared" si="279"/>
        <v>0</v>
      </c>
      <c r="F128" s="287"/>
      <c r="G128" s="288" t="e">
        <f t="shared" si="211"/>
        <v>#DIV/0!</v>
      </c>
      <c r="H128" s="289"/>
      <c r="I128" s="290" t="e">
        <f t="shared" si="212"/>
        <v>#DIV/0!</v>
      </c>
      <c r="J128" s="287"/>
      <c r="K128" s="288" t="e">
        <f t="shared" si="213"/>
        <v>#DIV/0!</v>
      </c>
      <c r="L128" s="289"/>
      <c r="M128" s="290" t="e">
        <f t="shared" si="214"/>
        <v>#DIV/0!</v>
      </c>
      <c r="N128" s="287"/>
      <c r="O128" s="288" t="e">
        <f t="shared" si="215"/>
        <v>#DIV/0!</v>
      </c>
      <c r="P128" s="289"/>
      <c r="Q128" s="290" t="e">
        <f t="shared" si="216"/>
        <v>#DIV/0!</v>
      </c>
      <c r="R128" s="287"/>
      <c r="S128" s="313" t="e">
        <f t="shared" si="217"/>
        <v>#DIV/0!</v>
      </c>
      <c r="T128" s="287"/>
      <c r="U128" s="313" t="e">
        <f t="shared" si="280"/>
        <v>#DIV/0!</v>
      </c>
      <c r="V128" s="323" t="e">
        <f t="shared" si="281"/>
        <v>#DIV/0!</v>
      </c>
      <c r="W128" s="81">
        <f t="shared" si="266"/>
        <v>0</v>
      </c>
      <c r="X128" s="81"/>
      <c r="Y128" s="84">
        <f t="shared" si="267"/>
        <v>0</v>
      </c>
      <c r="Z128" s="85"/>
      <c r="AA128" s="48">
        <f t="shared" si="268"/>
        <v>0</v>
      </c>
      <c r="AB128" s="81"/>
      <c r="AC128" s="84">
        <f t="shared" si="269"/>
        <v>0</v>
      </c>
      <c r="AD128" s="85"/>
      <c r="AE128" s="84">
        <f t="shared" si="270"/>
        <v>0</v>
      </c>
      <c r="AF128" s="81"/>
      <c r="AG128" s="84">
        <f t="shared" si="271"/>
        <v>0</v>
      </c>
      <c r="AH128" s="85"/>
      <c r="AI128" s="84">
        <f t="shared" si="272"/>
        <v>0</v>
      </c>
      <c r="AJ128" s="85"/>
      <c r="AK128" s="84">
        <f t="shared" si="273"/>
        <v>0</v>
      </c>
      <c r="AL128" s="85"/>
      <c r="AM128" s="84">
        <f t="shared" si="274"/>
        <v>0</v>
      </c>
      <c r="AN128" s="85"/>
      <c r="AO128" s="84">
        <f t="shared" si="275"/>
        <v>0</v>
      </c>
      <c r="AP128" s="85"/>
      <c r="AQ128" s="84">
        <f t="shared" si="276"/>
        <v>0</v>
      </c>
      <c r="AR128" s="85"/>
      <c r="AS128" s="84">
        <f t="shared" si="277"/>
        <v>0</v>
      </c>
      <c r="AT128" s="81"/>
      <c r="AU128" s="214">
        <f t="shared" si="278"/>
        <v>0</v>
      </c>
    </row>
    <row r="129" spans="1:47" hidden="1" x14ac:dyDescent="0.35">
      <c r="A129" s="159" t="s">
        <v>399</v>
      </c>
      <c r="B129" s="170"/>
      <c r="C129" s="83">
        <f>'2020-21'!AS70</f>
        <v>0</v>
      </c>
      <c r="D129" s="107">
        <f t="shared" si="265"/>
        <v>0</v>
      </c>
      <c r="E129" s="304">
        <f t="shared" si="279"/>
        <v>0</v>
      </c>
      <c r="F129" s="287"/>
      <c r="G129" s="288" t="e">
        <f t="shared" si="211"/>
        <v>#DIV/0!</v>
      </c>
      <c r="H129" s="289"/>
      <c r="I129" s="290" t="e">
        <f t="shared" si="212"/>
        <v>#DIV/0!</v>
      </c>
      <c r="J129" s="287"/>
      <c r="K129" s="288" t="e">
        <f t="shared" si="213"/>
        <v>#DIV/0!</v>
      </c>
      <c r="L129" s="289"/>
      <c r="M129" s="290" t="e">
        <f t="shared" si="214"/>
        <v>#DIV/0!</v>
      </c>
      <c r="N129" s="287"/>
      <c r="O129" s="288" t="e">
        <f t="shared" si="215"/>
        <v>#DIV/0!</v>
      </c>
      <c r="P129" s="289"/>
      <c r="Q129" s="290" t="e">
        <f t="shared" si="216"/>
        <v>#DIV/0!</v>
      </c>
      <c r="R129" s="287"/>
      <c r="S129" s="313" t="e">
        <f t="shared" si="217"/>
        <v>#DIV/0!</v>
      </c>
      <c r="T129" s="287"/>
      <c r="U129" s="313" t="e">
        <f t="shared" si="280"/>
        <v>#DIV/0!</v>
      </c>
      <c r="V129" s="323" t="e">
        <f t="shared" si="281"/>
        <v>#DIV/0!</v>
      </c>
      <c r="W129" s="81">
        <f t="shared" si="266"/>
        <v>0</v>
      </c>
      <c r="X129" s="81"/>
      <c r="Y129" s="84">
        <f t="shared" si="267"/>
        <v>0</v>
      </c>
      <c r="Z129" s="85"/>
      <c r="AA129" s="48">
        <f t="shared" si="268"/>
        <v>0</v>
      </c>
      <c r="AB129" s="81"/>
      <c r="AC129" s="84">
        <f t="shared" si="269"/>
        <v>0</v>
      </c>
      <c r="AD129" s="85"/>
      <c r="AE129" s="84">
        <f t="shared" si="270"/>
        <v>0</v>
      </c>
      <c r="AF129" s="81"/>
      <c r="AG129" s="84">
        <f t="shared" si="271"/>
        <v>0</v>
      </c>
      <c r="AH129" s="85"/>
      <c r="AI129" s="84">
        <f t="shared" si="272"/>
        <v>0</v>
      </c>
      <c r="AJ129" s="85"/>
      <c r="AK129" s="84">
        <f t="shared" si="273"/>
        <v>0</v>
      </c>
      <c r="AL129" s="85"/>
      <c r="AM129" s="84">
        <f t="shared" si="274"/>
        <v>0</v>
      </c>
      <c r="AN129" s="85"/>
      <c r="AO129" s="84">
        <f t="shared" si="275"/>
        <v>0</v>
      </c>
      <c r="AP129" s="85"/>
      <c r="AQ129" s="84">
        <f t="shared" si="276"/>
        <v>0</v>
      </c>
      <c r="AR129" s="85"/>
      <c r="AS129" s="84">
        <f t="shared" si="277"/>
        <v>0</v>
      </c>
      <c r="AT129" s="81"/>
      <c r="AU129" s="214">
        <f t="shared" si="278"/>
        <v>0</v>
      </c>
    </row>
    <row r="130" spans="1:47" hidden="1" x14ac:dyDescent="0.35">
      <c r="A130" s="161" t="s">
        <v>397</v>
      </c>
      <c r="B130" s="170"/>
      <c r="C130" s="83">
        <f>'2020-21'!AS71</f>
        <v>0</v>
      </c>
      <c r="D130" s="107">
        <f t="shared" si="265"/>
        <v>0</v>
      </c>
      <c r="E130" s="304">
        <f t="shared" si="279"/>
        <v>0</v>
      </c>
      <c r="F130" s="287"/>
      <c r="G130" s="288" t="e">
        <f t="shared" si="211"/>
        <v>#DIV/0!</v>
      </c>
      <c r="H130" s="289"/>
      <c r="I130" s="290" t="e">
        <f t="shared" si="212"/>
        <v>#DIV/0!</v>
      </c>
      <c r="J130" s="287"/>
      <c r="K130" s="288" t="e">
        <f t="shared" si="213"/>
        <v>#DIV/0!</v>
      </c>
      <c r="L130" s="289"/>
      <c r="M130" s="290" t="e">
        <f t="shared" si="214"/>
        <v>#DIV/0!</v>
      </c>
      <c r="N130" s="287"/>
      <c r="O130" s="288" t="e">
        <f t="shared" si="215"/>
        <v>#DIV/0!</v>
      </c>
      <c r="P130" s="289"/>
      <c r="Q130" s="290" t="e">
        <f t="shared" si="216"/>
        <v>#DIV/0!</v>
      </c>
      <c r="R130" s="287"/>
      <c r="S130" s="313" t="e">
        <f t="shared" si="217"/>
        <v>#DIV/0!</v>
      </c>
      <c r="T130" s="287"/>
      <c r="U130" s="313" t="e">
        <f t="shared" si="280"/>
        <v>#DIV/0!</v>
      </c>
      <c r="V130" s="323" t="e">
        <f t="shared" si="281"/>
        <v>#DIV/0!</v>
      </c>
      <c r="W130" s="81">
        <f t="shared" si="266"/>
        <v>0</v>
      </c>
      <c r="X130" s="81"/>
      <c r="Y130" s="84">
        <f t="shared" si="267"/>
        <v>0</v>
      </c>
      <c r="Z130" s="85"/>
      <c r="AA130" s="48">
        <f t="shared" si="268"/>
        <v>0</v>
      </c>
      <c r="AB130" s="81"/>
      <c r="AC130" s="84">
        <f t="shared" si="269"/>
        <v>0</v>
      </c>
      <c r="AD130" s="85"/>
      <c r="AE130" s="84">
        <f t="shared" si="270"/>
        <v>0</v>
      </c>
      <c r="AF130" s="81"/>
      <c r="AG130" s="84">
        <f t="shared" si="271"/>
        <v>0</v>
      </c>
      <c r="AH130" s="85"/>
      <c r="AI130" s="84">
        <f t="shared" si="272"/>
        <v>0</v>
      </c>
      <c r="AJ130" s="85"/>
      <c r="AK130" s="84">
        <f t="shared" si="273"/>
        <v>0</v>
      </c>
      <c r="AL130" s="85"/>
      <c r="AM130" s="84">
        <f t="shared" si="274"/>
        <v>0</v>
      </c>
      <c r="AN130" s="85"/>
      <c r="AO130" s="84">
        <f t="shared" si="275"/>
        <v>0</v>
      </c>
      <c r="AP130" s="85"/>
      <c r="AQ130" s="84">
        <f t="shared" si="276"/>
        <v>0</v>
      </c>
      <c r="AR130" s="85"/>
      <c r="AS130" s="84">
        <f t="shared" si="277"/>
        <v>0</v>
      </c>
      <c r="AT130" s="81"/>
      <c r="AU130" s="214">
        <f t="shared" si="278"/>
        <v>0</v>
      </c>
    </row>
    <row r="131" spans="1:47" hidden="1" x14ac:dyDescent="0.35">
      <c r="A131" s="159" t="s">
        <v>428</v>
      </c>
      <c r="B131" s="180"/>
      <c r="C131" s="83">
        <f>'2020-21'!AS72</f>
        <v>0</v>
      </c>
      <c r="D131" s="107">
        <f t="shared" si="265"/>
        <v>0</v>
      </c>
      <c r="E131" s="304">
        <f t="shared" si="279"/>
        <v>0</v>
      </c>
      <c r="F131" s="287"/>
      <c r="G131" s="288" t="e">
        <f t="shared" si="211"/>
        <v>#DIV/0!</v>
      </c>
      <c r="H131" s="289"/>
      <c r="I131" s="290" t="e">
        <f t="shared" si="212"/>
        <v>#DIV/0!</v>
      </c>
      <c r="J131" s="287"/>
      <c r="K131" s="288" t="e">
        <f t="shared" si="213"/>
        <v>#DIV/0!</v>
      </c>
      <c r="L131" s="289"/>
      <c r="M131" s="290" t="e">
        <f t="shared" si="214"/>
        <v>#DIV/0!</v>
      </c>
      <c r="N131" s="287"/>
      <c r="O131" s="288" t="e">
        <f t="shared" si="215"/>
        <v>#DIV/0!</v>
      </c>
      <c r="P131" s="289"/>
      <c r="Q131" s="290" t="e">
        <f t="shared" si="216"/>
        <v>#DIV/0!</v>
      </c>
      <c r="R131" s="287"/>
      <c r="S131" s="313" t="e">
        <f t="shared" si="217"/>
        <v>#DIV/0!</v>
      </c>
      <c r="T131" s="287"/>
      <c r="U131" s="313" t="e">
        <f t="shared" si="280"/>
        <v>#DIV/0!</v>
      </c>
      <c r="V131" s="323" t="e">
        <f t="shared" si="281"/>
        <v>#DIV/0!</v>
      </c>
      <c r="W131" s="81">
        <f t="shared" si="266"/>
        <v>0</v>
      </c>
      <c r="X131" s="81"/>
      <c r="Y131" s="84">
        <f t="shared" si="267"/>
        <v>0</v>
      </c>
      <c r="Z131" s="85"/>
      <c r="AA131" s="48">
        <f t="shared" si="268"/>
        <v>0</v>
      </c>
      <c r="AB131" s="81"/>
      <c r="AC131" s="84">
        <f t="shared" si="269"/>
        <v>0</v>
      </c>
      <c r="AD131" s="85"/>
      <c r="AE131" s="84">
        <f t="shared" si="270"/>
        <v>0</v>
      </c>
      <c r="AF131" s="81"/>
      <c r="AG131" s="84">
        <f t="shared" si="271"/>
        <v>0</v>
      </c>
      <c r="AH131" s="85"/>
      <c r="AI131" s="84">
        <f t="shared" si="272"/>
        <v>0</v>
      </c>
      <c r="AJ131" s="85"/>
      <c r="AK131" s="84">
        <f t="shared" si="273"/>
        <v>0</v>
      </c>
      <c r="AL131" s="85"/>
      <c r="AM131" s="84">
        <f t="shared" si="274"/>
        <v>0</v>
      </c>
      <c r="AN131" s="85"/>
      <c r="AO131" s="84">
        <f t="shared" si="275"/>
        <v>0</v>
      </c>
      <c r="AP131" s="85"/>
      <c r="AQ131" s="84">
        <f t="shared" si="276"/>
        <v>0</v>
      </c>
      <c r="AR131" s="85"/>
      <c r="AS131" s="84">
        <f t="shared" si="277"/>
        <v>0</v>
      </c>
      <c r="AT131" s="81"/>
      <c r="AU131" s="214">
        <f t="shared" si="278"/>
        <v>0</v>
      </c>
    </row>
    <row r="132" spans="1:47" hidden="1" x14ac:dyDescent="0.35">
      <c r="A132" s="159" t="s">
        <v>410</v>
      </c>
      <c r="B132" s="172"/>
      <c r="C132" s="83">
        <f>'2020-21'!AS73</f>
        <v>0</v>
      </c>
      <c r="D132" s="107">
        <f t="shared" si="265"/>
        <v>0</v>
      </c>
      <c r="E132" s="304">
        <f t="shared" si="279"/>
        <v>0</v>
      </c>
      <c r="F132" s="287"/>
      <c r="G132" s="288" t="e">
        <f t="shared" si="211"/>
        <v>#DIV/0!</v>
      </c>
      <c r="H132" s="289"/>
      <c r="I132" s="290" t="e">
        <f t="shared" si="212"/>
        <v>#DIV/0!</v>
      </c>
      <c r="J132" s="287"/>
      <c r="K132" s="288" t="e">
        <f t="shared" si="213"/>
        <v>#DIV/0!</v>
      </c>
      <c r="L132" s="289"/>
      <c r="M132" s="290" t="e">
        <f t="shared" si="214"/>
        <v>#DIV/0!</v>
      </c>
      <c r="N132" s="287"/>
      <c r="O132" s="288" t="e">
        <f t="shared" si="215"/>
        <v>#DIV/0!</v>
      </c>
      <c r="P132" s="289"/>
      <c r="Q132" s="290" t="e">
        <f t="shared" si="216"/>
        <v>#DIV/0!</v>
      </c>
      <c r="R132" s="287"/>
      <c r="S132" s="313" t="e">
        <f t="shared" si="217"/>
        <v>#DIV/0!</v>
      </c>
      <c r="T132" s="287"/>
      <c r="U132" s="313" t="e">
        <f t="shared" si="280"/>
        <v>#DIV/0!</v>
      </c>
      <c r="V132" s="323" t="e">
        <f t="shared" si="281"/>
        <v>#DIV/0!</v>
      </c>
      <c r="W132" s="81">
        <f t="shared" si="266"/>
        <v>0</v>
      </c>
      <c r="X132" s="81"/>
      <c r="Y132" s="84">
        <f t="shared" si="267"/>
        <v>0</v>
      </c>
      <c r="Z132" s="85"/>
      <c r="AA132" s="48">
        <f t="shared" si="268"/>
        <v>0</v>
      </c>
      <c r="AB132" s="81"/>
      <c r="AC132" s="84">
        <f t="shared" si="269"/>
        <v>0</v>
      </c>
      <c r="AD132" s="85"/>
      <c r="AE132" s="84">
        <f t="shared" si="270"/>
        <v>0</v>
      </c>
      <c r="AF132" s="81"/>
      <c r="AG132" s="84">
        <f t="shared" si="271"/>
        <v>0</v>
      </c>
      <c r="AH132" s="85"/>
      <c r="AI132" s="84">
        <f t="shared" si="272"/>
        <v>0</v>
      </c>
      <c r="AJ132" s="85"/>
      <c r="AK132" s="84">
        <f t="shared" si="273"/>
        <v>0</v>
      </c>
      <c r="AL132" s="85"/>
      <c r="AM132" s="84">
        <f t="shared" si="274"/>
        <v>0</v>
      </c>
      <c r="AN132" s="85"/>
      <c r="AO132" s="84">
        <f t="shared" si="275"/>
        <v>0</v>
      </c>
      <c r="AP132" s="85"/>
      <c r="AQ132" s="84">
        <f t="shared" si="276"/>
        <v>0</v>
      </c>
      <c r="AR132" s="85"/>
      <c r="AS132" s="84">
        <f t="shared" si="277"/>
        <v>0</v>
      </c>
      <c r="AT132" s="81"/>
      <c r="AU132" s="214">
        <f t="shared" si="278"/>
        <v>0</v>
      </c>
    </row>
    <row r="133" spans="1:47" hidden="1" x14ac:dyDescent="0.35">
      <c r="A133" s="100" t="s">
        <v>363</v>
      </c>
      <c r="B133" s="172"/>
      <c r="C133" s="83">
        <f>'2020-21'!AS74</f>
        <v>0</v>
      </c>
      <c r="D133" s="107">
        <f t="shared" si="265"/>
        <v>0</v>
      </c>
      <c r="E133" s="304">
        <f t="shared" si="279"/>
        <v>0</v>
      </c>
      <c r="F133" s="287"/>
      <c r="G133" s="288" t="e">
        <f t="shared" si="211"/>
        <v>#DIV/0!</v>
      </c>
      <c r="H133" s="289"/>
      <c r="I133" s="290" t="e">
        <f t="shared" si="212"/>
        <v>#DIV/0!</v>
      </c>
      <c r="J133" s="287"/>
      <c r="K133" s="288" t="e">
        <f t="shared" si="213"/>
        <v>#DIV/0!</v>
      </c>
      <c r="L133" s="289"/>
      <c r="M133" s="290" t="e">
        <f t="shared" si="214"/>
        <v>#DIV/0!</v>
      </c>
      <c r="N133" s="287"/>
      <c r="O133" s="288" t="e">
        <f t="shared" si="215"/>
        <v>#DIV/0!</v>
      </c>
      <c r="P133" s="289"/>
      <c r="Q133" s="290" t="e">
        <f t="shared" si="216"/>
        <v>#DIV/0!</v>
      </c>
      <c r="R133" s="287"/>
      <c r="S133" s="313" t="e">
        <f t="shared" si="217"/>
        <v>#DIV/0!</v>
      </c>
      <c r="T133" s="287"/>
      <c r="U133" s="313" t="e">
        <f t="shared" si="280"/>
        <v>#DIV/0!</v>
      </c>
      <c r="V133" s="323" t="e">
        <f t="shared" si="281"/>
        <v>#DIV/0!</v>
      </c>
      <c r="W133" s="81">
        <f t="shared" si="266"/>
        <v>0</v>
      </c>
      <c r="X133" s="81"/>
      <c r="Y133" s="84">
        <f t="shared" si="267"/>
        <v>0</v>
      </c>
      <c r="Z133" s="85"/>
      <c r="AA133" s="48">
        <f t="shared" si="268"/>
        <v>0</v>
      </c>
      <c r="AB133" s="81"/>
      <c r="AC133" s="84">
        <f t="shared" si="269"/>
        <v>0</v>
      </c>
      <c r="AD133" s="85"/>
      <c r="AE133" s="84">
        <f t="shared" si="270"/>
        <v>0</v>
      </c>
      <c r="AF133" s="81"/>
      <c r="AG133" s="84">
        <f t="shared" si="271"/>
        <v>0</v>
      </c>
      <c r="AH133" s="85"/>
      <c r="AI133" s="84">
        <f t="shared" si="272"/>
        <v>0</v>
      </c>
      <c r="AJ133" s="85"/>
      <c r="AK133" s="84">
        <f t="shared" si="273"/>
        <v>0</v>
      </c>
      <c r="AL133" s="85"/>
      <c r="AM133" s="84">
        <f t="shared" si="274"/>
        <v>0</v>
      </c>
      <c r="AN133" s="85"/>
      <c r="AO133" s="84">
        <f t="shared" si="275"/>
        <v>0</v>
      </c>
      <c r="AP133" s="85"/>
      <c r="AQ133" s="84">
        <f t="shared" si="276"/>
        <v>0</v>
      </c>
      <c r="AR133" s="85"/>
      <c r="AS133" s="84">
        <f t="shared" si="277"/>
        <v>0</v>
      </c>
      <c r="AT133" s="81"/>
      <c r="AU133" s="214">
        <f t="shared" si="278"/>
        <v>0</v>
      </c>
    </row>
    <row r="134" spans="1:47" hidden="1" x14ac:dyDescent="0.35">
      <c r="A134" s="159" t="s">
        <v>402</v>
      </c>
      <c r="B134" s="170"/>
      <c r="C134" s="83">
        <f>'2020-21'!AS75</f>
        <v>0</v>
      </c>
      <c r="D134" s="107">
        <f t="shared" si="265"/>
        <v>0</v>
      </c>
      <c r="E134" s="304">
        <f t="shared" si="279"/>
        <v>0</v>
      </c>
      <c r="F134" s="287"/>
      <c r="G134" s="288" t="e">
        <f t="shared" si="211"/>
        <v>#DIV/0!</v>
      </c>
      <c r="H134" s="289"/>
      <c r="I134" s="290" t="e">
        <f t="shared" si="212"/>
        <v>#DIV/0!</v>
      </c>
      <c r="J134" s="287"/>
      <c r="K134" s="288" t="e">
        <f t="shared" si="213"/>
        <v>#DIV/0!</v>
      </c>
      <c r="L134" s="289"/>
      <c r="M134" s="290" t="e">
        <f t="shared" si="214"/>
        <v>#DIV/0!</v>
      </c>
      <c r="N134" s="287"/>
      <c r="O134" s="288" t="e">
        <f t="shared" si="215"/>
        <v>#DIV/0!</v>
      </c>
      <c r="P134" s="289"/>
      <c r="Q134" s="290" t="e">
        <f t="shared" si="216"/>
        <v>#DIV/0!</v>
      </c>
      <c r="R134" s="287"/>
      <c r="S134" s="313" t="e">
        <f t="shared" si="217"/>
        <v>#DIV/0!</v>
      </c>
      <c r="T134" s="287"/>
      <c r="U134" s="313" t="e">
        <f t="shared" si="280"/>
        <v>#DIV/0!</v>
      </c>
      <c r="V134" s="323" t="e">
        <f t="shared" si="281"/>
        <v>#DIV/0!</v>
      </c>
      <c r="W134" s="81">
        <f t="shared" si="266"/>
        <v>0</v>
      </c>
      <c r="X134" s="81"/>
      <c r="Y134" s="84">
        <f t="shared" si="267"/>
        <v>0</v>
      </c>
      <c r="Z134" s="85"/>
      <c r="AA134" s="48">
        <f t="shared" si="268"/>
        <v>0</v>
      </c>
      <c r="AB134" s="81"/>
      <c r="AC134" s="84">
        <f t="shared" si="269"/>
        <v>0</v>
      </c>
      <c r="AD134" s="85"/>
      <c r="AE134" s="84">
        <f t="shared" si="270"/>
        <v>0</v>
      </c>
      <c r="AF134" s="81"/>
      <c r="AG134" s="84">
        <f t="shared" si="271"/>
        <v>0</v>
      </c>
      <c r="AH134" s="85"/>
      <c r="AI134" s="84">
        <f t="shared" si="272"/>
        <v>0</v>
      </c>
      <c r="AJ134" s="85"/>
      <c r="AK134" s="84">
        <f t="shared" si="273"/>
        <v>0</v>
      </c>
      <c r="AL134" s="85"/>
      <c r="AM134" s="84">
        <f t="shared" si="274"/>
        <v>0</v>
      </c>
      <c r="AN134" s="85"/>
      <c r="AO134" s="84">
        <f t="shared" si="275"/>
        <v>0</v>
      </c>
      <c r="AP134" s="85"/>
      <c r="AQ134" s="84">
        <f t="shared" si="276"/>
        <v>0</v>
      </c>
      <c r="AR134" s="85"/>
      <c r="AS134" s="84">
        <f t="shared" si="277"/>
        <v>0</v>
      </c>
      <c r="AT134" s="81"/>
      <c r="AU134" s="214">
        <f t="shared" si="278"/>
        <v>0</v>
      </c>
    </row>
    <row r="135" spans="1:47" hidden="1" x14ac:dyDescent="0.35">
      <c r="A135" s="41" t="s">
        <v>221</v>
      </c>
      <c r="B135" s="172"/>
      <c r="C135" s="83">
        <f>'2020-21'!AS76</f>
        <v>0</v>
      </c>
      <c r="D135" s="107">
        <f t="shared" si="265"/>
        <v>0</v>
      </c>
      <c r="E135" s="304">
        <f t="shared" si="279"/>
        <v>0</v>
      </c>
      <c r="F135" s="287"/>
      <c r="G135" s="288" t="e">
        <f t="shared" si="211"/>
        <v>#DIV/0!</v>
      </c>
      <c r="H135" s="289"/>
      <c r="I135" s="290" t="e">
        <f t="shared" si="212"/>
        <v>#DIV/0!</v>
      </c>
      <c r="J135" s="287"/>
      <c r="K135" s="288" t="e">
        <f t="shared" si="213"/>
        <v>#DIV/0!</v>
      </c>
      <c r="L135" s="289"/>
      <c r="M135" s="290" t="e">
        <f t="shared" si="214"/>
        <v>#DIV/0!</v>
      </c>
      <c r="N135" s="287"/>
      <c r="O135" s="288" t="e">
        <f t="shared" si="215"/>
        <v>#DIV/0!</v>
      </c>
      <c r="P135" s="289"/>
      <c r="Q135" s="290" t="e">
        <f t="shared" si="216"/>
        <v>#DIV/0!</v>
      </c>
      <c r="R135" s="287"/>
      <c r="S135" s="313" t="e">
        <f t="shared" si="217"/>
        <v>#DIV/0!</v>
      </c>
      <c r="T135" s="287"/>
      <c r="U135" s="313" t="e">
        <f t="shared" si="280"/>
        <v>#DIV/0!</v>
      </c>
      <c r="V135" s="323" t="e">
        <f t="shared" si="281"/>
        <v>#DIV/0!</v>
      </c>
      <c r="W135" s="81">
        <f t="shared" si="266"/>
        <v>0</v>
      </c>
      <c r="X135" s="81"/>
      <c r="Y135" s="84">
        <f t="shared" si="267"/>
        <v>0</v>
      </c>
      <c r="Z135" s="85"/>
      <c r="AA135" s="48">
        <f t="shared" si="268"/>
        <v>0</v>
      </c>
      <c r="AB135" s="81"/>
      <c r="AC135" s="84">
        <f t="shared" si="269"/>
        <v>0</v>
      </c>
      <c r="AD135" s="85"/>
      <c r="AE135" s="84">
        <f t="shared" si="270"/>
        <v>0</v>
      </c>
      <c r="AF135" s="81"/>
      <c r="AG135" s="84">
        <f t="shared" si="271"/>
        <v>0</v>
      </c>
      <c r="AH135" s="85"/>
      <c r="AI135" s="84">
        <f t="shared" si="272"/>
        <v>0</v>
      </c>
      <c r="AJ135" s="85"/>
      <c r="AK135" s="84">
        <f t="shared" si="273"/>
        <v>0</v>
      </c>
      <c r="AL135" s="85"/>
      <c r="AM135" s="84">
        <f t="shared" si="274"/>
        <v>0</v>
      </c>
      <c r="AN135" s="85"/>
      <c r="AO135" s="84">
        <f t="shared" si="275"/>
        <v>0</v>
      </c>
      <c r="AP135" s="85"/>
      <c r="AQ135" s="84">
        <f t="shared" si="276"/>
        <v>0</v>
      </c>
      <c r="AR135" s="85"/>
      <c r="AS135" s="84">
        <f t="shared" si="277"/>
        <v>0</v>
      </c>
      <c r="AT135" s="81"/>
      <c r="AU135" s="214">
        <f t="shared" si="278"/>
        <v>0</v>
      </c>
    </row>
    <row r="136" spans="1:47" hidden="1" x14ac:dyDescent="0.35">
      <c r="A136" s="66" t="s">
        <v>434</v>
      </c>
      <c r="B136" s="174"/>
      <c r="C136" s="83">
        <f>'2020-21'!AS77</f>
        <v>0</v>
      </c>
      <c r="D136" s="107">
        <f t="shared" si="265"/>
        <v>0</v>
      </c>
      <c r="E136" s="304">
        <f t="shared" si="279"/>
        <v>0</v>
      </c>
      <c r="F136" s="287"/>
      <c r="G136" s="288" t="e">
        <f t="shared" si="211"/>
        <v>#DIV/0!</v>
      </c>
      <c r="H136" s="289"/>
      <c r="I136" s="290" t="e">
        <f t="shared" si="212"/>
        <v>#DIV/0!</v>
      </c>
      <c r="J136" s="287"/>
      <c r="K136" s="288" t="e">
        <f t="shared" si="213"/>
        <v>#DIV/0!</v>
      </c>
      <c r="L136" s="289"/>
      <c r="M136" s="290" t="e">
        <f t="shared" si="214"/>
        <v>#DIV/0!</v>
      </c>
      <c r="N136" s="287"/>
      <c r="O136" s="288" t="e">
        <f t="shared" si="215"/>
        <v>#DIV/0!</v>
      </c>
      <c r="P136" s="289"/>
      <c r="Q136" s="290" t="e">
        <f t="shared" si="216"/>
        <v>#DIV/0!</v>
      </c>
      <c r="R136" s="287"/>
      <c r="S136" s="313" t="e">
        <f t="shared" si="217"/>
        <v>#DIV/0!</v>
      </c>
      <c r="T136" s="287"/>
      <c r="U136" s="313" t="e">
        <f t="shared" si="280"/>
        <v>#DIV/0!</v>
      </c>
      <c r="V136" s="323" t="e">
        <f t="shared" si="281"/>
        <v>#DIV/0!</v>
      </c>
      <c r="W136" s="81">
        <f t="shared" si="266"/>
        <v>0</v>
      </c>
      <c r="X136" s="81"/>
      <c r="Y136" s="84">
        <f t="shared" si="267"/>
        <v>0</v>
      </c>
      <c r="Z136" s="85"/>
      <c r="AA136" s="48">
        <f t="shared" si="268"/>
        <v>0</v>
      </c>
      <c r="AB136" s="81"/>
      <c r="AC136" s="84">
        <f t="shared" si="269"/>
        <v>0</v>
      </c>
      <c r="AD136" s="85"/>
      <c r="AE136" s="84">
        <f t="shared" si="270"/>
        <v>0</v>
      </c>
      <c r="AF136" s="81"/>
      <c r="AG136" s="84">
        <f t="shared" si="271"/>
        <v>0</v>
      </c>
      <c r="AH136" s="85"/>
      <c r="AI136" s="84">
        <f t="shared" si="272"/>
        <v>0</v>
      </c>
      <c r="AJ136" s="85"/>
      <c r="AK136" s="84">
        <f t="shared" si="273"/>
        <v>0</v>
      </c>
      <c r="AL136" s="85"/>
      <c r="AM136" s="84">
        <f t="shared" si="274"/>
        <v>0</v>
      </c>
      <c r="AN136" s="85"/>
      <c r="AO136" s="84">
        <f t="shared" si="275"/>
        <v>0</v>
      </c>
      <c r="AP136" s="85"/>
      <c r="AQ136" s="84">
        <f t="shared" si="276"/>
        <v>0</v>
      </c>
      <c r="AR136" s="85"/>
      <c r="AS136" s="84">
        <f t="shared" si="277"/>
        <v>0</v>
      </c>
      <c r="AT136" s="81"/>
      <c r="AU136" s="214">
        <f t="shared" si="278"/>
        <v>0</v>
      </c>
    </row>
    <row r="137" spans="1:47" hidden="1" x14ac:dyDescent="0.35">
      <c r="A137" s="161" t="s">
        <v>414</v>
      </c>
      <c r="B137" s="177"/>
      <c r="C137" s="83">
        <f>'2020-21'!AS78</f>
        <v>0</v>
      </c>
      <c r="D137" s="107">
        <f t="shared" si="265"/>
        <v>0</v>
      </c>
      <c r="E137" s="304">
        <f t="shared" si="279"/>
        <v>0</v>
      </c>
      <c r="F137" s="287"/>
      <c r="G137" s="288" t="e">
        <f t="shared" ref="G137:G139" si="282">F137/E137</f>
        <v>#DIV/0!</v>
      </c>
      <c r="H137" s="289"/>
      <c r="I137" s="290" t="e">
        <f t="shared" ref="I137:I139" si="283">H137/E137</f>
        <v>#DIV/0!</v>
      </c>
      <c r="J137" s="287"/>
      <c r="K137" s="288" t="e">
        <f t="shared" ref="K137:K139" si="284">J137/E137</f>
        <v>#DIV/0!</v>
      </c>
      <c r="L137" s="289"/>
      <c r="M137" s="290" t="e">
        <f t="shared" ref="M137:M139" si="285">L137/E137</f>
        <v>#DIV/0!</v>
      </c>
      <c r="N137" s="287"/>
      <c r="O137" s="288" t="e">
        <f t="shared" ref="O137:O139" si="286">N137/E137</f>
        <v>#DIV/0!</v>
      </c>
      <c r="P137" s="289"/>
      <c r="Q137" s="290" t="e">
        <f t="shared" ref="Q137:Q139" si="287">P137/E137</f>
        <v>#DIV/0!</v>
      </c>
      <c r="R137" s="287"/>
      <c r="S137" s="313" t="e">
        <f t="shared" ref="S137:S139" si="288">R137/E137</f>
        <v>#DIV/0!</v>
      </c>
      <c r="T137" s="287"/>
      <c r="U137" s="313" t="e">
        <f t="shared" si="280"/>
        <v>#DIV/0!</v>
      </c>
      <c r="V137" s="323" t="e">
        <f t="shared" si="281"/>
        <v>#DIV/0!</v>
      </c>
      <c r="W137" s="81">
        <f t="shared" si="266"/>
        <v>0</v>
      </c>
      <c r="X137" s="81"/>
      <c r="Y137" s="84">
        <f t="shared" si="267"/>
        <v>0</v>
      </c>
      <c r="Z137" s="85"/>
      <c r="AA137" s="48">
        <f t="shared" si="268"/>
        <v>0</v>
      </c>
      <c r="AB137" s="81"/>
      <c r="AC137" s="84">
        <f t="shared" si="269"/>
        <v>0</v>
      </c>
      <c r="AD137" s="85"/>
      <c r="AE137" s="84">
        <f t="shared" si="270"/>
        <v>0</v>
      </c>
      <c r="AF137" s="81"/>
      <c r="AG137" s="84">
        <f t="shared" si="271"/>
        <v>0</v>
      </c>
      <c r="AH137" s="85"/>
      <c r="AI137" s="84">
        <f t="shared" si="272"/>
        <v>0</v>
      </c>
      <c r="AJ137" s="85"/>
      <c r="AK137" s="84">
        <f t="shared" si="273"/>
        <v>0</v>
      </c>
      <c r="AL137" s="85"/>
      <c r="AM137" s="84">
        <f t="shared" si="274"/>
        <v>0</v>
      </c>
      <c r="AN137" s="85"/>
      <c r="AO137" s="84">
        <f t="shared" si="275"/>
        <v>0</v>
      </c>
      <c r="AP137" s="85"/>
      <c r="AQ137" s="84">
        <f t="shared" si="276"/>
        <v>0</v>
      </c>
      <c r="AR137" s="85"/>
      <c r="AS137" s="84">
        <f t="shared" si="277"/>
        <v>0</v>
      </c>
      <c r="AT137" s="81"/>
      <c r="AU137" s="214">
        <f t="shared" si="278"/>
        <v>0</v>
      </c>
    </row>
    <row r="138" spans="1:47" hidden="1" x14ac:dyDescent="0.35">
      <c r="A138" s="159" t="s">
        <v>387</v>
      </c>
      <c r="B138" s="174"/>
      <c r="C138" s="83">
        <f>'2020-21'!AS79</f>
        <v>0</v>
      </c>
      <c r="D138" s="107">
        <f t="shared" si="265"/>
        <v>0</v>
      </c>
      <c r="E138" s="304">
        <f t="shared" si="279"/>
        <v>0</v>
      </c>
      <c r="F138" s="287"/>
      <c r="G138" s="288" t="e">
        <f t="shared" si="282"/>
        <v>#DIV/0!</v>
      </c>
      <c r="H138" s="289"/>
      <c r="I138" s="290" t="e">
        <f t="shared" si="283"/>
        <v>#DIV/0!</v>
      </c>
      <c r="J138" s="287"/>
      <c r="K138" s="288" t="e">
        <f t="shared" si="284"/>
        <v>#DIV/0!</v>
      </c>
      <c r="L138" s="289"/>
      <c r="M138" s="290" t="e">
        <f t="shared" si="285"/>
        <v>#DIV/0!</v>
      </c>
      <c r="N138" s="287"/>
      <c r="O138" s="288" t="e">
        <f t="shared" si="286"/>
        <v>#DIV/0!</v>
      </c>
      <c r="P138" s="289"/>
      <c r="Q138" s="290" t="e">
        <f t="shared" si="287"/>
        <v>#DIV/0!</v>
      </c>
      <c r="R138" s="287"/>
      <c r="S138" s="313" t="e">
        <f t="shared" si="288"/>
        <v>#DIV/0!</v>
      </c>
      <c r="T138" s="287"/>
      <c r="U138" s="313" t="e">
        <f t="shared" si="280"/>
        <v>#DIV/0!</v>
      </c>
      <c r="V138" s="323" t="e">
        <f t="shared" si="281"/>
        <v>#DIV/0!</v>
      </c>
      <c r="W138" s="81">
        <f t="shared" si="266"/>
        <v>0</v>
      </c>
      <c r="X138" s="81"/>
      <c r="Y138" s="84">
        <f t="shared" si="267"/>
        <v>0</v>
      </c>
      <c r="Z138" s="85"/>
      <c r="AA138" s="48">
        <f t="shared" si="268"/>
        <v>0</v>
      </c>
      <c r="AB138" s="81"/>
      <c r="AC138" s="84">
        <f t="shared" si="269"/>
        <v>0</v>
      </c>
      <c r="AD138" s="85"/>
      <c r="AE138" s="84">
        <f t="shared" si="270"/>
        <v>0</v>
      </c>
      <c r="AF138" s="81"/>
      <c r="AG138" s="84">
        <f t="shared" si="271"/>
        <v>0</v>
      </c>
      <c r="AH138" s="85"/>
      <c r="AI138" s="84">
        <f t="shared" si="272"/>
        <v>0</v>
      </c>
      <c r="AJ138" s="85"/>
      <c r="AK138" s="84">
        <f t="shared" si="273"/>
        <v>0</v>
      </c>
      <c r="AL138" s="85"/>
      <c r="AM138" s="84">
        <f t="shared" si="274"/>
        <v>0</v>
      </c>
      <c r="AN138" s="85"/>
      <c r="AO138" s="84">
        <f t="shared" si="275"/>
        <v>0</v>
      </c>
      <c r="AP138" s="85"/>
      <c r="AQ138" s="84">
        <f t="shared" si="276"/>
        <v>0</v>
      </c>
      <c r="AR138" s="85"/>
      <c r="AS138" s="84">
        <f t="shared" si="277"/>
        <v>0</v>
      </c>
      <c r="AT138" s="81"/>
      <c r="AU138" s="214">
        <f t="shared" si="278"/>
        <v>0</v>
      </c>
    </row>
    <row r="139" spans="1:47" hidden="1" x14ac:dyDescent="0.35">
      <c r="A139" s="187" t="s">
        <v>408</v>
      </c>
      <c r="B139" s="173"/>
      <c r="C139" s="83">
        <f>'2020-21'!AS80</f>
        <v>0</v>
      </c>
      <c r="D139" s="107">
        <f t="shared" si="265"/>
        <v>0</v>
      </c>
      <c r="E139" s="304">
        <f t="shared" si="279"/>
        <v>0</v>
      </c>
      <c r="F139" s="287"/>
      <c r="G139" s="288" t="e">
        <f t="shared" si="282"/>
        <v>#DIV/0!</v>
      </c>
      <c r="H139" s="289"/>
      <c r="I139" s="290" t="e">
        <f t="shared" si="283"/>
        <v>#DIV/0!</v>
      </c>
      <c r="J139" s="287"/>
      <c r="K139" s="288" t="e">
        <f t="shared" si="284"/>
        <v>#DIV/0!</v>
      </c>
      <c r="L139" s="289"/>
      <c r="M139" s="290" t="e">
        <f t="shared" si="285"/>
        <v>#DIV/0!</v>
      </c>
      <c r="N139" s="287"/>
      <c r="O139" s="288" t="e">
        <f t="shared" si="286"/>
        <v>#DIV/0!</v>
      </c>
      <c r="P139" s="289"/>
      <c r="Q139" s="290" t="e">
        <f t="shared" si="287"/>
        <v>#DIV/0!</v>
      </c>
      <c r="R139" s="287"/>
      <c r="S139" s="313" t="e">
        <f t="shared" si="288"/>
        <v>#DIV/0!</v>
      </c>
      <c r="T139" s="287"/>
      <c r="U139" s="313" t="e">
        <f t="shared" si="280"/>
        <v>#DIV/0!</v>
      </c>
      <c r="V139" s="323" t="e">
        <f t="shared" si="281"/>
        <v>#DIV/0!</v>
      </c>
      <c r="W139" s="81">
        <f t="shared" si="266"/>
        <v>0</v>
      </c>
      <c r="X139" s="81"/>
      <c r="Y139" s="84">
        <f t="shared" si="267"/>
        <v>0</v>
      </c>
      <c r="Z139" s="85"/>
      <c r="AA139" s="48">
        <f t="shared" si="268"/>
        <v>0</v>
      </c>
      <c r="AB139" s="81"/>
      <c r="AC139" s="84">
        <f t="shared" si="269"/>
        <v>0</v>
      </c>
      <c r="AD139" s="85"/>
      <c r="AE139" s="84">
        <f t="shared" si="270"/>
        <v>0</v>
      </c>
      <c r="AF139" s="81"/>
      <c r="AG139" s="84">
        <f t="shared" si="271"/>
        <v>0</v>
      </c>
      <c r="AH139" s="85"/>
      <c r="AI139" s="84">
        <f t="shared" si="272"/>
        <v>0</v>
      </c>
      <c r="AJ139" s="85"/>
      <c r="AK139" s="84">
        <f t="shared" si="273"/>
        <v>0</v>
      </c>
      <c r="AL139" s="85"/>
      <c r="AM139" s="84">
        <f t="shared" si="274"/>
        <v>0</v>
      </c>
      <c r="AN139" s="85"/>
      <c r="AO139" s="84">
        <f t="shared" si="275"/>
        <v>0</v>
      </c>
      <c r="AP139" s="85"/>
      <c r="AQ139" s="84">
        <f t="shared" si="276"/>
        <v>0</v>
      </c>
      <c r="AR139" s="85"/>
      <c r="AS139" s="84">
        <f t="shared" si="277"/>
        <v>0</v>
      </c>
      <c r="AT139" s="81"/>
      <c r="AU139" s="214">
        <f t="shared" si="278"/>
        <v>0</v>
      </c>
    </row>
    <row r="140" spans="1:47" hidden="1" x14ac:dyDescent="0.35">
      <c r="A140" s="100"/>
      <c r="B140" s="172"/>
      <c r="C140" s="107"/>
      <c r="D140" s="107"/>
      <c r="E140" s="304"/>
      <c r="F140" s="287"/>
      <c r="G140" s="288"/>
      <c r="H140" s="289"/>
      <c r="I140" s="289"/>
      <c r="J140" s="287"/>
      <c r="K140" s="287"/>
      <c r="L140" s="289"/>
      <c r="M140" s="289"/>
      <c r="N140" s="287"/>
      <c r="O140" s="287"/>
      <c r="P140" s="289"/>
      <c r="Q140" s="289"/>
      <c r="R140" s="287"/>
      <c r="S140" s="314"/>
      <c r="T140" s="287"/>
      <c r="U140" s="313" t="e">
        <f t="shared" si="280"/>
        <v>#DIV/0!</v>
      </c>
      <c r="V140" s="323" t="e">
        <f t="shared" si="281"/>
        <v>#DIV/0!</v>
      </c>
      <c r="W140" s="81"/>
      <c r="X140" s="81"/>
      <c r="Y140" s="84"/>
      <c r="Z140" s="85"/>
      <c r="AA140" s="81"/>
      <c r="AB140" s="81"/>
      <c r="AC140" s="84"/>
      <c r="AD140" s="85"/>
      <c r="AE140" s="84"/>
      <c r="AF140" s="81"/>
      <c r="AG140" s="84"/>
      <c r="AH140" s="85"/>
      <c r="AI140" s="84"/>
      <c r="AJ140" s="85"/>
      <c r="AK140" s="84"/>
      <c r="AL140" s="85"/>
      <c r="AM140" s="84"/>
      <c r="AN140" s="85"/>
      <c r="AO140" s="84"/>
      <c r="AP140" s="85"/>
      <c r="AQ140" s="84"/>
      <c r="AR140" s="85"/>
      <c r="AS140" s="84"/>
      <c r="AT140" s="81"/>
      <c r="AU140" s="214"/>
    </row>
    <row r="141" spans="1:47" x14ac:dyDescent="0.35">
      <c r="A141" s="159"/>
      <c r="B141" s="172"/>
      <c r="C141" s="107"/>
      <c r="D141" s="107"/>
      <c r="E141" s="304"/>
      <c r="F141" s="291"/>
      <c r="G141" s="292"/>
      <c r="H141" s="293"/>
      <c r="I141" s="293"/>
      <c r="J141" s="291"/>
      <c r="K141" s="291"/>
      <c r="L141" s="293"/>
      <c r="M141" s="293"/>
      <c r="N141" s="291"/>
      <c r="O141" s="291"/>
      <c r="P141" s="293"/>
      <c r="Q141" s="293"/>
      <c r="R141" s="291"/>
      <c r="S141" s="315"/>
      <c r="T141" s="291"/>
      <c r="U141" s="315"/>
      <c r="V141" s="323">
        <f t="shared" si="281"/>
        <v>0</v>
      </c>
      <c r="W141" s="81"/>
      <c r="X141" s="81"/>
      <c r="Y141" s="84"/>
      <c r="Z141" s="85"/>
      <c r="AA141" s="81"/>
      <c r="AB141" s="81"/>
      <c r="AC141" s="84"/>
      <c r="AD141" s="85"/>
      <c r="AE141" s="84"/>
      <c r="AF141" s="81"/>
      <c r="AG141" s="84"/>
      <c r="AH141" s="85"/>
      <c r="AI141" s="84"/>
      <c r="AJ141" s="85"/>
      <c r="AK141" s="84"/>
      <c r="AL141" s="85"/>
      <c r="AM141" s="84"/>
      <c r="AN141" s="85"/>
      <c r="AO141" s="84"/>
      <c r="AP141" s="85"/>
      <c r="AQ141" s="84"/>
      <c r="AR141" s="85"/>
      <c r="AS141" s="84"/>
      <c r="AT141" s="81"/>
      <c r="AU141" s="214"/>
    </row>
    <row r="142" spans="1:47" x14ac:dyDescent="0.35">
      <c r="A142" s="159"/>
      <c r="B142" s="173"/>
      <c r="C142" s="83"/>
      <c r="D142" s="83"/>
      <c r="E142" s="301"/>
      <c r="F142" s="285"/>
      <c r="G142" s="294"/>
      <c r="H142" s="286"/>
      <c r="I142" s="286"/>
      <c r="J142" s="285"/>
      <c r="K142" s="285"/>
      <c r="L142" s="286"/>
      <c r="M142" s="286"/>
      <c r="N142" s="285"/>
      <c r="O142" s="285"/>
      <c r="P142" s="286"/>
      <c r="Q142" s="286"/>
      <c r="R142" s="285"/>
      <c r="S142" s="312"/>
      <c r="T142" s="285"/>
      <c r="U142" s="312"/>
      <c r="V142" s="323">
        <f t="shared" si="281"/>
        <v>0</v>
      </c>
      <c r="X142" s="81"/>
      <c r="Y142" s="84"/>
      <c r="Z142" s="85"/>
      <c r="AA142" s="81"/>
      <c r="AB142" s="81"/>
      <c r="AC142" s="84"/>
      <c r="AD142" s="85"/>
      <c r="AE142" s="84"/>
      <c r="AF142" s="81"/>
      <c r="AG142" s="84"/>
      <c r="AH142" s="85"/>
      <c r="AI142" s="84"/>
      <c r="AJ142" s="85"/>
      <c r="AK142" s="84"/>
      <c r="AL142" s="85"/>
      <c r="AM142" s="84"/>
      <c r="AN142" s="85"/>
      <c r="AO142" s="84"/>
      <c r="AP142" s="85"/>
      <c r="AQ142" s="84"/>
      <c r="AR142" s="85"/>
      <c r="AS142" s="84"/>
      <c r="AT142" s="81"/>
      <c r="AU142" s="214"/>
    </row>
    <row r="143" spans="1:47" ht="13.9" thickBot="1" x14ac:dyDescent="0.4">
      <c r="A143" s="159"/>
      <c r="B143" s="206"/>
      <c r="C143" s="207">
        <f>SUM(C7:C142)</f>
        <v>2881527.5799999996</v>
      </c>
      <c r="D143" s="207">
        <f>SUM(D7:D142)</f>
        <v>2867308.9899999993</v>
      </c>
      <c r="E143" s="310">
        <f>SUM(E7:E140)</f>
        <v>2087563.8499999999</v>
      </c>
      <c r="F143" s="306">
        <f>SUM(F58:F140)</f>
        <v>156098.06999999998</v>
      </c>
      <c r="G143" s="307">
        <f>F143/E143</f>
        <v>7.4775231425855543E-2</v>
      </c>
      <c r="H143" s="308">
        <f>SUM(H58:H140)</f>
        <v>167416.51</v>
      </c>
      <c r="I143" s="309">
        <f>H143/E143</f>
        <v>8.019707277456449E-2</v>
      </c>
      <c r="J143" s="306">
        <f>SUM(J58:J140)</f>
        <v>156659.66999999998</v>
      </c>
      <c r="K143" s="307">
        <f>J143/E143</f>
        <v>7.5044253137454928E-2</v>
      </c>
      <c r="L143" s="308">
        <f>SUM(L58:L140)</f>
        <v>199917.55999999997</v>
      </c>
      <c r="M143" s="309">
        <f>L143/E143</f>
        <v>9.576596184111924E-2</v>
      </c>
      <c r="N143" s="306">
        <f>SUM(L58:L140)</f>
        <v>199917.55999999997</v>
      </c>
      <c r="O143" s="307">
        <f>N143/E143</f>
        <v>9.576596184111924E-2</v>
      </c>
      <c r="P143" s="308">
        <f>SUM(P58:P140)</f>
        <v>96516.489999999991</v>
      </c>
      <c r="Q143" s="309">
        <f>P143/E143</f>
        <v>4.623403015912543E-2</v>
      </c>
      <c r="R143" s="306">
        <f>SUM(R58:R140)</f>
        <v>54690.450000000004</v>
      </c>
      <c r="S143" s="316">
        <f>R143/E143</f>
        <v>2.6198216643768767E-2</v>
      </c>
      <c r="T143" s="306">
        <f>SUM(T58:T140)</f>
        <v>7970.5</v>
      </c>
      <c r="U143" s="316">
        <f>T143/G143</f>
        <v>106592.78277063261</v>
      </c>
      <c r="V143" s="324">
        <f t="shared" ref="V143" si="289">S143+Q143+O143+M143+K143+I143+G143</f>
        <v>0.49398072782300761</v>
      </c>
      <c r="W143" s="76"/>
      <c r="X143" s="220"/>
      <c r="Y143" s="153"/>
      <c r="Z143" s="144"/>
      <c r="AA143" s="147"/>
      <c r="AB143" s="147"/>
      <c r="AC143" s="153"/>
      <c r="AD143" s="144"/>
      <c r="AE143" s="153"/>
      <c r="AF143" s="147"/>
      <c r="AG143" s="153"/>
      <c r="AH143" s="144"/>
      <c r="AI143" s="153"/>
      <c r="AJ143" s="144"/>
      <c r="AK143" s="153"/>
      <c r="AL143" s="144"/>
      <c r="AM143" s="153"/>
      <c r="AN143" s="144"/>
      <c r="AO143" s="153"/>
      <c r="AP143" s="144"/>
      <c r="AQ143" s="153"/>
      <c r="AR143" s="144"/>
      <c r="AS143" s="153"/>
      <c r="AT143" s="147"/>
      <c r="AU143" s="215"/>
    </row>
    <row r="144" spans="1:47" ht="13.9" thickTop="1" x14ac:dyDescent="0.35">
      <c r="A144" s="188"/>
      <c r="B144" s="189"/>
      <c r="C144" s="190"/>
      <c r="D144" s="190"/>
      <c r="E144" s="190"/>
      <c r="F144" s="190"/>
      <c r="G144" s="295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X144" s="48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5"/>
      <c r="AU144" s="48"/>
    </row>
    <row r="145" spans="1:47" x14ac:dyDescent="0.35">
      <c r="A145" s="88" t="s">
        <v>155</v>
      </c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53">
        <f>SUM(W7:W142)</f>
        <v>89329.36</v>
      </c>
      <c r="X145" s="53"/>
      <c r="Y145" s="53">
        <f>SUM(Y7:Y142)</f>
        <v>135788.37999999998</v>
      </c>
      <c r="Z145" s="53"/>
      <c r="AA145" s="53">
        <f>SUM(AA7:AA142)</f>
        <v>89179.45</v>
      </c>
      <c r="AB145" s="53"/>
      <c r="AC145" s="53">
        <f>SUM(AC7:AC142)</f>
        <v>123214.32999999999</v>
      </c>
      <c r="AD145" s="53"/>
      <c r="AE145" s="53">
        <f>SUM(AE7:AE142)</f>
        <v>98310.64999999998</v>
      </c>
      <c r="AF145" s="53"/>
      <c r="AG145" s="53">
        <f>SUM(AG7:AG142)</f>
        <v>156775.69000000003</v>
      </c>
      <c r="AH145" s="53"/>
      <c r="AI145" s="53">
        <f>SUM(AI7:AI142)</f>
        <v>134058.88999999998</v>
      </c>
      <c r="AJ145" s="53"/>
      <c r="AK145" s="89">
        <f>SUM(AK7:AK140)</f>
        <v>137881.53</v>
      </c>
      <c r="AL145" s="89"/>
      <c r="AM145" s="89">
        <f>SUM(AM7:AM140)</f>
        <v>115871.07</v>
      </c>
      <c r="AN145" s="89"/>
      <c r="AO145" s="53">
        <f>SUM(AO7:AO144)</f>
        <v>132006.46000000002</v>
      </c>
      <c r="AP145" s="89"/>
      <c r="AQ145" s="89">
        <f>SUM(AQ7:AQ140)</f>
        <v>104739.99000000002</v>
      </c>
      <c r="AR145" s="89"/>
      <c r="AS145" s="89">
        <f>SUM(AS7:AS140)</f>
        <v>90132.040000000008</v>
      </c>
      <c r="AT145" s="90"/>
    </row>
    <row r="146" spans="1:47" x14ac:dyDescent="0.35">
      <c r="A146" s="92" t="s">
        <v>226</v>
      </c>
      <c r="B146" s="157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>
        <f>SUM(X7:X143)</f>
        <v>89329.89</v>
      </c>
      <c r="Y146" s="93"/>
      <c r="Z146" s="93">
        <f>SUM(Z7:Z143)</f>
        <v>135786.78999999998</v>
      </c>
      <c r="AA146" s="93"/>
      <c r="AB146" s="93">
        <f>SUM(AB7:AB143)</f>
        <v>89177.909999999989</v>
      </c>
      <c r="AC146" s="93"/>
      <c r="AD146" s="93">
        <f>SUM(AD7:AD143)</f>
        <v>123217.23999999999</v>
      </c>
      <c r="AE146" s="93"/>
      <c r="AF146" s="93">
        <f>SUM(AF7:AF143)</f>
        <v>98311.469999999987</v>
      </c>
      <c r="AG146" s="93"/>
      <c r="AH146" s="93">
        <f>SUM(AH7:AH143)</f>
        <v>157426.93</v>
      </c>
      <c r="AI146" s="93"/>
      <c r="AJ146" s="93">
        <f>SUM(AJ7:AJ143)</f>
        <v>133409.57</v>
      </c>
      <c r="AK146" s="93"/>
      <c r="AL146" s="93">
        <f>SUM(AL7:AL143)</f>
        <v>137880.73000000001</v>
      </c>
      <c r="AM146" s="93"/>
      <c r="AN146" s="93">
        <f>SUM(AN7:AN143)</f>
        <v>115871.58</v>
      </c>
      <c r="AO146" s="93"/>
      <c r="AP146" s="93">
        <f>SUM(AP7:AP143)</f>
        <v>132007.07</v>
      </c>
      <c r="AQ146" s="93"/>
      <c r="AR146" s="93">
        <f>SUM(AR7:AR143)</f>
        <v>103996.01000000001</v>
      </c>
      <c r="AS146" s="93"/>
      <c r="AT146" s="93">
        <f>SUM(AT7:AT143)</f>
        <v>90132.670000000013</v>
      </c>
      <c r="AU146" s="81"/>
    </row>
    <row r="147" spans="1:47" x14ac:dyDescent="0.35">
      <c r="A147" s="199" t="s">
        <v>439</v>
      </c>
      <c r="B147" s="200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>
        <f>'2020-21'!V87</f>
        <v>93515.93</v>
      </c>
      <c r="Y147" s="201"/>
      <c r="Z147" s="201">
        <f>'2020-21'!X87</f>
        <v>165306.57999999999</v>
      </c>
      <c r="AA147" s="201"/>
      <c r="AB147" s="201">
        <f>'2020-21'!Z87</f>
        <v>78895</v>
      </c>
      <c r="AC147" s="201"/>
      <c r="AD147" s="201">
        <f>'2020-21'!AB87</f>
        <v>124587</v>
      </c>
      <c r="AE147" s="201"/>
      <c r="AF147" s="201">
        <f>'2020-21'!AD87</f>
        <v>109676.36</v>
      </c>
      <c r="AG147" s="201"/>
      <c r="AH147" s="201">
        <f>'2020-21'!AF87</f>
        <v>132023.72999999998</v>
      </c>
      <c r="AI147" s="201"/>
      <c r="AJ147" s="201">
        <f>'2020-21'!AH87</f>
        <v>69098.850000000006</v>
      </c>
      <c r="AK147" s="201"/>
      <c r="AL147" s="201">
        <f>'2020-21'!AJ87</f>
        <v>124621.44</v>
      </c>
      <c r="AM147" s="201"/>
      <c r="AN147" s="201">
        <f>'2020-21'!AL87</f>
        <v>109740.59000000001</v>
      </c>
      <c r="AO147" s="201"/>
      <c r="AP147" s="201">
        <f>'2020-21'!AN87</f>
        <v>153754.53</v>
      </c>
      <c r="AQ147" s="201"/>
      <c r="AR147" s="201">
        <f>'2020-21'!AP87</f>
        <v>71889.5</v>
      </c>
      <c r="AS147" s="201"/>
      <c r="AT147" s="201">
        <f>'2020-21'!AR87</f>
        <v>173484.59</v>
      </c>
      <c r="AU147" s="48"/>
    </row>
    <row r="148" spans="1:47" x14ac:dyDescent="0.35">
      <c r="A148" s="199" t="s">
        <v>440</v>
      </c>
      <c r="B148" s="204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>
        <f>'2020-21'!V88</f>
        <v>46313.440000000002</v>
      </c>
      <c r="Y148" s="205"/>
      <c r="Z148" s="205">
        <f>'2020-21'!X88</f>
        <v>132016</v>
      </c>
      <c r="AA148" s="205"/>
      <c r="AB148" s="205">
        <f>'2020-21'!Z88</f>
        <v>135610</v>
      </c>
      <c r="AC148" s="205"/>
      <c r="AD148" s="205">
        <f>'2020-21'!AB88</f>
        <v>87118.799999999988</v>
      </c>
      <c r="AE148" s="205"/>
      <c r="AF148" s="205">
        <f>'2020-21'!AD88</f>
        <v>87813.4</v>
      </c>
      <c r="AG148" s="205"/>
      <c r="AH148" s="205">
        <f>'2020-21'!AF88</f>
        <v>56385.71</v>
      </c>
      <c r="AI148" s="205"/>
      <c r="AJ148" s="205">
        <f>'2020-21'!AH88</f>
        <v>53660.729999999996</v>
      </c>
      <c r="AK148" s="352" t="s">
        <v>91</v>
      </c>
      <c r="AL148" s="205">
        <f>'2020-21'!AJ88</f>
        <v>89965.069999999992</v>
      </c>
      <c r="AM148" s="205"/>
      <c r="AN148" s="205">
        <f>'2020-21'!AL88</f>
        <v>126697</v>
      </c>
      <c r="AO148" s="205"/>
      <c r="AP148" s="205">
        <f>'2020-21'!AN88</f>
        <v>125938.76</v>
      </c>
      <c r="AQ148" s="205"/>
      <c r="AR148" s="205">
        <f>'2020-21'!AP88</f>
        <v>49272.35</v>
      </c>
      <c r="AS148" s="205"/>
      <c r="AT148" s="205">
        <f>'2020-21'!AR88</f>
        <v>103333.37000000001</v>
      </c>
      <c r="AU148" s="48"/>
    </row>
    <row r="149" spans="1:47" x14ac:dyDescent="0.35"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48" t="s">
        <v>560</v>
      </c>
    </row>
    <row r="150" spans="1:47" x14ac:dyDescent="0.35">
      <c r="A150" s="88" t="s">
        <v>225</v>
      </c>
      <c r="B150" s="184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>
        <f>W145</f>
        <v>89329.36</v>
      </c>
      <c r="X150" s="89"/>
      <c r="Y150" s="89">
        <f>Y145+W150</f>
        <v>225117.74</v>
      </c>
      <c r="Z150" s="89"/>
      <c r="AA150" s="89">
        <f>AA145+Y150</f>
        <v>314297.19</v>
      </c>
      <c r="AB150" s="89"/>
      <c r="AC150" s="89">
        <f>AC145+AA150</f>
        <v>437511.52</v>
      </c>
      <c r="AD150" s="89"/>
      <c r="AE150" s="89">
        <f>AE145+AC150</f>
        <v>535822.17000000004</v>
      </c>
      <c r="AF150" s="89"/>
      <c r="AG150" s="89">
        <f>AG145+AE150</f>
        <v>692597.8600000001</v>
      </c>
      <c r="AH150" s="89"/>
      <c r="AI150" s="89">
        <f>AI145+AG150</f>
        <v>826656.75000000012</v>
      </c>
      <c r="AJ150" s="89"/>
      <c r="AK150" s="89">
        <f>AK145+AI150</f>
        <v>964538.28000000014</v>
      </c>
      <c r="AL150" s="89"/>
      <c r="AM150" s="89">
        <f>AM145+AK150</f>
        <v>1080409.3500000001</v>
      </c>
      <c r="AN150" s="89"/>
      <c r="AO150" s="89">
        <f>AO145+AM150</f>
        <v>1212415.81</v>
      </c>
      <c r="AP150" s="89"/>
      <c r="AQ150" s="89">
        <f>AQ145+AO150</f>
        <v>1317155.8</v>
      </c>
      <c r="AR150" s="89"/>
      <c r="AS150" s="89">
        <f>AS145+AQ150</f>
        <v>1407287.84</v>
      </c>
      <c r="AT150" s="90"/>
      <c r="AU150" s="81">
        <f>SUM(AU7:AU143)</f>
        <v>1460335.1400000001</v>
      </c>
    </row>
    <row r="151" spans="1:47" x14ac:dyDescent="0.35">
      <c r="A151" s="26" t="s">
        <v>561</v>
      </c>
      <c r="B151" s="157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>
        <f>X146</f>
        <v>89329.89</v>
      </c>
      <c r="Y151" s="93"/>
      <c r="Z151" s="93">
        <f>Z146+X151</f>
        <v>225116.68</v>
      </c>
      <c r="AA151" s="93"/>
      <c r="AB151" s="93">
        <f>AB146+Z151</f>
        <v>314294.58999999997</v>
      </c>
      <c r="AC151" s="93"/>
      <c r="AD151" s="93">
        <f>AD146+AB151</f>
        <v>437511.82999999996</v>
      </c>
      <c r="AE151" s="93"/>
      <c r="AF151" s="93">
        <f>AF146+AD151</f>
        <v>535823.29999999993</v>
      </c>
      <c r="AG151" s="93"/>
      <c r="AH151" s="93">
        <f>AH146+AF151</f>
        <v>693250.23</v>
      </c>
      <c r="AI151" s="93"/>
      <c r="AJ151" s="93">
        <f>AJ146+AH151</f>
        <v>826659.8</v>
      </c>
      <c r="AK151" s="93"/>
      <c r="AL151" s="93">
        <f>AL146+AJ151</f>
        <v>964540.53</v>
      </c>
      <c r="AM151" s="93"/>
      <c r="AN151" s="93">
        <f>AN146+AL151</f>
        <v>1080412.1100000001</v>
      </c>
      <c r="AO151" s="93"/>
      <c r="AP151" s="93">
        <f>AP146+AN151</f>
        <v>1212419.1800000002</v>
      </c>
      <c r="AQ151" s="93"/>
      <c r="AR151" s="93">
        <f>AR146+AP151</f>
        <v>1316415.1900000002</v>
      </c>
      <c r="AS151" s="93"/>
      <c r="AT151" s="203">
        <f>AT146+AR151</f>
        <v>1406547.86</v>
      </c>
      <c r="AU151" s="81"/>
    </row>
    <row r="152" spans="1:47" x14ac:dyDescent="0.35">
      <c r="A152" s="191" t="s">
        <v>442</v>
      </c>
      <c r="B152" s="192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>
        <f>'2020-21'!V92</f>
        <v>93515.93</v>
      </c>
      <c r="Y152" s="193"/>
      <c r="Z152" s="193">
        <f>'2020-21'!X92</f>
        <v>258822.50999999998</v>
      </c>
      <c r="AA152" s="193"/>
      <c r="AB152" s="193">
        <f>'2020-21'!Z92</f>
        <v>337717.51</v>
      </c>
      <c r="AC152" s="193"/>
      <c r="AD152" s="193">
        <f>'2020-21'!AB92</f>
        <v>462304.51</v>
      </c>
      <c r="AE152" s="193"/>
      <c r="AF152" s="193">
        <f>'2020-21'!AD92</f>
        <v>571980.87</v>
      </c>
      <c r="AG152" s="193"/>
      <c r="AH152" s="193">
        <f>'2020-21'!AF92</f>
        <v>704004.6</v>
      </c>
      <c r="AI152" s="193"/>
      <c r="AJ152" s="193">
        <f>'2020-21'!AH92</f>
        <v>773103.45</v>
      </c>
      <c r="AK152" s="193"/>
      <c r="AL152" s="193">
        <f>'2020-21'!AJ92</f>
        <v>897724.8899999999</v>
      </c>
      <c r="AM152" s="193"/>
      <c r="AN152" s="193">
        <f>'2020-21'!AL92</f>
        <v>1007465.4799999999</v>
      </c>
      <c r="AO152" s="193"/>
      <c r="AP152" s="193">
        <f>'2020-21'!AN92</f>
        <v>1161220.0099999998</v>
      </c>
      <c r="AQ152" s="193"/>
      <c r="AR152" s="193">
        <f>'2020-21'!AP92</f>
        <v>1233109.5099999998</v>
      </c>
      <c r="AS152" s="193"/>
      <c r="AT152" s="193">
        <f>'2020-21'!AR92</f>
        <v>1406594.0999999999</v>
      </c>
      <c r="AU152" s="81"/>
    </row>
    <row r="153" spans="1:47" x14ac:dyDescent="0.35">
      <c r="A153" s="210" t="s">
        <v>443</v>
      </c>
      <c r="B153" s="208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>
        <f>X148</f>
        <v>46313.440000000002</v>
      </c>
      <c r="Y153" s="209"/>
      <c r="Z153" s="209">
        <f>X153+Z148</f>
        <v>178329.44</v>
      </c>
      <c r="AA153" s="209"/>
      <c r="AB153" s="209">
        <f t="shared" ref="AB153:AT153" si="290">Z153+AB148</f>
        <v>313939.44</v>
      </c>
      <c r="AC153" s="209"/>
      <c r="AD153" s="209">
        <f t="shared" si="290"/>
        <v>401058.24</v>
      </c>
      <c r="AE153" s="209"/>
      <c r="AF153" s="209">
        <f t="shared" si="290"/>
        <v>488871.64</v>
      </c>
      <c r="AG153" s="209"/>
      <c r="AH153" s="209">
        <f t="shared" si="290"/>
        <v>545257.35</v>
      </c>
      <c r="AI153" s="209"/>
      <c r="AJ153" s="209">
        <f t="shared" si="290"/>
        <v>598918.07999999996</v>
      </c>
      <c r="AK153" s="209"/>
      <c r="AL153" s="209">
        <f t="shared" si="290"/>
        <v>688883.14999999991</v>
      </c>
      <c r="AM153" s="209"/>
      <c r="AN153" s="209">
        <f t="shared" si="290"/>
        <v>815580.14999999991</v>
      </c>
      <c r="AO153" s="209"/>
      <c r="AP153" s="209">
        <f t="shared" si="290"/>
        <v>941518.90999999992</v>
      </c>
      <c r="AQ153" s="209"/>
      <c r="AR153" s="209">
        <f t="shared" si="290"/>
        <v>990791.25999999989</v>
      </c>
      <c r="AS153" s="209"/>
      <c r="AT153" s="209">
        <f t="shared" si="290"/>
        <v>1094124.6299999999</v>
      </c>
      <c r="AU153" s="81"/>
    </row>
    <row r="154" spans="1:47" x14ac:dyDescent="0.35"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>
        <f>'2017-18'!E71</f>
        <v>111463</v>
      </c>
      <c r="Y154" s="81"/>
      <c r="Z154" s="81">
        <f>'2017-18'!G71</f>
        <v>208926.18</v>
      </c>
      <c r="AA154" s="81"/>
      <c r="AB154" s="81">
        <f>'2017-18'!I71</f>
        <v>355070.18</v>
      </c>
      <c r="AC154" s="81"/>
      <c r="AD154" s="81">
        <f>'2017-18'!K71</f>
        <v>363091.18</v>
      </c>
      <c r="AE154" s="81"/>
      <c r="AF154" s="81">
        <f>'2017-18'!M71</f>
        <v>476992.18</v>
      </c>
      <c r="AG154" s="81"/>
      <c r="AH154" s="81">
        <f>'2017-18'!O71</f>
        <v>561427.17999999993</v>
      </c>
      <c r="AI154" s="81"/>
      <c r="AJ154" s="81">
        <f>'2017-18'!Q71</f>
        <v>657549.27999999991</v>
      </c>
      <c r="AK154" s="81"/>
      <c r="AL154" s="81">
        <f>'2017-18'!S71</f>
        <v>771563.27999999991</v>
      </c>
      <c r="AM154" s="81"/>
      <c r="AN154" s="81">
        <f>'2017-18'!U71</f>
        <v>888586.27999999991</v>
      </c>
      <c r="AO154" s="81"/>
      <c r="AP154" s="81">
        <f>'2017-18'!W71</f>
        <v>995143.32</v>
      </c>
      <c r="AQ154" s="81"/>
      <c r="AR154" s="81">
        <f>'2017-18'!Y71</f>
        <v>995143.32</v>
      </c>
      <c r="AS154" s="81"/>
      <c r="AT154" s="81">
        <f>'2017-18'!AA71</f>
        <v>995143.32</v>
      </c>
    </row>
    <row r="156" spans="1:47" x14ac:dyDescent="0.35"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f>X151-X152</f>
        <v>-4186.0399999999936</v>
      </c>
      <c r="Y156" s="81"/>
      <c r="Z156" s="81">
        <f t="shared" ref="Z156:AT156" si="291">Z151-Z152</f>
        <v>-33705.829999999987</v>
      </c>
      <c r="AA156" s="81"/>
      <c r="AB156" s="81">
        <f t="shared" si="291"/>
        <v>-23422.920000000042</v>
      </c>
      <c r="AC156" s="81"/>
      <c r="AD156" s="81">
        <f t="shared" si="291"/>
        <v>-24792.680000000051</v>
      </c>
      <c r="AE156" s="81"/>
      <c r="AF156" s="81">
        <f t="shared" si="291"/>
        <v>-36157.570000000065</v>
      </c>
      <c r="AG156" s="81"/>
      <c r="AH156" s="81">
        <f t="shared" si="291"/>
        <v>-10754.369999999995</v>
      </c>
      <c r="AI156" s="81"/>
      <c r="AJ156" s="81">
        <f t="shared" si="291"/>
        <v>53556.350000000093</v>
      </c>
      <c r="AK156" s="81"/>
      <c r="AL156" s="81">
        <f t="shared" si="291"/>
        <v>66815.64000000013</v>
      </c>
      <c r="AM156" s="81"/>
      <c r="AN156" s="81">
        <f t="shared" si="291"/>
        <v>72946.630000000237</v>
      </c>
      <c r="AO156" s="81"/>
      <c r="AP156" s="81">
        <f t="shared" si="291"/>
        <v>51199.170000000391</v>
      </c>
      <c r="AQ156" s="81"/>
      <c r="AR156" s="81">
        <f t="shared" si="291"/>
        <v>83305.6800000004</v>
      </c>
      <c r="AS156" s="81"/>
      <c r="AT156" s="81">
        <f t="shared" si="291"/>
        <v>-46.239999999757856</v>
      </c>
      <c r="AU156" s="48"/>
    </row>
    <row r="157" spans="1:47" x14ac:dyDescent="0.35">
      <c r="X157" s="81"/>
      <c r="Z157" s="81"/>
      <c r="AB157" s="81"/>
      <c r="AD157" s="81"/>
    </row>
    <row r="159" spans="1:47" x14ac:dyDescent="0.35">
      <c r="AF159"/>
    </row>
    <row r="162" spans="24:24" x14ac:dyDescent="0.35">
      <c r="X162" s="81"/>
    </row>
  </sheetData>
  <mergeCells count="13">
    <mergeCell ref="T4:T5"/>
    <mergeCell ref="AS4:AT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92BF-0301-4147-9B4E-DA038C2E2FA1}">
  <dimension ref="A3:AW149"/>
  <sheetViews>
    <sheetView zoomScale="85" zoomScaleNormal="85" workbookViewId="0">
      <pane xSplit="4" ySplit="5" topLeftCell="R77" activePane="bottomRight" state="frozen"/>
      <selection pane="topRight" activeCell="E1" sqref="E1"/>
      <selection pane="bottomLeft" activeCell="A3" sqref="A3"/>
      <selection pane="bottomRight" activeCell="D42" sqref="D42"/>
    </sheetView>
  </sheetViews>
  <sheetFormatPr baseColWidth="10" defaultColWidth="11" defaultRowHeight="13.5" x14ac:dyDescent="0.35"/>
  <cols>
    <col min="1" max="1" width="23.125" style="69" customWidth="1"/>
    <col min="2" max="2" width="2" style="69" customWidth="1"/>
    <col min="3" max="5" width="10.625" style="69" customWidth="1"/>
    <col min="6" max="6" width="8.625" style="69" customWidth="1"/>
    <col min="7" max="7" width="6.125" style="69" customWidth="1"/>
    <col min="8" max="8" width="8.625" style="69" customWidth="1"/>
    <col min="9" max="9" width="6.375" style="69" customWidth="1"/>
    <col min="10" max="10" width="8.625" style="69" customWidth="1"/>
    <col min="11" max="11" width="5.625" style="69" customWidth="1"/>
    <col min="12" max="12" width="8.625" style="69" customWidth="1"/>
    <col min="13" max="13" width="5.625" style="69" customWidth="1"/>
    <col min="14" max="14" width="8.625" style="69" customWidth="1"/>
    <col min="15" max="15" width="5.625" style="69" customWidth="1"/>
    <col min="16" max="16" width="8.625" style="69" customWidth="1"/>
    <col min="17" max="17" width="5.625" style="69" customWidth="1"/>
    <col min="18" max="18" width="8.625" style="69" customWidth="1"/>
    <col min="19" max="19" width="5.625" style="69" customWidth="1"/>
    <col min="20" max="20" width="8.625" style="69" customWidth="1"/>
    <col min="21" max="21" width="5.625" style="69" customWidth="1"/>
    <col min="22" max="22" width="9" style="69" customWidth="1"/>
    <col min="23" max="23" width="5.625" style="69" customWidth="1"/>
    <col min="24" max="24" width="9.375" style="69" customWidth="1"/>
    <col min="25" max="26" width="8.125" style="69" customWidth="1"/>
    <col min="27" max="27" width="8.875" style="69" customWidth="1"/>
    <col min="28" max="30" width="8.125" style="69" customWidth="1"/>
    <col min="31" max="31" width="9.375" style="69" customWidth="1"/>
    <col min="32" max="32" width="8.125" style="69" customWidth="1"/>
    <col min="33" max="33" width="9.625" style="69" customWidth="1"/>
    <col min="34" max="34" width="8.125" style="69" customWidth="1"/>
    <col min="35" max="35" width="9" style="69" customWidth="1"/>
    <col min="36" max="36" width="8.125" style="69" customWidth="1"/>
    <col min="37" max="38" width="9" style="69" customWidth="1"/>
    <col min="39" max="39" width="10.625" style="69" customWidth="1"/>
    <col min="40" max="40" width="8.625" style="69" customWidth="1"/>
    <col min="41" max="41" width="9.375" style="69" customWidth="1"/>
    <col min="42" max="46" width="9.625" style="69" bestFit="1" customWidth="1"/>
    <col min="47" max="48" width="9.625" style="69" customWidth="1"/>
    <col min="49" max="16384" width="11" style="69"/>
  </cols>
  <sheetData>
    <row r="3" spans="1:49" ht="13.9" thickBot="1" x14ac:dyDescent="0.4"/>
    <row r="4" spans="1:49" ht="13.9" thickTop="1" x14ac:dyDescent="0.35">
      <c r="A4" s="67"/>
      <c r="B4" s="68"/>
      <c r="C4" s="68"/>
      <c r="D4" s="68"/>
      <c r="E4" s="296"/>
      <c r="F4" s="297" t="s">
        <v>538</v>
      </c>
      <c r="G4" s="297" t="s">
        <v>540</v>
      </c>
      <c r="H4" s="297" t="s">
        <v>542</v>
      </c>
      <c r="I4" s="297" t="s">
        <v>543</v>
      </c>
      <c r="J4" s="297" t="s">
        <v>544</v>
      </c>
      <c r="K4" s="297" t="s">
        <v>546</v>
      </c>
      <c r="L4" s="297" t="s">
        <v>505</v>
      </c>
      <c r="M4" s="297" t="s">
        <v>547</v>
      </c>
      <c r="N4" s="297" t="s">
        <v>548</v>
      </c>
      <c r="O4" s="297" t="s">
        <v>550</v>
      </c>
      <c r="P4" s="297" t="s">
        <v>551</v>
      </c>
      <c r="Q4" s="297" t="s">
        <v>552</v>
      </c>
      <c r="R4" s="297" t="s">
        <v>507</v>
      </c>
      <c r="S4" s="297" t="s">
        <v>553</v>
      </c>
      <c r="T4" s="441" t="s">
        <v>580</v>
      </c>
      <c r="U4" s="297" t="s">
        <v>553</v>
      </c>
      <c r="V4" s="441" t="s">
        <v>636</v>
      </c>
      <c r="W4" s="297" t="s">
        <v>553</v>
      </c>
      <c r="X4" s="317"/>
      <c r="Y4" s="437" t="s">
        <v>142</v>
      </c>
      <c r="Z4" s="439"/>
      <c r="AA4" s="438" t="s">
        <v>143</v>
      </c>
      <c r="AB4" s="439"/>
      <c r="AC4" s="437" t="s">
        <v>144</v>
      </c>
      <c r="AD4" s="437"/>
      <c r="AE4" s="440" t="s">
        <v>138</v>
      </c>
      <c r="AF4" s="439"/>
      <c r="AG4" s="437" t="s">
        <v>139</v>
      </c>
      <c r="AH4" s="437"/>
      <c r="AI4" s="438" t="s">
        <v>140</v>
      </c>
      <c r="AJ4" s="439"/>
      <c r="AK4" s="437" t="s">
        <v>141</v>
      </c>
      <c r="AL4" s="437"/>
      <c r="AM4" s="438" t="s">
        <v>145</v>
      </c>
      <c r="AN4" s="439"/>
      <c r="AO4" s="437" t="s">
        <v>146</v>
      </c>
      <c r="AP4" s="437"/>
      <c r="AQ4" s="438" t="s">
        <v>147</v>
      </c>
      <c r="AR4" s="439"/>
      <c r="AS4" s="437" t="s">
        <v>148</v>
      </c>
      <c r="AT4" s="437"/>
      <c r="AU4" s="438" t="s">
        <v>149</v>
      </c>
      <c r="AV4" s="439"/>
    </row>
    <row r="5" spans="1:49" ht="15" x14ac:dyDescent="0.4">
      <c r="A5" s="70" t="s">
        <v>137</v>
      </c>
      <c r="B5" s="155"/>
      <c r="C5" s="35" t="s">
        <v>268</v>
      </c>
      <c r="D5" s="35" t="s">
        <v>152</v>
      </c>
      <c r="E5" s="298"/>
      <c r="F5" s="282" t="s">
        <v>539</v>
      </c>
      <c r="G5" s="282" t="s">
        <v>541</v>
      </c>
      <c r="H5" s="282" t="s">
        <v>539</v>
      </c>
      <c r="I5" s="282" t="s">
        <v>541</v>
      </c>
      <c r="J5" s="282" t="s">
        <v>554</v>
      </c>
      <c r="K5" s="282" t="s">
        <v>541</v>
      </c>
      <c r="L5" s="282" t="s">
        <v>545</v>
      </c>
      <c r="M5" s="282" t="s">
        <v>541</v>
      </c>
      <c r="N5" s="282" t="s">
        <v>549</v>
      </c>
      <c r="O5" s="282" t="s">
        <v>541</v>
      </c>
      <c r="P5" s="282" t="s">
        <v>555</v>
      </c>
      <c r="Q5" s="282" t="s">
        <v>541</v>
      </c>
      <c r="R5" s="282"/>
      <c r="S5" s="282" t="s">
        <v>541</v>
      </c>
      <c r="T5" s="442"/>
      <c r="U5" s="282" t="s">
        <v>541</v>
      </c>
      <c r="V5" s="442"/>
      <c r="W5" s="282" t="s">
        <v>541</v>
      </c>
      <c r="X5" s="318"/>
      <c r="Y5" s="75" t="s">
        <v>150</v>
      </c>
      <c r="Z5" s="73" t="s">
        <v>151</v>
      </c>
      <c r="AA5" s="72" t="s">
        <v>150</v>
      </c>
      <c r="AB5" s="74" t="s">
        <v>151</v>
      </c>
      <c r="AC5" s="75" t="s">
        <v>150</v>
      </c>
      <c r="AD5" s="76" t="s">
        <v>151</v>
      </c>
      <c r="AE5" s="72" t="s">
        <v>150</v>
      </c>
      <c r="AF5" s="74" t="s">
        <v>151</v>
      </c>
      <c r="AG5" s="75" t="s">
        <v>150</v>
      </c>
      <c r="AH5" s="76" t="s">
        <v>151</v>
      </c>
      <c r="AI5" s="72" t="s">
        <v>150</v>
      </c>
      <c r="AJ5" s="74" t="s">
        <v>151</v>
      </c>
      <c r="AK5" s="75" t="s">
        <v>150</v>
      </c>
      <c r="AL5" s="76" t="s">
        <v>151</v>
      </c>
      <c r="AM5" s="72" t="s">
        <v>150</v>
      </c>
      <c r="AN5" s="74" t="s">
        <v>151</v>
      </c>
      <c r="AO5" s="75" t="s">
        <v>150</v>
      </c>
      <c r="AP5" s="76" t="s">
        <v>151</v>
      </c>
      <c r="AQ5" s="72" t="s">
        <v>150</v>
      </c>
      <c r="AR5" s="74" t="s">
        <v>151</v>
      </c>
      <c r="AS5" s="75" t="s">
        <v>150</v>
      </c>
      <c r="AT5" s="76" t="s">
        <v>151</v>
      </c>
      <c r="AU5" s="72" t="s">
        <v>150</v>
      </c>
      <c r="AV5" s="74" t="s">
        <v>151</v>
      </c>
      <c r="AW5" s="216" t="s">
        <v>641</v>
      </c>
    </row>
    <row r="6" spans="1:49" ht="15.4" thickBot="1" x14ac:dyDescent="0.45">
      <c r="A6" s="217"/>
      <c r="B6" s="218"/>
      <c r="C6"/>
      <c r="D6"/>
      <c r="E6" s="29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s="319"/>
      <c r="Z6" s="219"/>
      <c r="AA6" s="163"/>
      <c r="AB6" s="219"/>
      <c r="AE6" s="163"/>
      <c r="AF6" s="219"/>
      <c r="AI6" s="163"/>
      <c r="AJ6" s="219"/>
      <c r="AM6" s="163"/>
      <c r="AN6" s="219"/>
      <c r="AQ6" s="163"/>
      <c r="AR6" s="219"/>
      <c r="AU6" s="163"/>
      <c r="AW6"/>
    </row>
    <row r="7" spans="1:49" x14ac:dyDescent="0.35">
      <c r="A7" s="36" t="s">
        <v>400</v>
      </c>
      <c r="B7" s="165"/>
      <c r="C7" s="77"/>
      <c r="D7" s="77"/>
      <c r="E7" s="300"/>
      <c r="F7" s="283"/>
      <c r="G7" s="283"/>
      <c r="H7" s="284"/>
      <c r="I7" s="284"/>
      <c r="J7" s="283"/>
      <c r="K7" s="283"/>
      <c r="L7" s="284"/>
      <c r="M7" s="284"/>
      <c r="N7" s="283"/>
      <c r="O7" s="283"/>
      <c r="P7" s="284"/>
      <c r="Q7" s="284"/>
      <c r="R7" s="283"/>
      <c r="S7" s="311"/>
      <c r="T7" s="283"/>
      <c r="U7" s="311"/>
      <c r="V7" s="283"/>
      <c r="W7" s="311"/>
      <c r="X7" s="320"/>
      <c r="Y7" s="80"/>
      <c r="Z7" s="80"/>
      <c r="AA7" s="45"/>
      <c r="AB7" s="79"/>
      <c r="AC7" s="80"/>
      <c r="AD7" s="80"/>
      <c r="AE7" s="154"/>
      <c r="AF7" s="79"/>
      <c r="AG7" s="78"/>
      <c r="AH7" s="80"/>
      <c r="AI7" s="78"/>
      <c r="AJ7" s="79"/>
      <c r="AK7" s="78"/>
      <c r="AL7" s="79"/>
      <c r="AM7" s="78"/>
      <c r="AN7" s="79"/>
      <c r="AO7" s="78"/>
      <c r="AP7" s="79"/>
      <c r="AQ7" s="78"/>
      <c r="AR7" s="79"/>
      <c r="AS7" s="78"/>
      <c r="AT7" s="79"/>
      <c r="AU7" s="78"/>
      <c r="AV7" s="80"/>
      <c r="AW7" s="212"/>
    </row>
    <row r="8" spans="1:49" x14ac:dyDescent="0.35">
      <c r="A8" s="36" t="s">
        <v>400</v>
      </c>
      <c r="B8" s="235"/>
      <c r="C8" s="83"/>
      <c r="D8" s="83"/>
      <c r="E8" s="301"/>
      <c r="F8" s="285"/>
      <c r="G8" s="285"/>
      <c r="H8" s="286"/>
      <c r="I8" s="286"/>
      <c r="J8" s="285"/>
      <c r="K8" s="285"/>
      <c r="L8" s="286"/>
      <c r="M8" s="286"/>
      <c r="N8" s="285"/>
      <c r="O8" s="285"/>
      <c r="P8" s="286"/>
      <c r="Q8" s="286"/>
      <c r="R8" s="285"/>
      <c r="S8" s="312"/>
      <c r="T8" s="285"/>
      <c r="U8" s="312"/>
      <c r="V8" s="285"/>
      <c r="W8" s="312"/>
      <c r="X8" s="321"/>
      <c r="Y8" s="81"/>
      <c r="Z8" s="81"/>
      <c r="AA8" s="50"/>
      <c r="AB8" s="85"/>
      <c r="AC8" s="81"/>
      <c r="AD8" s="81"/>
      <c r="AE8" s="236"/>
      <c r="AF8" s="85"/>
      <c r="AG8" s="84"/>
      <c r="AH8" s="81"/>
      <c r="AI8" s="84"/>
      <c r="AJ8" s="85"/>
      <c r="AK8" s="84"/>
      <c r="AL8" s="85"/>
      <c r="AM8" s="84"/>
      <c r="AN8" s="85"/>
      <c r="AO8" s="84"/>
      <c r="AP8" s="85"/>
      <c r="AQ8" s="84"/>
      <c r="AR8" s="85"/>
      <c r="AS8" s="84"/>
      <c r="AT8" s="85"/>
      <c r="AU8" s="84"/>
      <c r="AV8" s="81"/>
      <c r="AW8" s="213"/>
    </row>
    <row r="9" spans="1:49" x14ac:dyDescent="0.35">
      <c r="A9" s="36" t="s">
        <v>400</v>
      </c>
      <c r="B9" s="235"/>
      <c r="C9" s="83">
        <f>'2021-22'!AU7</f>
        <v>0</v>
      </c>
      <c r="D9" s="83"/>
      <c r="E9" s="301"/>
      <c r="F9" s="285"/>
      <c r="G9" s="285"/>
      <c r="H9" s="286"/>
      <c r="I9" s="286"/>
      <c r="J9" s="285"/>
      <c r="K9" s="285"/>
      <c r="L9" s="286"/>
      <c r="M9" s="286"/>
      <c r="N9" s="285"/>
      <c r="O9" s="285"/>
      <c r="P9" s="286"/>
      <c r="Q9" s="286"/>
      <c r="R9" s="285"/>
      <c r="S9" s="312"/>
      <c r="T9" s="285"/>
      <c r="U9" s="312"/>
      <c r="V9" s="285"/>
      <c r="W9" s="312"/>
      <c r="X9" s="321"/>
      <c r="Y9" s="81"/>
      <c r="Z9" s="81"/>
      <c r="AA9" s="50"/>
      <c r="AB9" s="85"/>
      <c r="AC9" s="81"/>
      <c r="AD9" s="81"/>
      <c r="AE9" s="236"/>
      <c r="AF9" s="85"/>
      <c r="AG9" s="84"/>
      <c r="AH9" s="81"/>
      <c r="AI9" s="84"/>
      <c r="AJ9" s="85"/>
      <c r="AK9" s="84"/>
      <c r="AL9" s="85"/>
      <c r="AM9" s="84"/>
      <c r="AN9" s="85"/>
      <c r="AO9" s="84"/>
      <c r="AP9" s="85"/>
      <c r="AQ9" s="84"/>
      <c r="AR9" s="85"/>
      <c r="AS9" s="84"/>
      <c r="AT9" s="85"/>
      <c r="AU9" s="84"/>
      <c r="AV9" s="81"/>
      <c r="AW9" s="213"/>
    </row>
    <row r="10" spans="1:49" x14ac:dyDescent="0.35">
      <c r="A10" s="36" t="s">
        <v>400</v>
      </c>
      <c r="B10" s="235"/>
      <c r="C10" s="83">
        <f>'2021-22'!AU8</f>
        <v>0</v>
      </c>
      <c r="D10" s="83"/>
      <c r="E10" s="301"/>
      <c r="F10" s="285"/>
      <c r="G10" s="285"/>
      <c r="H10" s="286"/>
      <c r="I10" s="286"/>
      <c r="J10" s="285"/>
      <c r="K10" s="285"/>
      <c r="L10" s="286"/>
      <c r="M10" s="286"/>
      <c r="N10" s="285"/>
      <c r="O10" s="285"/>
      <c r="P10" s="286"/>
      <c r="Q10" s="286"/>
      <c r="R10" s="285"/>
      <c r="S10" s="312"/>
      <c r="T10" s="285"/>
      <c r="U10" s="312"/>
      <c r="V10" s="285"/>
      <c r="W10" s="312"/>
      <c r="X10" s="321"/>
      <c r="Y10" s="81"/>
      <c r="Z10" s="81"/>
      <c r="AA10" s="50"/>
      <c r="AB10" s="85"/>
      <c r="AC10" s="81"/>
      <c r="AD10" s="81"/>
      <c r="AE10" s="236"/>
      <c r="AF10" s="85"/>
      <c r="AG10" s="84"/>
      <c r="AH10" s="81"/>
      <c r="AI10" s="84"/>
      <c r="AJ10" s="85"/>
      <c r="AK10" s="84"/>
      <c r="AL10" s="85"/>
      <c r="AM10" s="84"/>
      <c r="AN10" s="85"/>
      <c r="AO10" s="84"/>
      <c r="AP10" s="85"/>
      <c r="AQ10" s="84"/>
      <c r="AR10" s="85"/>
      <c r="AS10" s="84"/>
      <c r="AT10" s="85"/>
      <c r="AU10" s="84"/>
      <c r="AV10" s="81"/>
      <c r="AW10" s="213"/>
    </row>
    <row r="11" spans="1:49" x14ac:dyDescent="0.35">
      <c r="A11" s="66" t="s">
        <v>347</v>
      </c>
      <c r="B11" s="167"/>
      <c r="C11" s="83">
        <f>'2021-22'!AU9</f>
        <v>0</v>
      </c>
      <c r="D11" s="83"/>
      <c r="E11" s="301"/>
      <c r="F11" s="285"/>
      <c r="G11" s="285"/>
      <c r="H11" s="286"/>
      <c r="I11" s="286"/>
      <c r="J11" s="285"/>
      <c r="K11" s="285"/>
      <c r="L11" s="286"/>
      <c r="M11" s="286"/>
      <c r="N11" s="285"/>
      <c r="O11" s="285"/>
      <c r="P11" s="286"/>
      <c r="Q11" s="286"/>
      <c r="R11" s="285"/>
      <c r="S11" s="312"/>
      <c r="T11" s="285"/>
      <c r="U11" s="312"/>
      <c r="V11" s="285"/>
      <c r="W11" s="312"/>
      <c r="X11" s="322"/>
      <c r="Y11" s="81"/>
      <c r="Z11" s="81"/>
      <c r="AA11" s="84"/>
      <c r="AB11" s="85"/>
      <c r="AC11" s="81"/>
      <c r="AD11" s="81"/>
      <c r="AE11" s="84"/>
      <c r="AF11" s="85"/>
      <c r="AG11" s="84"/>
      <c r="AH11" s="81"/>
      <c r="AI11" s="84"/>
      <c r="AJ11" s="85"/>
      <c r="AK11" s="84"/>
      <c r="AL11" s="85"/>
      <c r="AM11" s="84"/>
      <c r="AN11" s="85"/>
      <c r="AO11" s="84"/>
      <c r="AP11" s="85"/>
      <c r="AQ11" s="84"/>
      <c r="AR11" s="85"/>
      <c r="AS11" s="84"/>
      <c r="AT11" s="85"/>
      <c r="AU11" s="84"/>
      <c r="AV11" s="81"/>
      <c r="AW11" s="213"/>
    </row>
    <row r="12" spans="1:49" x14ac:dyDescent="0.35">
      <c r="A12" s="66" t="s">
        <v>478</v>
      </c>
      <c r="B12" s="169"/>
      <c r="C12" s="83">
        <f>'2021-22'!AU10</f>
        <v>0</v>
      </c>
      <c r="D12" s="83"/>
      <c r="E12" s="301"/>
      <c r="F12" s="285"/>
      <c r="G12" s="285"/>
      <c r="H12" s="286"/>
      <c r="I12" s="286"/>
      <c r="J12" s="285"/>
      <c r="K12" s="285"/>
      <c r="L12" s="286"/>
      <c r="M12" s="286"/>
      <c r="N12" s="285"/>
      <c r="O12" s="285"/>
      <c r="P12" s="286"/>
      <c r="Q12" s="286"/>
      <c r="R12" s="285"/>
      <c r="S12" s="312"/>
      <c r="T12" s="285"/>
      <c r="U12" s="312"/>
      <c r="V12" s="285"/>
      <c r="W12" s="312"/>
      <c r="X12" s="322"/>
      <c r="Y12" s="81"/>
      <c r="Z12" s="81"/>
      <c r="AA12" s="84"/>
      <c r="AB12" s="85"/>
      <c r="AC12" s="81"/>
      <c r="AD12" s="81"/>
      <c r="AE12" s="84"/>
      <c r="AF12" s="85"/>
      <c r="AG12" s="84"/>
      <c r="AH12" s="81"/>
      <c r="AI12" s="84"/>
      <c r="AJ12" s="85"/>
      <c r="AK12" s="84"/>
      <c r="AL12" s="85"/>
      <c r="AM12" s="84"/>
      <c r="AN12" s="85"/>
      <c r="AO12" s="84"/>
      <c r="AP12" s="85"/>
      <c r="AQ12" s="84"/>
      <c r="AR12" s="85"/>
      <c r="AS12" s="84"/>
      <c r="AT12" s="85"/>
      <c r="AU12" s="84"/>
      <c r="AV12" s="81"/>
      <c r="AW12" s="213"/>
    </row>
    <row r="13" spans="1:49" x14ac:dyDescent="0.35">
      <c r="A13" s="327"/>
      <c r="B13" s="328"/>
      <c r="C13" s="330"/>
      <c r="D13" s="330"/>
      <c r="E13" s="331"/>
      <c r="F13" s="332"/>
      <c r="G13" s="333"/>
      <c r="H13" s="332"/>
      <c r="I13" s="333"/>
      <c r="J13" s="332"/>
      <c r="K13" s="333"/>
      <c r="L13" s="332"/>
      <c r="M13" s="333"/>
      <c r="N13" s="332"/>
      <c r="O13" s="333"/>
      <c r="P13" s="332"/>
      <c r="Q13" s="333"/>
      <c r="R13" s="332"/>
      <c r="S13" s="334"/>
      <c r="T13" s="332"/>
      <c r="U13" s="334"/>
      <c r="V13" s="332"/>
      <c r="W13" s="334"/>
      <c r="X13" s="335"/>
      <c r="Y13" s="329"/>
      <c r="Z13" s="329"/>
      <c r="AA13" s="336"/>
      <c r="AB13" s="337"/>
      <c r="AC13" s="338"/>
      <c r="AD13" s="329"/>
      <c r="AE13" s="336"/>
      <c r="AF13" s="337"/>
      <c r="AG13" s="336"/>
      <c r="AH13" s="329"/>
      <c r="AI13" s="336"/>
      <c r="AJ13" s="337"/>
      <c r="AK13" s="336"/>
      <c r="AL13" s="337"/>
      <c r="AM13" s="336"/>
      <c r="AN13" s="337"/>
      <c r="AO13" s="336"/>
      <c r="AP13" s="337"/>
      <c r="AQ13" s="336"/>
      <c r="AR13" s="337"/>
      <c r="AS13" s="336"/>
      <c r="AT13" s="337"/>
      <c r="AU13" s="336"/>
      <c r="AV13" s="329"/>
      <c r="AW13" s="339"/>
    </row>
    <row r="14" spans="1:49" x14ac:dyDescent="0.35">
      <c r="A14" s="187"/>
      <c r="B14" s="180"/>
      <c r="C14" s="83"/>
      <c r="D14" s="142"/>
      <c r="E14" s="304"/>
      <c r="F14" s="287"/>
      <c r="G14" s="288" t="e">
        <f t="shared" ref="G14:G37" si="0">F14/E14</f>
        <v>#DIV/0!</v>
      </c>
      <c r="H14" s="289"/>
      <c r="I14" s="290" t="e">
        <f t="shared" ref="I14:I37" si="1">H14/E14</f>
        <v>#DIV/0!</v>
      </c>
      <c r="J14" s="287"/>
      <c r="K14" s="288" t="e">
        <f t="shared" ref="K14:K37" si="2">J14/E14</f>
        <v>#DIV/0!</v>
      </c>
      <c r="L14" s="289"/>
      <c r="M14" s="290" t="e">
        <f t="shared" ref="M14:M37" si="3">L14/E14</f>
        <v>#DIV/0!</v>
      </c>
      <c r="N14" s="287"/>
      <c r="O14" s="288" t="e">
        <f t="shared" ref="O14:O37" si="4">N14/E14</f>
        <v>#DIV/0!</v>
      </c>
      <c r="P14" s="289"/>
      <c r="Q14" s="290" t="e">
        <f t="shared" ref="Q14:Q37" si="5">P14/E14</f>
        <v>#DIV/0!</v>
      </c>
      <c r="R14" s="287"/>
      <c r="S14" s="313" t="e">
        <f t="shared" ref="S14:S37" si="6">R14/E14</f>
        <v>#DIV/0!</v>
      </c>
      <c r="T14" s="287"/>
      <c r="U14" s="313" t="e">
        <f t="shared" ref="U14:U37" si="7">T14/E14</f>
        <v>#DIV/0!</v>
      </c>
      <c r="V14" s="287"/>
      <c r="W14" s="313" t="e">
        <f>V14/E14</f>
        <v>#DIV/0!</v>
      </c>
      <c r="X14" s="323" t="e">
        <f>W14+U14+S14+Q14+O14+M14+K14+I14+G14</f>
        <v>#DIV/0!</v>
      </c>
      <c r="Y14" s="81">
        <v>0</v>
      </c>
      <c r="Z14" s="81"/>
      <c r="AA14" s="84">
        <v>0</v>
      </c>
      <c r="AB14" s="85"/>
      <c r="AC14" s="84">
        <v>0</v>
      </c>
      <c r="AD14" s="81"/>
      <c r="AE14" s="84">
        <v>0</v>
      </c>
      <c r="AF14" s="85"/>
      <c r="AG14" s="84">
        <v>0</v>
      </c>
      <c r="AH14" s="81"/>
      <c r="AI14" s="84">
        <v>0</v>
      </c>
      <c r="AJ14" s="85"/>
      <c r="AK14" s="84">
        <v>0</v>
      </c>
      <c r="AL14" s="85"/>
      <c r="AM14" s="84">
        <v>0</v>
      </c>
      <c r="AN14" s="85"/>
      <c r="AO14" s="84"/>
      <c r="AP14" s="85"/>
      <c r="AQ14" s="84">
        <f t="shared" ref="AQ14:AQ31" si="8">D14-Y14-AA14-AC14-AE14-AG14-AI14-AK14-AM14-AO14</f>
        <v>0</v>
      </c>
      <c r="AR14" s="85"/>
      <c r="AS14" s="84">
        <f t="shared" ref="AS14:AS31" si="9">D14-Y14-AA14-AC14-AE14-AG14-AI14-AK14-AM14-AO14-AQ14</f>
        <v>0</v>
      </c>
      <c r="AT14" s="85"/>
      <c r="AU14" s="84">
        <f t="shared" ref="AU14:AU31" si="10">D14-Y14-AA14-AC14-AE14-AG14-AI14-AK14-AM14-AO14-AQ14-AS14</f>
        <v>0</v>
      </c>
      <c r="AV14" s="81"/>
      <c r="AW14" s="214">
        <f t="shared" ref="AW14:AW51" si="11">D14-Y14-AA14-AC14-AE14-AG14-AI14-AK14-AM14-AO14-AQ14-AS14-AU14</f>
        <v>0</v>
      </c>
    </row>
    <row r="15" spans="1:49" x14ac:dyDescent="0.35">
      <c r="A15" s="159"/>
      <c r="B15" s="180"/>
      <c r="C15" s="83"/>
      <c r="D15" s="142"/>
      <c r="E15" s="304"/>
      <c r="F15" s="287"/>
      <c r="G15" s="288" t="e">
        <f t="shared" si="0"/>
        <v>#DIV/0!</v>
      </c>
      <c r="H15" s="289"/>
      <c r="I15" s="290" t="e">
        <f t="shared" si="1"/>
        <v>#DIV/0!</v>
      </c>
      <c r="J15" s="287"/>
      <c r="K15" s="288" t="e">
        <f t="shared" si="2"/>
        <v>#DIV/0!</v>
      </c>
      <c r="L15" s="289"/>
      <c r="M15" s="290" t="e">
        <f t="shared" si="3"/>
        <v>#DIV/0!</v>
      </c>
      <c r="N15" s="287"/>
      <c r="O15" s="288" t="e">
        <f t="shared" si="4"/>
        <v>#DIV/0!</v>
      </c>
      <c r="P15" s="289"/>
      <c r="Q15" s="290" t="e">
        <f t="shared" si="5"/>
        <v>#DIV/0!</v>
      </c>
      <c r="R15" s="287"/>
      <c r="S15" s="313" t="e">
        <f t="shared" si="6"/>
        <v>#DIV/0!</v>
      </c>
      <c r="T15" s="287"/>
      <c r="U15" s="313" t="e">
        <f t="shared" si="7"/>
        <v>#DIV/0!</v>
      </c>
      <c r="V15" s="287"/>
      <c r="W15" s="313" t="e">
        <f>V15/E15</f>
        <v>#DIV/0!</v>
      </c>
      <c r="X15" s="323" t="e">
        <f t="shared" ref="X15:X18" si="12">W15+U15+S15+Q15+O15+M15+K15+I15+G15</f>
        <v>#DIV/0!</v>
      </c>
      <c r="Y15" s="81">
        <v>0</v>
      </c>
      <c r="Z15" s="81"/>
      <c r="AA15" s="84">
        <f t="shared" ref="AA15:AA18" si="13">D15-Y15</f>
        <v>0</v>
      </c>
      <c r="AB15" s="85"/>
      <c r="AC15" s="84">
        <f t="shared" ref="AC15:AC18" si="14">D15-Y15-AA15</f>
        <v>0</v>
      </c>
      <c r="AD15" s="81"/>
      <c r="AE15" s="84">
        <f t="shared" ref="AE15:AE18" si="15">D15-Y15-AA15-AC15</f>
        <v>0</v>
      </c>
      <c r="AF15" s="85"/>
      <c r="AG15" s="84">
        <f t="shared" ref="AG15:AG18" si="16">D15-Y15-AA15-AC15-AE15</f>
        <v>0</v>
      </c>
      <c r="AH15" s="81"/>
      <c r="AI15" s="84">
        <f t="shared" ref="AI15:AI18" si="17">D15-Y15-AA15-AC15-AE15-AG15</f>
        <v>0</v>
      </c>
      <c r="AJ15" s="85"/>
      <c r="AK15" s="84">
        <f t="shared" ref="AK15:AK18" si="18">D15-Y15-AA15-AC15-AE15-AG15-AI15</f>
        <v>0</v>
      </c>
      <c r="AL15" s="85"/>
      <c r="AM15" s="84">
        <f t="shared" ref="AM15:AM18" si="19">D15-Y15-AA15-AC15-AE15-AG15-AI15-AK15</f>
        <v>0</v>
      </c>
      <c r="AN15" s="85"/>
      <c r="AO15" s="84">
        <f t="shared" ref="AO15:AO18" si="20">D15-Y15-AA15-AC15-AE15-AG15-AI15-AK15-AM15</f>
        <v>0</v>
      </c>
      <c r="AP15" s="85"/>
      <c r="AQ15" s="84">
        <f t="shared" si="8"/>
        <v>0</v>
      </c>
      <c r="AR15" s="85"/>
      <c r="AS15" s="84">
        <f t="shared" si="9"/>
        <v>0</v>
      </c>
      <c r="AT15" s="85"/>
      <c r="AU15" s="84">
        <f t="shared" si="10"/>
        <v>0</v>
      </c>
      <c r="AV15" s="81"/>
      <c r="AW15" s="214">
        <f t="shared" si="11"/>
        <v>0</v>
      </c>
    </row>
    <row r="16" spans="1:49" x14ac:dyDescent="0.35">
      <c r="A16" s="159"/>
      <c r="B16" s="180"/>
      <c r="C16" s="83"/>
      <c r="D16" s="142"/>
      <c r="E16" s="304"/>
      <c r="F16" s="287"/>
      <c r="G16" s="288" t="e">
        <f t="shared" si="0"/>
        <v>#DIV/0!</v>
      </c>
      <c r="H16" s="289"/>
      <c r="I16" s="290" t="e">
        <f t="shared" si="1"/>
        <v>#DIV/0!</v>
      </c>
      <c r="J16" s="287"/>
      <c r="K16" s="288" t="e">
        <f t="shared" si="2"/>
        <v>#DIV/0!</v>
      </c>
      <c r="L16" s="289"/>
      <c r="M16" s="290" t="e">
        <f t="shared" si="3"/>
        <v>#DIV/0!</v>
      </c>
      <c r="N16" s="287"/>
      <c r="O16" s="288" t="e">
        <f t="shared" si="4"/>
        <v>#DIV/0!</v>
      </c>
      <c r="P16" s="289"/>
      <c r="Q16" s="290" t="e">
        <f t="shared" si="5"/>
        <v>#DIV/0!</v>
      </c>
      <c r="R16" s="287"/>
      <c r="S16" s="313" t="e">
        <f t="shared" si="6"/>
        <v>#DIV/0!</v>
      </c>
      <c r="T16" s="287"/>
      <c r="U16" s="313" t="e">
        <f t="shared" si="7"/>
        <v>#DIV/0!</v>
      </c>
      <c r="V16" s="287"/>
      <c r="W16" s="313" t="e">
        <f t="shared" ref="W16" si="21">V16/E16</f>
        <v>#DIV/0!</v>
      </c>
      <c r="X16" s="323" t="e">
        <f t="shared" si="12"/>
        <v>#DIV/0!</v>
      </c>
      <c r="Y16" s="81">
        <v>0</v>
      </c>
      <c r="Z16" s="81"/>
      <c r="AA16" s="84">
        <f t="shared" si="13"/>
        <v>0</v>
      </c>
      <c r="AB16" s="85"/>
      <c r="AC16" s="84">
        <f t="shared" si="14"/>
        <v>0</v>
      </c>
      <c r="AD16" s="81"/>
      <c r="AE16" s="84">
        <f t="shared" si="15"/>
        <v>0</v>
      </c>
      <c r="AF16" s="85"/>
      <c r="AG16" s="84">
        <f t="shared" si="16"/>
        <v>0</v>
      </c>
      <c r="AH16" s="81"/>
      <c r="AI16" s="84">
        <f t="shared" si="17"/>
        <v>0</v>
      </c>
      <c r="AJ16" s="85"/>
      <c r="AK16" s="84">
        <f t="shared" si="18"/>
        <v>0</v>
      </c>
      <c r="AL16" s="85"/>
      <c r="AM16" s="84">
        <f t="shared" si="19"/>
        <v>0</v>
      </c>
      <c r="AN16" s="85"/>
      <c r="AO16" s="84">
        <f t="shared" si="20"/>
        <v>0</v>
      </c>
      <c r="AP16" s="85"/>
      <c r="AQ16" s="84">
        <f t="shared" si="8"/>
        <v>0</v>
      </c>
      <c r="AR16" s="85"/>
      <c r="AS16" s="84">
        <f t="shared" si="9"/>
        <v>0</v>
      </c>
      <c r="AT16" s="85"/>
      <c r="AU16" s="84">
        <f t="shared" si="10"/>
        <v>0</v>
      </c>
      <c r="AV16" s="81"/>
      <c r="AW16" s="214">
        <f t="shared" si="11"/>
        <v>0</v>
      </c>
    </row>
    <row r="17" spans="1:49" x14ac:dyDescent="0.35">
      <c r="A17" s="159"/>
      <c r="B17" s="180"/>
      <c r="C17" s="83"/>
      <c r="D17" s="142"/>
      <c r="E17" s="304"/>
      <c r="F17" s="287"/>
      <c r="G17" s="288" t="e">
        <f t="shared" ref="G17:G18" si="22">F17/E17</f>
        <v>#DIV/0!</v>
      </c>
      <c r="H17" s="289"/>
      <c r="I17" s="290" t="e">
        <f t="shared" ref="I17:I18" si="23">H17/E17</f>
        <v>#DIV/0!</v>
      </c>
      <c r="J17" s="287"/>
      <c r="K17" s="288" t="e">
        <f t="shared" ref="K17:K18" si="24">J17/E17</f>
        <v>#DIV/0!</v>
      </c>
      <c r="L17" s="289"/>
      <c r="M17" s="290" t="e">
        <f t="shared" ref="M17:M18" si="25">L17/E17</f>
        <v>#DIV/0!</v>
      </c>
      <c r="N17" s="287"/>
      <c r="O17" s="288" t="e">
        <f t="shared" ref="O17:O18" si="26">N17/E17</f>
        <v>#DIV/0!</v>
      </c>
      <c r="P17" s="289"/>
      <c r="Q17" s="290" t="e">
        <f t="shared" ref="Q17:Q18" si="27">P17/E17</f>
        <v>#DIV/0!</v>
      </c>
      <c r="R17" s="287"/>
      <c r="S17" s="313" t="e">
        <f t="shared" ref="S17:S18" si="28">R17/E17</f>
        <v>#DIV/0!</v>
      </c>
      <c r="T17" s="287"/>
      <c r="U17" s="313" t="e">
        <f t="shared" ref="U17:U18" si="29">T17/E17</f>
        <v>#DIV/0!</v>
      </c>
      <c r="V17" s="287"/>
      <c r="W17" s="313" t="e">
        <f>V17/E17</f>
        <v>#DIV/0!</v>
      </c>
      <c r="X17" s="323" t="e">
        <f t="shared" si="12"/>
        <v>#DIV/0!</v>
      </c>
      <c r="Y17" s="81">
        <v>0</v>
      </c>
      <c r="Z17" s="81"/>
      <c r="AA17" s="84">
        <f t="shared" si="13"/>
        <v>0</v>
      </c>
      <c r="AB17" s="85"/>
      <c r="AC17" s="84">
        <f t="shared" si="14"/>
        <v>0</v>
      </c>
      <c r="AD17" s="81"/>
      <c r="AE17" s="84">
        <f t="shared" si="15"/>
        <v>0</v>
      </c>
      <c r="AF17" s="85"/>
      <c r="AG17" s="84">
        <f t="shared" si="16"/>
        <v>0</v>
      </c>
      <c r="AH17" s="81"/>
      <c r="AI17" s="84">
        <f t="shared" si="17"/>
        <v>0</v>
      </c>
      <c r="AJ17" s="85"/>
      <c r="AK17" s="84">
        <f t="shared" si="18"/>
        <v>0</v>
      </c>
      <c r="AL17" s="85"/>
      <c r="AM17" s="84">
        <f t="shared" si="19"/>
        <v>0</v>
      </c>
      <c r="AN17" s="85"/>
      <c r="AO17" s="84">
        <f t="shared" si="20"/>
        <v>0</v>
      </c>
      <c r="AP17" s="85"/>
      <c r="AQ17" s="84">
        <f t="shared" ref="AQ17:AQ18" si="30">D17-Y17-AA17-AC17-AE17-AG17-AI17-AK17-AM17-AO17</f>
        <v>0</v>
      </c>
      <c r="AR17" s="85"/>
      <c r="AS17" s="84">
        <f t="shared" ref="AS17:AS18" si="31">D17-Y17-AA17-AC17-AE17-AG17-AI17-AK17-AM17-AO17-AQ17</f>
        <v>0</v>
      </c>
      <c r="AT17" s="85"/>
      <c r="AU17" s="84">
        <f t="shared" ref="AU17:AU18" si="32">D17-Y17-AA17-AC17-AE17-AG17-AI17-AK17-AM17-AO17-AQ17-AS17</f>
        <v>0</v>
      </c>
      <c r="AV17" s="81"/>
      <c r="AW17" s="214">
        <f t="shared" ref="AW17:AW18" si="33">D17-Y17-AA17-AC17-AE17-AG17-AI17-AK17-AM17-AO17-AQ17-AS17-AU17</f>
        <v>0</v>
      </c>
    </row>
    <row r="18" spans="1:49" x14ac:dyDescent="0.35">
      <c r="A18" s="159"/>
      <c r="B18" s="180"/>
      <c r="C18" s="83"/>
      <c r="D18" s="142"/>
      <c r="E18" s="304"/>
      <c r="F18" s="287"/>
      <c r="G18" s="288" t="e">
        <f t="shared" si="22"/>
        <v>#DIV/0!</v>
      </c>
      <c r="H18" s="289"/>
      <c r="I18" s="290" t="e">
        <f t="shared" si="23"/>
        <v>#DIV/0!</v>
      </c>
      <c r="J18" s="287"/>
      <c r="K18" s="288" t="e">
        <f t="shared" si="24"/>
        <v>#DIV/0!</v>
      </c>
      <c r="L18" s="289"/>
      <c r="M18" s="290" t="e">
        <f t="shared" si="25"/>
        <v>#DIV/0!</v>
      </c>
      <c r="N18" s="287"/>
      <c r="O18" s="288" t="e">
        <f t="shared" si="26"/>
        <v>#DIV/0!</v>
      </c>
      <c r="P18" s="289"/>
      <c r="Q18" s="290" t="e">
        <f t="shared" si="27"/>
        <v>#DIV/0!</v>
      </c>
      <c r="R18" s="287"/>
      <c r="S18" s="313" t="e">
        <f t="shared" si="28"/>
        <v>#DIV/0!</v>
      </c>
      <c r="T18" s="287"/>
      <c r="U18" s="313" t="e">
        <f t="shared" si="29"/>
        <v>#DIV/0!</v>
      </c>
      <c r="V18" s="287"/>
      <c r="W18" s="313" t="e">
        <f t="shared" ref="W18" si="34">V18/E18</f>
        <v>#DIV/0!</v>
      </c>
      <c r="X18" s="323" t="e">
        <f t="shared" si="12"/>
        <v>#DIV/0!</v>
      </c>
      <c r="Y18" s="81">
        <v>0</v>
      </c>
      <c r="Z18" s="81"/>
      <c r="AA18" s="84">
        <f t="shared" si="13"/>
        <v>0</v>
      </c>
      <c r="AB18" s="85"/>
      <c r="AC18" s="84">
        <f t="shared" si="14"/>
        <v>0</v>
      </c>
      <c r="AD18" s="81"/>
      <c r="AE18" s="84">
        <f t="shared" si="15"/>
        <v>0</v>
      </c>
      <c r="AF18" s="85"/>
      <c r="AG18" s="84">
        <f t="shared" si="16"/>
        <v>0</v>
      </c>
      <c r="AH18" s="81"/>
      <c r="AI18" s="84">
        <f t="shared" si="17"/>
        <v>0</v>
      </c>
      <c r="AJ18" s="85"/>
      <c r="AK18" s="84">
        <f t="shared" si="18"/>
        <v>0</v>
      </c>
      <c r="AL18" s="85"/>
      <c r="AM18" s="84">
        <f t="shared" si="19"/>
        <v>0</v>
      </c>
      <c r="AN18" s="85"/>
      <c r="AO18" s="84">
        <f t="shared" si="20"/>
        <v>0</v>
      </c>
      <c r="AP18" s="85"/>
      <c r="AQ18" s="84">
        <f t="shared" si="30"/>
        <v>0</v>
      </c>
      <c r="AR18" s="85"/>
      <c r="AS18" s="84">
        <f t="shared" si="31"/>
        <v>0</v>
      </c>
      <c r="AT18" s="85"/>
      <c r="AU18" s="84">
        <f t="shared" si="32"/>
        <v>0</v>
      </c>
      <c r="AV18" s="81"/>
      <c r="AW18" s="214">
        <f t="shared" si="33"/>
        <v>0</v>
      </c>
    </row>
    <row r="19" spans="1:49" x14ac:dyDescent="0.35">
      <c r="A19" s="187" t="s">
        <v>610</v>
      </c>
      <c r="B19" s="180"/>
      <c r="C19" s="83">
        <v>85260</v>
      </c>
      <c r="D19" s="142">
        <v>85260</v>
      </c>
      <c r="E19" s="304"/>
      <c r="F19" s="287"/>
      <c r="G19" s="288" t="e">
        <f t="shared" ref="G19:G20" si="35">F19/E19</f>
        <v>#DIV/0!</v>
      </c>
      <c r="H19" s="289"/>
      <c r="I19" s="290" t="e">
        <f t="shared" ref="I19:I20" si="36">H19/E19</f>
        <v>#DIV/0!</v>
      </c>
      <c r="J19" s="287"/>
      <c r="K19" s="288" t="e">
        <f t="shared" ref="K19:K20" si="37">J19/E19</f>
        <v>#DIV/0!</v>
      </c>
      <c r="L19" s="289"/>
      <c r="M19" s="290" t="e">
        <f t="shared" ref="M19:M20" si="38">L19/E19</f>
        <v>#DIV/0!</v>
      </c>
      <c r="N19" s="287"/>
      <c r="O19" s="288" t="e">
        <f t="shared" ref="O19:O20" si="39">N19/E19</f>
        <v>#DIV/0!</v>
      </c>
      <c r="P19" s="289"/>
      <c r="Q19" s="290" t="e">
        <f t="shared" ref="Q19:Q20" si="40">P19/E19</f>
        <v>#DIV/0!</v>
      </c>
      <c r="R19" s="287"/>
      <c r="S19" s="313" t="e">
        <f t="shared" ref="S19:S20" si="41">R19/E19</f>
        <v>#DIV/0!</v>
      </c>
      <c r="T19" s="287"/>
      <c r="U19" s="313" t="e">
        <f t="shared" ref="U19:U20" si="42">T19/E19</f>
        <v>#DIV/0!</v>
      </c>
      <c r="V19" s="287"/>
      <c r="W19" s="313" t="e">
        <f>V19/E19</f>
        <v>#DIV/0!</v>
      </c>
      <c r="X19" s="323" t="e">
        <f t="shared" ref="X19:X20" si="43">W19+U19+S19+Q19+O19+M19+K19+I19+G19</f>
        <v>#DIV/0!</v>
      </c>
      <c r="Y19" s="81">
        <v>0</v>
      </c>
      <c r="Z19" s="81"/>
      <c r="AA19" s="84">
        <v>0</v>
      </c>
      <c r="AB19" s="85"/>
      <c r="AC19" s="84">
        <v>0</v>
      </c>
      <c r="AD19" s="81"/>
      <c r="AE19" s="84">
        <v>0</v>
      </c>
      <c r="AF19" s="85"/>
      <c r="AG19" s="84">
        <v>0</v>
      </c>
      <c r="AH19" s="81"/>
      <c r="AI19" s="84">
        <v>0</v>
      </c>
      <c r="AJ19" s="85"/>
      <c r="AK19" s="84">
        <v>0</v>
      </c>
      <c r="AL19" s="85"/>
      <c r="AM19" s="84">
        <v>0</v>
      </c>
      <c r="AN19" s="85"/>
      <c r="AO19" s="84">
        <v>0</v>
      </c>
      <c r="AP19" s="85"/>
      <c r="AQ19" s="84">
        <v>0</v>
      </c>
      <c r="AR19" s="85"/>
      <c r="AS19" s="84">
        <v>0</v>
      </c>
      <c r="AT19" s="85"/>
      <c r="AU19" s="84">
        <v>0</v>
      </c>
      <c r="AV19" s="81"/>
      <c r="AW19" s="214">
        <f t="shared" ref="AW19:AW20" si="44">D19-Y19-AA19-AC19-AE19-AG19-AI19-AK19-AM19-AO19-AQ19-AS19-AU19</f>
        <v>85260</v>
      </c>
    </row>
    <row r="20" spans="1:49" x14ac:dyDescent="0.35">
      <c r="A20" s="187" t="s">
        <v>655</v>
      </c>
      <c r="B20" s="180"/>
      <c r="C20" s="83">
        <v>7252.87</v>
      </c>
      <c r="D20" s="107">
        <f>C20</f>
        <v>7252.87</v>
      </c>
      <c r="E20" s="304">
        <f>D20</f>
        <v>7252.87</v>
      </c>
      <c r="F20" s="287"/>
      <c r="G20" s="288">
        <f t="shared" si="35"/>
        <v>0</v>
      </c>
      <c r="H20" s="289">
        <f>E20</f>
        <v>7252.87</v>
      </c>
      <c r="I20" s="290">
        <f t="shared" si="36"/>
        <v>1</v>
      </c>
      <c r="J20" s="287"/>
      <c r="K20" s="288">
        <f t="shared" si="37"/>
        <v>0</v>
      </c>
      <c r="L20" s="289"/>
      <c r="M20" s="290">
        <f t="shared" si="38"/>
        <v>0</v>
      </c>
      <c r="N20" s="287"/>
      <c r="O20" s="288">
        <f t="shared" si="39"/>
        <v>0</v>
      </c>
      <c r="P20" s="289"/>
      <c r="Q20" s="290">
        <f t="shared" si="40"/>
        <v>0</v>
      </c>
      <c r="R20" s="287"/>
      <c r="S20" s="313">
        <f t="shared" si="41"/>
        <v>0</v>
      </c>
      <c r="T20" s="287"/>
      <c r="U20" s="313">
        <f t="shared" si="42"/>
        <v>0</v>
      </c>
      <c r="V20" s="287"/>
      <c r="W20" s="313">
        <f t="shared" ref="W20" si="45">V20/E20</f>
        <v>0</v>
      </c>
      <c r="X20" s="323">
        <f t="shared" si="43"/>
        <v>1</v>
      </c>
      <c r="Y20" s="81">
        <v>0</v>
      </c>
      <c r="Z20" s="81"/>
      <c r="AA20" s="84">
        <v>0</v>
      </c>
      <c r="AB20" s="85"/>
      <c r="AC20" s="84">
        <v>0</v>
      </c>
      <c r="AD20" s="81"/>
      <c r="AE20" s="84">
        <v>0</v>
      </c>
      <c r="AF20" s="85"/>
      <c r="AG20" s="84">
        <v>0</v>
      </c>
      <c r="AH20" s="81"/>
      <c r="AI20" s="84">
        <v>0</v>
      </c>
      <c r="AJ20" s="85"/>
      <c r="AK20" s="84">
        <v>0</v>
      </c>
      <c r="AL20" s="85"/>
      <c r="AM20" s="84">
        <v>0</v>
      </c>
      <c r="AN20" s="85"/>
      <c r="AO20" s="84">
        <v>0</v>
      </c>
      <c r="AP20" s="85"/>
      <c r="AQ20" s="84">
        <v>0</v>
      </c>
      <c r="AR20" s="85"/>
      <c r="AS20" s="84">
        <v>0</v>
      </c>
      <c r="AT20" s="85"/>
      <c r="AU20" s="84">
        <v>0</v>
      </c>
      <c r="AV20" s="81"/>
      <c r="AW20" s="214">
        <f t="shared" si="44"/>
        <v>7252.87</v>
      </c>
    </row>
    <row r="21" spans="1:49" x14ac:dyDescent="0.35">
      <c r="A21" s="159" t="s">
        <v>654</v>
      </c>
      <c r="B21" s="180"/>
      <c r="C21" s="83">
        <v>3111.05</v>
      </c>
      <c r="D21" s="107">
        <v>3111.05</v>
      </c>
      <c r="E21" s="304">
        <v>3111</v>
      </c>
      <c r="F21" s="287"/>
      <c r="G21" s="288">
        <f t="shared" si="0"/>
        <v>0</v>
      </c>
      <c r="H21" s="289"/>
      <c r="I21" s="290">
        <f t="shared" si="1"/>
        <v>0</v>
      </c>
      <c r="J21" s="287"/>
      <c r="K21" s="288">
        <f t="shared" si="2"/>
        <v>0</v>
      </c>
      <c r="L21" s="289"/>
      <c r="M21" s="290">
        <f t="shared" si="3"/>
        <v>0</v>
      </c>
      <c r="N21" s="287">
        <v>3111</v>
      </c>
      <c r="O21" s="288">
        <f t="shared" si="4"/>
        <v>1</v>
      </c>
      <c r="P21" s="289"/>
      <c r="Q21" s="290">
        <f t="shared" si="5"/>
        <v>0</v>
      </c>
      <c r="R21" s="287"/>
      <c r="S21" s="313">
        <f t="shared" si="6"/>
        <v>0</v>
      </c>
      <c r="T21" s="287"/>
      <c r="U21" s="313">
        <f t="shared" si="7"/>
        <v>0</v>
      </c>
      <c r="V21" s="287"/>
      <c r="W21" s="313">
        <f>V21/E21</f>
        <v>0</v>
      </c>
      <c r="X21" s="323">
        <f t="shared" ref="X21:X94" si="46">W21+U21+S21+Q21+O21+M21+K21+I21+G21</f>
        <v>1</v>
      </c>
      <c r="Y21" s="81">
        <v>0</v>
      </c>
      <c r="Z21" s="81"/>
      <c r="AA21" s="84">
        <v>0</v>
      </c>
      <c r="AB21" s="85"/>
      <c r="AC21" s="84">
        <v>0</v>
      </c>
      <c r="AD21" s="81"/>
      <c r="AE21" s="84">
        <v>0</v>
      </c>
      <c r="AF21" s="85"/>
      <c r="AG21" s="84">
        <v>0</v>
      </c>
      <c r="AH21" s="81"/>
      <c r="AI21" s="84">
        <v>0</v>
      </c>
      <c r="AJ21" s="85"/>
      <c r="AK21" s="84">
        <v>0</v>
      </c>
      <c r="AL21" s="85"/>
      <c r="AM21" s="84">
        <v>0</v>
      </c>
      <c r="AN21" s="85"/>
      <c r="AO21" s="84">
        <v>0</v>
      </c>
      <c r="AP21" s="85"/>
      <c r="AQ21" s="84">
        <v>0</v>
      </c>
      <c r="AR21" s="85"/>
      <c r="AS21" s="84">
        <v>0</v>
      </c>
      <c r="AT21" s="85"/>
      <c r="AU21" s="230">
        <v>3111.05</v>
      </c>
      <c r="AV21" s="195">
        <v>3111</v>
      </c>
      <c r="AW21" s="214">
        <f t="shared" si="11"/>
        <v>0</v>
      </c>
    </row>
    <row r="22" spans="1:49" x14ac:dyDescent="0.35">
      <c r="A22" s="159" t="s">
        <v>653</v>
      </c>
      <c r="B22" s="180"/>
      <c r="C22" s="83">
        <v>20301.5</v>
      </c>
      <c r="D22" s="107">
        <v>20302</v>
      </c>
      <c r="E22" s="304">
        <v>20302</v>
      </c>
      <c r="F22" s="287"/>
      <c r="G22" s="288">
        <f t="shared" ref="G22:G26" si="47">F22/E22</f>
        <v>0</v>
      </c>
      <c r="H22" s="289"/>
      <c r="I22" s="290">
        <f t="shared" ref="I22:I26" si="48">H22/E22</f>
        <v>0</v>
      </c>
      <c r="J22" s="287"/>
      <c r="K22" s="288">
        <f t="shared" ref="K22:K26" si="49">J22/E22</f>
        <v>0</v>
      </c>
      <c r="L22" s="289"/>
      <c r="M22" s="290">
        <f t="shared" ref="M22:M26" si="50">L22/E22</f>
        <v>0</v>
      </c>
      <c r="N22" s="287"/>
      <c r="O22" s="288">
        <f t="shared" ref="O22:O26" si="51">N22/E22</f>
        <v>0</v>
      </c>
      <c r="P22" s="289"/>
      <c r="Q22" s="290">
        <f t="shared" ref="Q22:Q26" si="52">P22/E22</f>
        <v>0</v>
      </c>
      <c r="R22" s="287"/>
      <c r="S22" s="313">
        <f t="shared" ref="S22:S26" si="53">R22/E22</f>
        <v>0</v>
      </c>
      <c r="T22" s="287"/>
      <c r="U22" s="313">
        <f t="shared" ref="U22:U26" si="54">T22/E22</f>
        <v>0</v>
      </c>
      <c r="V22" s="287"/>
      <c r="W22" s="313">
        <f t="shared" ref="W22:W25" si="55">V22/E22</f>
        <v>0</v>
      </c>
      <c r="X22" s="323">
        <f t="shared" ref="X22:X26" si="56">W22+U22+S22+Q22+O22+M22+K22+I22+G22</f>
        <v>0</v>
      </c>
      <c r="Y22" s="81">
        <v>0</v>
      </c>
      <c r="Z22" s="81"/>
      <c r="AA22" s="84">
        <v>0</v>
      </c>
      <c r="AB22" s="85"/>
      <c r="AC22" s="84">
        <v>0</v>
      </c>
      <c r="AD22" s="81"/>
      <c r="AE22" s="84">
        <v>0</v>
      </c>
      <c r="AF22" s="85"/>
      <c r="AG22" s="84">
        <v>0</v>
      </c>
      <c r="AH22" s="81"/>
      <c r="AI22" s="84">
        <v>0</v>
      </c>
      <c r="AJ22" s="85"/>
      <c r="AK22" s="84">
        <v>0</v>
      </c>
      <c r="AL22" s="85"/>
      <c r="AM22" s="84">
        <v>0</v>
      </c>
      <c r="AN22" s="85"/>
      <c r="AO22" s="84">
        <v>0</v>
      </c>
      <c r="AP22" s="85"/>
      <c r="AQ22" s="84">
        <v>0</v>
      </c>
      <c r="AR22" s="85"/>
      <c r="AS22" s="84">
        <v>0</v>
      </c>
      <c r="AT22" s="85"/>
      <c r="AU22" s="84"/>
      <c r="AV22" s="81"/>
      <c r="AW22" s="214">
        <f t="shared" ref="AW22:AW27" si="57">D22-Y22-AA22-AC22-AE22-AG22-AI22-AK22-AM22-AO22-AQ22-AS22-AU22</f>
        <v>20302</v>
      </c>
    </row>
    <row r="23" spans="1:49" x14ac:dyDescent="0.35">
      <c r="A23" s="353" t="s">
        <v>652</v>
      </c>
      <c r="B23" s="180"/>
      <c r="C23" s="83">
        <v>5311.94</v>
      </c>
      <c r="D23" s="107">
        <v>5312</v>
      </c>
      <c r="E23" s="304">
        <v>5312</v>
      </c>
      <c r="F23" s="287"/>
      <c r="G23" s="288">
        <f t="shared" si="47"/>
        <v>0</v>
      </c>
      <c r="H23" s="289"/>
      <c r="I23" s="290">
        <f t="shared" si="48"/>
        <v>0</v>
      </c>
      <c r="J23" s="287"/>
      <c r="K23" s="288">
        <f t="shared" si="49"/>
        <v>0</v>
      </c>
      <c r="L23" s="289"/>
      <c r="M23" s="290">
        <f t="shared" si="50"/>
        <v>0</v>
      </c>
      <c r="N23" s="287"/>
      <c r="O23" s="288">
        <f t="shared" si="51"/>
        <v>0</v>
      </c>
      <c r="P23" s="289"/>
      <c r="Q23" s="290">
        <f t="shared" si="52"/>
        <v>0</v>
      </c>
      <c r="R23" s="287"/>
      <c r="S23" s="313">
        <f t="shared" si="53"/>
        <v>0</v>
      </c>
      <c r="T23" s="287"/>
      <c r="U23" s="313">
        <f t="shared" si="54"/>
        <v>0</v>
      </c>
      <c r="V23" s="287"/>
      <c r="W23" s="313">
        <f t="shared" si="55"/>
        <v>0</v>
      </c>
      <c r="X23" s="323">
        <f t="shared" si="56"/>
        <v>0</v>
      </c>
      <c r="Y23" s="81">
        <v>0</v>
      </c>
      <c r="Z23" s="81"/>
      <c r="AA23" s="84">
        <v>0</v>
      </c>
      <c r="AB23" s="85"/>
      <c r="AC23" s="84">
        <v>0</v>
      </c>
      <c r="AD23" s="81"/>
      <c r="AE23" s="84">
        <v>0</v>
      </c>
      <c r="AF23" s="85"/>
      <c r="AG23" s="84">
        <v>0</v>
      </c>
      <c r="AH23" s="81"/>
      <c r="AI23" s="84">
        <v>0</v>
      </c>
      <c r="AJ23" s="85"/>
      <c r="AK23" s="84">
        <v>0</v>
      </c>
      <c r="AL23" s="85"/>
      <c r="AM23" s="84">
        <v>0</v>
      </c>
      <c r="AN23" s="85"/>
      <c r="AO23" s="84">
        <v>0</v>
      </c>
      <c r="AP23" s="85"/>
      <c r="AQ23" s="84">
        <v>0</v>
      </c>
      <c r="AR23" s="85"/>
      <c r="AS23" s="84">
        <v>0</v>
      </c>
      <c r="AT23" s="85"/>
      <c r="AU23" s="84">
        <v>0</v>
      </c>
      <c r="AV23" s="81"/>
      <c r="AW23" s="214">
        <f t="shared" si="57"/>
        <v>5312</v>
      </c>
    </row>
    <row r="24" spans="1:49" x14ac:dyDescent="0.35">
      <c r="A24" s="159" t="s">
        <v>651</v>
      </c>
      <c r="B24" s="180"/>
      <c r="C24" s="83">
        <v>15674</v>
      </c>
      <c r="D24" s="107">
        <v>15674</v>
      </c>
      <c r="E24" s="304">
        <v>15674</v>
      </c>
      <c r="F24" s="287">
        <v>0</v>
      </c>
      <c r="G24" s="288">
        <f t="shared" si="47"/>
        <v>0</v>
      </c>
      <c r="H24" s="289"/>
      <c r="I24" s="290">
        <f t="shared" si="48"/>
        <v>0</v>
      </c>
      <c r="J24" s="287"/>
      <c r="K24" s="288">
        <f t="shared" si="49"/>
        <v>0</v>
      </c>
      <c r="L24" s="289"/>
      <c r="M24" s="290">
        <f t="shared" si="50"/>
        <v>0</v>
      </c>
      <c r="N24" s="287"/>
      <c r="O24" s="288">
        <f t="shared" si="51"/>
        <v>0</v>
      </c>
      <c r="P24" s="289"/>
      <c r="Q24" s="290">
        <f t="shared" si="52"/>
        <v>0</v>
      </c>
      <c r="R24" s="287"/>
      <c r="S24" s="313">
        <f t="shared" si="53"/>
        <v>0</v>
      </c>
      <c r="T24" s="287">
        <v>0</v>
      </c>
      <c r="U24" s="313">
        <f t="shared" si="54"/>
        <v>0</v>
      </c>
      <c r="V24" s="287"/>
      <c r="W24" s="313">
        <f t="shared" si="55"/>
        <v>0</v>
      </c>
      <c r="X24" s="323">
        <f t="shared" si="56"/>
        <v>0</v>
      </c>
      <c r="Y24" s="81">
        <v>0</v>
      </c>
      <c r="Z24" s="81"/>
      <c r="AA24" s="84">
        <v>0</v>
      </c>
      <c r="AB24" s="85"/>
      <c r="AC24" s="84">
        <v>0</v>
      </c>
      <c r="AD24" s="81"/>
      <c r="AE24" s="84">
        <v>0</v>
      </c>
      <c r="AF24" s="85"/>
      <c r="AG24" s="84">
        <v>0</v>
      </c>
      <c r="AH24" s="81"/>
      <c r="AI24" s="84">
        <v>0</v>
      </c>
      <c r="AJ24" s="85"/>
      <c r="AK24" s="84">
        <v>0</v>
      </c>
      <c r="AL24" s="85"/>
      <c r="AM24" s="84">
        <v>0</v>
      </c>
      <c r="AN24" s="85"/>
      <c r="AO24" s="84">
        <v>0</v>
      </c>
      <c r="AP24" s="85"/>
      <c r="AQ24" s="84">
        <v>0</v>
      </c>
      <c r="AR24" s="85"/>
      <c r="AS24" s="84">
        <v>0</v>
      </c>
      <c r="AT24" s="85"/>
      <c r="AU24" s="84">
        <v>0</v>
      </c>
      <c r="AV24" s="81"/>
      <c r="AW24" s="214">
        <f t="shared" si="57"/>
        <v>15674</v>
      </c>
    </row>
    <row r="25" spans="1:49" x14ac:dyDescent="0.35">
      <c r="A25" s="151" t="s">
        <v>650</v>
      </c>
      <c r="B25" s="180"/>
      <c r="C25" s="83">
        <v>7249</v>
      </c>
      <c r="D25" s="107">
        <v>7249</v>
      </c>
      <c r="E25" s="304">
        <v>7249</v>
      </c>
      <c r="F25" s="287"/>
      <c r="G25" s="288">
        <f t="shared" si="47"/>
        <v>0</v>
      </c>
      <c r="H25" s="289"/>
      <c r="I25" s="290">
        <f t="shared" si="48"/>
        <v>0</v>
      </c>
      <c r="J25" s="287"/>
      <c r="K25" s="288">
        <f t="shared" si="49"/>
        <v>0</v>
      </c>
      <c r="L25" s="289"/>
      <c r="M25" s="290">
        <f t="shared" si="50"/>
        <v>0</v>
      </c>
      <c r="N25" s="287"/>
      <c r="O25" s="288">
        <f t="shared" si="51"/>
        <v>0</v>
      </c>
      <c r="P25" s="289"/>
      <c r="Q25" s="290">
        <f t="shared" si="52"/>
        <v>0</v>
      </c>
      <c r="R25" s="287">
        <v>0</v>
      </c>
      <c r="S25" s="313">
        <f t="shared" si="53"/>
        <v>0</v>
      </c>
      <c r="T25" s="287"/>
      <c r="U25" s="313">
        <f t="shared" si="54"/>
        <v>0</v>
      </c>
      <c r="V25" s="287"/>
      <c r="W25" s="313">
        <f t="shared" si="55"/>
        <v>0</v>
      </c>
      <c r="X25" s="323">
        <f t="shared" si="56"/>
        <v>0</v>
      </c>
      <c r="Y25" s="81">
        <v>0</v>
      </c>
      <c r="Z25" s="81"/>
      <c r="AA25" s="84">
        <v>0</v>
      </c>
      <c r="AB25" s="85"/>
      <c r="AC25" s="84">
        <v>0</v>
      </c>
      <c r="AD25" s="81"/>
      <c r="AE25" s="84">
        <v>0</v>
      </c>
      <c r="AF25" s="85"/>
      <c r="AG25" s="84">
        <v>0</v>
      </c>
      <c r="AH25" s="81"/>
      <c r="AI25" s="84">
        <v>0</v>
      </c>
      <c r="AJ25" s="85"/>
      <c r="AK25" s="84">
        <v>0</v>
      </c>
      <c r="AL25" s="85"/>
      <c r="AM25" s="84">
        <v>0</v>
      </c>
      <c r="AN25" s="85"/>
      <c r="AO25" s="84">
        <v>0</v>
      </c>
      <c r="AP25" s="85"/>
      <c r="AQ25" s="84">
        <v>0</v>
      </c>
      <c r="AR25" s="85"/>
      <c r="AS25" s="84">
        <v>0</v>
      </c>
      <c r="AT25" s="85"/>
      <c r="AU25" s="84">
        <v>0</v>
      </c>
      <c r="AV25" s="81"/>
      <c r="AW25" s="214">
        <f t="shared" si="57"/>
        <v>7249</v>
      </c>
    </row>
    <row r="26" spans="1:49" x14ac:dyDescent="0.35">
      <c r="A26" s="150" t="s">
        <v>649</v>
      </c>
      <c r="B26" s="180"/>
      <c r="C26" s="83">
        <f>10948+44134</f>
        <v>55082</v>
      </c>
      <c r="D26" s="107">
        <v>55082</v>
      </c>
      <c r="E26" s="304">
        <v>55082</v>
      </c>
      <c r="F26" s="287"/>
      <c r="G26" s="288">
        <f t="shared" si="47"/>
        <v>0</v>
      </c>
      <c r="H26" s="289"/>
      <c r="I26" s="290">
        <f t="shared" si="48"/>
        <v>0</v>
      </c>
      <c r="J26" s="287"/>
      <c r="K26" s="288">
        <f t="shared" si="49"/>
        <v>0</v>
      </c>
      <c r="L26" s="289">
        <v>0</v>
      </c>
      <c r="M26" s="290">
        <f t="shared" si="50"/>
        <v>0</v>
      </c>
      <c r="N26" s="287"/>
      <c r="O26" s="288">
        <f t="shared" si="51"/>
        <v>0</v>
      </c>
      <c r="P26" s="289">
        <v>10948</v>
      </c>
      <c r="Q26" s="290">
        <f t="shared" si="52"/>
        <v>0.19875821502487201</v>
      </c>
      <c r="R26" s="287"/>
      <c r="S26" s="313">
        <f t="shared" si="53"/>
        <v>0</v>
      </c>
      <c r="T26" s="287"/>
      <c r="U26" s="313">
        <f t="shared" si="54"/>
        <v>0</v>
      </c>
      <c r="V26" s="287"/>
      <c r="W26" s="313">
        <f>V26/E26</f>
        <v>0</v>
      </c>
      <c r="X26" s="323">
        <f t="shared" si="56"/>
        <v>0.19875821502487201</v>
      </c>
      <c r="Y26" s="81">
        <v>0</v>
      </c>
      <c r="Z26" s="81"/>
      <c r="AA26" s="84">
        <v>0</v>
      </c>
      <c r="AB26" s="85"/>
      <c r="AC26" s="84">
        <v>0</v>
      </c>
      <c r="AD26" s="81"/>
      <c r="AE26" s="84">
        <v>0</v>
      </c>
      <c r="AF26" s="85"/>
      <c r="AG26" s="84">
        <v>0</v>
      </c>
      <c r="AH26" s="81"/>
      <c r="AI26" s="84">
        <v>0</v>
      </c>
      <c r="AJ26" s="85"/>
      <c r="AK26" s="84">
        <v>0</v>
      </c>
      <c r="AL26" s="85"/>
      <c r="AM26" s="84">
        <v>0</v>
      </c>
      <c r="AN26" s="85"/>
      <c r="AO26" s="84">
        <v>0</v>
      </c>
      <c r="AP26" s="85"/>
      <c r="AQ26" s="230">
        <v>4897.3599999999997</v>
      </c>
      <c r="AR26" s="231">
        <v>4897.3599999999997</v>
      </c>
      <c r="AS26" s="84">
        <v>0</v>
      </c>
      <c r="AT26" s="85"/>
      <c r="AU26" s="84">
        <v>0</v>
      </c>
      <c r="AV26" s="81"/>
      <c r="AW26" s="214">
        <f t="shared" si="57"/>
        <v>50184.639999999999</v>
      </c>
    </row>
    <row r="27" spans="1:49" x14ac:dyDescent="0.35">
      <c r="A27" s="160" t="s">
        <v>648</v>
      </c>
      <c r="B27" s="180"/>
      <c r="C27" s="83">
        <v>5832</v>
      </c>
      <c r="D27" s="107">
        <v>5832</v>
      </c>
      <c r="E27" s="304">
        <v>5832</v>
      </c>
      <c r="F27" s="287"/>
      <c r="G27" s="288">
        <f t="shared" si="0"/>
        <v>0</v>
      </c>
      <c r="H27" s="289"/>
      <c r="I27" s="290">
        <f t="shared" si="1"/>
        <v>0</v>
      </c>
      <c r="J27" s="287"/>
      <c r="K27" s="288">
        <f t="shared" si="2"/>
        <v>0</v>
      </c>
      <c r="L27" s="289"/>
      <c r="M27" s="290">
        <f t="shared" si="3"/>
        <v>0</v>
      </c>
      <c r="N27" s="287"/>
      <c r="O27" s="288">
        <f t="shared" si="4"/>
        <v>0</v>
      </c>
      <c r="P27" s="289"/>
      <c r="Q27" s="290">
        <f t="shared" si="5"/>
        <v>0</v>
      </c>
      <c r="R27" s="287">
        <v>5832</v>
      </c>
      <c r="S27" s="313">
        <f t="shared" si="6"/>
        <v>1</v>
      </c>
      <c r="T27" s="287"/>
      <c r="U27" s="313">
        <f t="shared" si="7"/>
        <v>0</v>
      </c>
      <c r="V27" s="287"/>
      <c r="W27" s="313">
        <f t="shared" ref="W27:W95" si="58">V27/E27</f>
        <v>0</v>
      </c>
      <c r="X27" s="323">
        <f t="shared" si="46"/>
        <v>1</v>
      </c>
      <c r="Y27" s="81">
        <v>0</v>
      </c>
      <c r="Z27" s="81"/>
      <c r="AA27" s="84">
        <v>0</v>
      </c>
      <c r="AB27" s="85"/>
      <c r="AC27" s="84">
        <v>0</v>
      </c>
      <c r="AD27" s="81"/>
      <c r="AE27" s="84">
        <v>0</v>
      </c>
      <c r="AF27" s="85"/>
      <c r="AG27" s="84">
        <v>0</v>
      </c>
      <c r="AH27" s="81"/>
      <c r="AI27" s="84">
        <v>0</v>
      </c>
      <c r="AJ27" s="85"/>
      <c r="AK27" s="84">
        <v>0</v>
      </c>
      <c r="AL27" s="85"/>
      <c r="AM27" s="84">
        <v>0</v>
      </c>
      <c r="AN27" s="85"/>
      <c r="AO27" s="84">
        <v>0</v>
      </c>
      <c r="AP27" s="85"/>
      <c r="AQ27" s="230">
        <v>5831.78</v>
      </c>
      <c r="AR27" s="231">
        <v>5831.78</v>
      </c>
      <c r="AS27" s="84">
        <f t="shared" si="9"/>
        <v>0.22000000000025466</v>
      </c>
      <c r="AT27" s="85"/>
      <c r="AU27" s="84">
        <f t="shared" si="10"/>
        <v>0</v>
      </c>
      <c r="AV27" s="81"/>
      <c r="AW27" s="214">
        <f t="shared" si="57"/>
        <v>0</v>
      </c>
    </row>
    <row r="28" spans="1:49" x14ac:dyDescent="0.35">
      <c r="A28" s="150" t="s">
        <v>647</v>
      </c>
      <c r="B28" s="180"/>
      <c r="C28" s="83">
        <v>16680.13</v>
      </c>
      <c r="D28" s="107">
        <f>C28</f>
        <v>16680.13</v>
      </c>
      <c r="E28" s="304">
        <f>D28</f>
        <v>16680.13</v>
      </c>
      <c r="F28" s="287"/>
      <c r="G28" s="288">
        <f t="shared" ref="G28:G29" si="59">F28/E28</f>
        <v>0</v>
      </c>
      <c r="H28" s="289"/>
      <c r="I28" s="290">
        <f t="shared" ref="I28:I29" si="60">H28/E28</f>
        <v>0</v>
      </c>
      <c r="J28" s="287">
        <v>24354</v>
      </c>
      <c r="K28" s="288">
        <f t="shared" ref="K28:K29" si="61">J28/E28</f>
        <v>1.4600605630771462</v>
      </c>
      <c r="L28" s="289"/>
      <c r="M28" s="290">
        <f t="shared" ref="M28:M29" si="62">L28/E28</f>
        <v>0</v>
      </c>
      <c r="N28" s="287"/>
      <c r="O28" s="288">
        <f t="shared" ref="O28:O29" si="63">N28/E28</f>
        <v>0</v>
      </c>
      <c r="P28" s="289"/>
      <c r="Q28" s="290">
        <f t="shared" ref="Q28:Q29" si="64">P28/E28</f>
        <v>0</v>
      </c>
      <c r="R28" s="287"/>
      <c r="S28" s="313">
        <f t="shared" ref="S28:S29" si="65">R28/E28</f>
        <v>0</v>
      </c>
      <c r="T28" s="287"/>
      <c r="U28" s="313">
        <f t="shared" ref="U28:U29" si="66">T28/E28</f>
        <v>0</v>
      </c>
      <c r="V28" s="287"/>
      <c r="W28" s="313">
        <f t="shared" si="58"/>
        <v>0</v>
      </c>
      <c r="X28" s="323">
        <f t="shared" si="46"/>
        <v>1.4600605630771462</v>
      </c>
      <c r="Y28" s="81">
        <v>0</v>
      </c>
      <c r="Z28" s="81"/>
      <c r="AA28" s="84">
        <v>0</v>
      </c>
      <c r="AB28" s="85"/>
      <c r="AC28" s="84">
        <v>0</v>
      </c>
      <c r="AD28" s="81"/>
      <c r="AE28" s="84">
        <v>0</v>
      </c>
      <c r="AF28" s="85"/>
      <c r="AG28" s="84">
        <v>0</v>
      </c>
      <c r="AH28" s="81"/>
      <c r="AI28" s="84">
        <v>0</v>
      </c>
      <c r="AJ28" s="85"/>
      <c r="AK28" s="84">
        <v>0</v>
      </c>
      <c r="AL28" s="85"/>
      <c r="AM28" s="84">
        <v>0</v>
      </c>
      <c r="AN28" s="85"/>
      <c r="AO28" s="84">
        <v>0</v>
      </c>
      <c r="AP28" s="85"/>
      <c r="AQ28" s="84">
        <v>0</v>
      </c>
      <c r="AR28" s="85"/>
      <c r="AS28" s="230">
        <v>11870</v>
      </c>
      <c r="AT28" s="231">
        <v>11869.69</v>
      </c>
      <c r="AU28" s="84">
        <v>0</v>
      </c>
      <c r="AV28" s="81"/>
      <c r="AW28" s="214">
        <f t="shared" si="11"/>
        <v>4810.130000000001</v>
      </c>
    </row>
    <row r="29" spans="1:49" x14ac:dyDescent="0.35">
      <c r="A29" s="150" t="s">
        <v>646</v>
      </c>
      <c r="B29" s="180"/>
      <c r="C29" s="83">
        <v>42678</v>
      </c>
      <c r="D29" s="142">
        <v>42678</v>
      </c>
      <c r="E29" s="304"/>
      <c r="F29" s="287"/>
      <c r="G29" s="288" t="e">
        <f t="shared" si="59"/>
        <v>#DIV/0!</v>
      </c>
      <c r="H29" s="289"/>
      <c r="I29" s="290" t="e">
        <f t="shared" si="60"/>
        <v>#DIV/0!</v>
      </c>
      <c r="J29" s="287"/>
      <c r="K29" s="288" t="e">
        <f t="shared" si="61"/>
        <v>#DIV/0!</v>
      </c>
      <c r="L29" s="289"/>
      <c r="M29" s="290" t="e">
        <f t="shared" si="62"/>
        <v>#DIV/0!</v>
      </c>
      <c r="N29" s="287"/>
      <c r="O29" s="288" t="e">
        <f t="shared" si="63"/>
        <v>#DIV/0!</v>
      </c>
      <c r="P29" s="289"/>
      <c r="Q29" s="290" t="e">
        <f t="shared" si="64"/>
        <v>#DIV/0!</v>
      </c>
      <c r="R29" s="287"/>
      <c r="S29" s="313" t="e">
        <f t="shared" si="65"/>
        <v>#DIV/0!</v>
      </c>
      <c r="T29" s="287"/>
      <c r="U29" s="313" t="e">
        <f t="shared" si="66"/>
        <v>#DIV/0!</v>
      </c>
      <c r="V29" s="287"/>
      <c r="W29" s="313" t="e">
        <f t="shared" si="58"/>
        <v>#DIV/0!</v>
      </c>
      <c r="X29" s="323" t="e">
        <f t="shared" si="46"/>
        <v>#DIV/0!</v>
      </c>
      <c r="Y29" s="81">
        <v>0</v>
      </c>
      <c r="Z29" s="81"/>
      <c r="AA29" s="84">
        <v>0</v>
      </c>
      <c r="AB29" s="85"/>
      <c r="AC29" s="84">
        <v>0</v>
      </c>
      <c r="AD29" s="81"/>
      <c r="AE29" s="84">
        <v>0</v>
      </c>
      <c r="AF29" s="85"/>
      <c r="AG29" s="84">
        <v>0</v>
      </c>
      <c r="AH29" s="81"/>
      <c r="AI29" s="84">
        <v>0</v>
      </c>
      <c r="AJ29" s="85"/>
      <c r="AK29" s="84">
        <v>0</v>
      </c>
      <c r="AL29" s="85"/>
      <c r="AM29" s="84">
        <v>0</v>
      </c>
      <c r="AN29" s="85"/>
      <c r="AO29" s="84">
        <v>0</v>
      </c>
      <c r="AP29" s="85"/>
      <c r="AQ29" s="84">
        <v>0</v>
      </c>
      <c r="AR29" s="85"/>
      <c r="AS29" s="84">
        <v>0</v>
      </c>
      <c r="AT29" s="85"/>
      <c r="AU29" s="84">
        <v>0</v>
      </c>
      <c r="AV29" s="81"/>
      <c r="AW29" s="214">
        <f t="shared" si="11"/>
        <v>42678</v>
      </c>
    </row>
    <row r="30" spans="1:49" x14ac:dyDescent="0.35">
      <c r="A30" s="150" t="s">
        <v>645</v>
      </c>
      <c r="B30" s="180"/>
      <c r="C30" s="83">
        <v>37950</v>
      </c>
      <c r="D30" s="107">
        <f>4494.21+8009.66+25069.84</f>
        <v>37573.71</v>
      </c>
      <c r="E30" s="304">
        <f>D30</f>
        <v>37573.71</v>
      </c>
      <c r="F30" s="287"/>
      <c r="G30" s="288">
        <f t="shared" ref="G30:G36" si="67">F30/E30</f>
        <v>0</v>
      </c>
      <c r="H30" s="289"/>
      <c r="I30" s="290">
        <f t="shared" ref="I30:I36" si="68">H30/E30</f>
        <v>0</v>
      </c>
      <c r="J30" s="287">
        <v>4494</v>
      </c>
      <c r="K30" s="288">
        <f t="shared" ref="K30:K36" si="69">J30/E30</f>
        <v>0.11960490459951918</v>
      </c>
      <c r="L30" s="289"/>
      <c r="M30" s="290">
        <f t="shared" ref="M30:M36" si="70">L30/E30</f>
        <v>0</v>
      </c>
      <c r="N30" s="287">
        <v>25070</v>
      </c>
      <c r="O30" s="288">
        <f t="shared" ref="O30:O36" si="71">N30/E30</f>
        <v>0.66722184208053981</v>
      </c>
      <c r="P30" s="289">
        <f>8386+7585+11054+3863-25070</f>
        <v>5818</v>
      </c>
      <c r="Q30" s="290">
        <f t="shared" ref="Q30:Q36" si="72">P30/E30</f>
        <v>0.1548423086248337</v>
      </c>
      <c r="R30" s="287"/>
      <c r="S30" s="313">
        <f t="shared" ref="S30:S36" si="73">R30/E30</f>
        <v>0</v>
      </c>
      <c r="T30" s="287">
        <v>2568</v>
      </c>
      <c r="U30" s="313">
        <f t="shared" ref="U30:U36" si="74">T30/E30</f>
        <v>6.8345659771153824E-2</v>
      </c>
      <c r="V30" s="287"/>
      <c r="W30" s="313">
        <f t="shared" si="58"/>
        <v>0</v>
      </c>
      <c r="X30" s="323">
        <f t="shared" si="46"/>
        <v>1.0100147150760466</v>
      </c>
      <c r="Y30" s="81">
        <v>0</v>
      </c>
      <c r="Z30" s="81"/>
      <c r="AA30" s="84">
        <v>0</v>
      </c>
      <c r="AB30" s="85"/>
      <c r="AC30" s="84">
        <v>0</v>
      </c>
      <c r="AD30" s="81"/>
      <c r="AE30" s="84">
        <v>0</v>
      </c>
      <c r="AF30" s="85"/>
      <c r="AG30" s="84">
        <v>0</v>
      </c>
      <c r="AH30" s="81"/>
      <c r="AI30" s="84">
        <v>0</v>
      </c>
      <c r="AJ30" s="85"/>
      <c r="AK30" s="84">
        <v>0</v>
      </c>
      <c r="AL30" s="85"/>
      <c r="AM30" s="84">
        <v>0</v>
      </c>
      <c r="AN30" s="85"/>
      <c r="AO30" s="84">
        <v>0</v>
      </c>
      <c r="AP30" s="85"/>
      <c r="AQ30" s="84">
        <v>0</v>
      </c>
      <c r="AR30" s="85"/>
      <c r="AS30" s="84">
        <v>0</v>
      </c>
      <c r="AT30" s="85"/>
      <c r="AU30" s="230">
        <v>13397</v>
      </c>
      <c r="AV30" s="195">
        <v>13397.49</v>
      </c>
      <c r="AW30" s="214">
        <f t="shared" si="11"/>
        <v>24176.71</v>
      </c>
    </row>
    <row r="31" spans="1:49" x14ac:dyDescent="0.35">
      <c r="A31" s="187" t="s">
        <v>644</v>
      </c>
      <c r="B31" s="180"/>
      <c r="C31" s="83">
        <v>909.09</v>
      </c>
      <c r="D31" s="107">
        <v>909</v>
      </c>
      <c r="E31" s="304">
        <v>909</v>
      </c>
      <c r="F31" s="287"/>
      <c r="G31" s="288">
        <f t="shared" si="67"/>
        <v>0</v>
      </c>
      <c r="H31" s="289">
        <v>909</v>
      </c>
      <c r="I31" s="290">
        <f t="shared" si="68"/>
        <v>1</v>
      </c>
      <c r="J31" s="287"/>
      <c r="K31" s="288">
        <f t="shared" si="69"/>
        <v>0</v>
      </c>
      <c r="L31" s="289"/>
      <c r="M31" s="290">
        <f t="shared" si="70"/>
        <v>0</v>
      </c>
      <c r="N31" s="287"/>
      <c r="O31" s="288">
        <f t="shared" si="71"/>
        <v>0</v>
      </c>
      <c r="P31" s="289"/>
      <c r="Q31" s="290">
        <f t="shared" si="72"/>
        <v>0</v>
      </c>
      <c r="R31" s="287"/>
      <c r="S31" s="313">
        <f t="shared" si="73"/>
        <v>0</v>
      </c>
      <c r="T31" s="287"/>
      <c r="U31" s="313">
        <f t="shared" si="74"/>
        <v>0</v>
      </c>
      <c r="V31" s="287"/>
      <c r="W31" s="313">
        <f>V31/E31</f>
        <v>0</v>
      </c>
      <c r="X31" s="323">
        <f t="shared" ref="X31:X35" si="75">W31+U31+S31+Q31+O31+M31+K31+I31+G31</f>
        <v>1</v>
      </c>
      <c r="Y31" s="81">
        <v>0</v>
      </c>
      <c r="Z31" s="81"/>
      <c r="AA31" s="84">
        <v>0</v>
      </c>
      <c r="AB31" s="85"/>
      <c r="AC31" s="84">
        <v>0</v>
      </c>
      <c r="AD31" s="81"/>
      <c r="AE31" s="84">
        <v>0</v>
      </c>
      <c r="AF31" s="85"/>
      <c r="AG31" s="84">
        <v>0</v>
      </c>
      <c r="AH31" s="81"/>
      <c r="AI31" s="84">
        <v>0</v>
      </c>
      <c r="AJ31" s="85"/>
      <c r="AK31" s="84">
        <v>0</v>
      </c>
      <c r="AL31" s="85"/>
      <c r="AM31" s="84">
        <v>0</v>
      </c>
      <c r="AN31" s="85"/>
      <c r="AO31" s="343">
        <f t="shared" ref="AO31" si="76">D31-Y31-AA31-AC31-AE31-AG31-AI31-AK31-AM31</f>
        <v>909</v>
      </c>
      <c r="AP31" s="351">
        <v>909.09</v>
      </c>
      <c r="AQ31" s="84">
        <f t="shared" si="8"/>
        <v>0</v>
      </c>
      <c r="AR31" s="85"/>
      <c r="AS31" s="84">
        <f t="shared" si="9"/>
        <v>0</v>
      </c>
      <c r="AT31" s="85"/>
      <c r="AU31" s="84">
        <f t="shared" si="10"/>
        <v>0</v>
      </c>
      <c r="AV31" s="81"/>
      <c r="AW31" s="214">
        <f t="shared" si="11"/>
        <v>0</v>
      </c>
    </row>
    <row r="32" spans="1:49" x14ac:dyDescent="0.35">
      <c r="A32" s="159" t="s">
        <v>643</v>
      </c>
      <c r="B32" s="180"/>
      <c r="C32" s="83">
        <v>67172.28</v>
      </c>
      <c r="D32" s="107">
        <v>67172.28</v>
      </c>
      <c r="E32" s="304">
        <v>69467</v>
      </c>
      <c r="F32" s="287">
        <v>9467</v>
      </c>
      <c r="G32" s="288">
        <f t="shared" si="67"/>
        <v>0.13628053608188059</v>
      </c>
      <c r="H32" s="289">
        <v>5575</v>
      </c>
      <c r="I32" s="290">
        <f t="shared" si="68"/>
        <v>8.0253933522391921E-2</v>
      </c>
      <c r="J32" s="287">
        <v>9903</v>
      </c>
      <c r="K32" s="288">
        <f t="shared" si="69"/>
        <v>0.14255689751968562</v>
      </c>
      <c r="L32" s="289">
        <v>4915</v>
      </c>
      <c r="M32" s="290">
        <f t="shared" si="70"/>
        <v>7.0753019419292615E-2</v>
      </c>
      <c r="N32" s="287">
        <v>5807</v>
      </c>
      <c r="O32" s="288">
        <f t="shared" si="71"/>
        <v>8.3593648782875327E-2</v>
      </c>
      <c r="P32" s="289">
        <f>13064+1334</f>
        <v>14398</v>
      </c>
      <c r="Q32" s="290">
        <f t="shared" si="72"/>
        <v>0.20726388069155138</v>
      </c>
      <c r="R32" s="287"/>
      <c r="S32" s="313">
        <f t="shared" si="73"/>
        <v>0</v>
      </c>
      <c r="T32" s="287">
        <v>6998</v>
      </c>
      <c r="U32" s="313">
        <f t="shared" si="74"/>
        <v>0.10073848014164999</v>
      </c>
      <c r="V32" s="287">
        <v>12403</v>
      </c>
      <c r="W32" s="313">
        <f t="shared" ref="W32:W35" si="77">V32/E32</f>
        <v>0.17854520851627392</v>
      </c>
      <c r="X32" s="323">
        <f t="shared" si="75"/>
        <v>0.99998560467560138</v>
      </c>
      <c r="Y32" s="81">
        <v>0</v>
      </c>
      <c r="Z32" s="81"/>
      <c r="AA32" s="84">
        <v>0</v>
      </c>
      <c r="AB32" s="85"/>
      <c r="AC32" s="84">
        <v>0</v>
      </c>
      <c r="AD32" s="81"/>
      <c r="AE32" s="84">
        <v>0</v>
      </c>
      <c r="AF32" s="85"/>
      <c r="AG32" s="84">
        <v>0</v>
      </c>
      <c r="AH32" s="81"/>
      <c r="AI32" s="84">
        <v>0</v>
      </c>
      <c r="AJ32" s="85"/>
      <c r="AK32" s="84">
        <v>0</v>
      </c>
      <c r="AL32" s="85"/>
      <c r="AM32" s="84">
        <v>0</v>
      </c>
      <c r="AN32" s="85"/>
      <c r="AO32" s="84">
        <v>0</v>
      </c>
      <c r="AP32" s="85"/>
      <c r="AQ32" s="84">
        <v>0</v>
      </c>
      <c r="AR32" s="85"/>
      <c r="AS32" s="84">
        <v>0</v>
      </c>
      <c r="AT32" s="85"/>
      <c r="AU32" s="230">
        <v>27064</v>
      </c>
      <c r="AV32" s="195">
        <v>27063.87</v>
      </c>
      <c r="AW32" s="214">
        <f t="shared" si="11"/>
        <v>40108.28</v>
      </c>
    </row>
    <row r="33" spans="1:49" x14ac:dyDescent="0.35">
      <c r="A33" s="151" t="s">
        <v>642</v>
      </c>
      <c r="B33" s="180"/>
      <c r="C33" s="83">
        <v>9758.56</v>
      </c>
      <c r="D33" s="107">
        <v>9759</v>
      </c>
      <c r="E33" s="304">
        <v>9759</v>
      </c>
      <c r="F33" s="287"/>
      <c r="G33" s="288">
        <f t="shared" si="67"/>
        <v>0</v>
      </c>
      <c r="H33" s="289"/>
      <c r="I33" s="290">
        <f t="shared" si="68"/>
        <v>0</v>
      </c>
      <c r="J33" s="287"/>
      <c r="K33" s="288">
        <f t="shared" si="69"/>
        <v>0</v>
      </c>
      <c r="L33" s="289"/>
      <c r="M33" s="290">
        <f t="shared" si="70"/>
        <v>0</v>
      </c>
      <c r="N33" s="287"/>
      <c r="O33" s="288">
        <f t="shared" si="71"/>
        <v>0</v>
      </c>
      <c r="P33" s="289"/>
      <c r="Q33" s="290">
        <f t="shared" si="72"/>
        <v>0</v>
      </c>
      <c r="R33" s="287">
        <v>9759</v>
      </c>
      <c r="S33" s="313">
        <f t="shared" si="73"/>
        <v>1</v>
      </c>
      <c r="T33" s="287"/>
      <c r="U33" s="313">
        <f t="shared" si="74"/>
        <v>0</v>
      </c>
      <c r="V33" s="287"/>
      <c r="W33" s="313">
        <f t="shared" si="77"/>
        <v>0</v>
      </c>
      <c r="X33" s="323">
        <f t="shared" si="75"/>
        <v>1</v>
      </c>
      <c r="Y33" s="81">
        <v>0</v>
      </c>
      <c r="Z33" s="81"/>
      <c r="AA33" s="84">
        <v>0</v>
      </c>
      <c r="AB33" s="85"/>
      <c r="AC33" s="84">
        <v>0</v>
      </c>
      <c r="AD33" s="81"/>
      <c r="AE33" s="84">
        <v>0</v>
      </c>
      <c r="AF33" s="85"/>
      <c r="AG33" s="84">
        <v>0</v>
      </c>
      <c r="AH33" s="81"/>
      <c r="AI33" s="84">
        <v>0</v>
      </c>
      <c r="AJ33" s="85"/>
      <c r="AK33" s="84">
        <v>0</v>
      </c>
      <c r="AL33" s="85"/>
      <c r="AM33" s="230">
        <v>1683</v>
      </c>
      <c r="AN33" s="231">
        <v>1683.07</v>
      </c>
      <c r="AO33" s="230">
        <v>5489</v>
      </c>
      <c r="AP33" s="231">
        <v>5489.02</v>
      </c>
      <c r="AQ33" s="84">
        <v>0</v>
      </c>
      <c r="AR33" s="85"/>
      <c r="AS33" s="84">
        <v>0</v>
      </c>
      <c r="AT33" s="85"/>
      <c r="AU33" s="84">
        <v>0</v>
      </c>
      <c r="AV33" s="81"/>
      <c r="AW33" s="214">
        <f t="shared" si="11"/>
        <v>2587</v>
      </c>
    </row>
    <row r="34" spans="1:49" x14ac:dyDescent="0.35">
      <c r="A34" s="149" t="s">
        <v>640</v>
      </c>
      <c r="B34" s="180"/>
      <c r="C34" s="83">
        <v>111277.97</v>
      </c>
      <c r="D34" s="142">
        <v>111278</v>
      </c>
      <c r="E34" s="304"/>
      <c r="F34" s="287"/>
      <c r="G34" s="288" t="e">
        <f t="shared" si="67"/>
        <v>#DIV/0!</v>
      </c>
      <c r="H34" s="289"/>
      <c r="I34" s="290" t="e">
        <f t="shared" si="68"/>
        <v>#DIV/0!</v>
      </c>
      <c r="J34" s="287"/>
      <c r="K34" s="288" t="e">
        <f t="shared" si="69"/>
        <v>#DIV/0!</v>
      </c>
      <c r="L34" s="289"/>
      <c r="M34" s="290" t="e">
        <f t="shared" si="70"/>
        <v>#DIV/0!</v>
      </c>
      <c r="N34" s="287"/>
      <c r="O34" s="288" t="e">
        <f t="shared" si="71"/>
        <v>#DIV/0!</v>
      </c>
      <c r="P34" s="289"/>
      <c r="Q34" s="290" t="e">
        <f t="shared" si="72"/>
        <v>#DIV/0!</v>
      </c>
      <c r="R34" s="287"/>
      <c r="S34" s="313" t="e">
        <f t="shared" si="73"/>
        <v>#DIV/0!</v>
      </c>
      <c r="T34" s="287"/>
      <c r="U34" s="313" t="e">
        <f t="shared" si="74"/>
        <v>#DIV/0!</v>
      </c>
      <c r="V34" s="287"/>
      <c r="W34" s="313" t="e">
        <f t="shared" si="77"/>
        <v>#DIV/0!</v>
      </c>
      <c r="X34" s="323" t="e">
        <f t="shared" si="75"/>
        <v>#DIV/0!</v>
      </c>
      <c r="Y34" s="81">
        <v>0</v>
      </c>
      <c r="Z34" s="81"/>
      <c r="AA34" s="84">
        <v>0</v>
      </c>
      <c r="AB34" s="85"/>
      <c r="AC34" s="84">
        <v>0</v>
      </c>
      <c r="AD34" s="81"/>
      <c r="AE34" s="84">
        <v>0</v>
      </c>
      <c r="AF34" s="85"/>
      <c r="AG34" s="84">
        <v>0</v>
      </c>
      <c r="AH34" s="81"/>
      <c r="AI34" s="84">
        <v>0</v>
      </c>
      <c r="AJ34" s="85"/>
      <c r="AK34" s="84">
        <v>0</v>
      </c>
      <c r="AL34" s="85"/>
      <c r="AM34" s="84">
        <v>0</v>
      </c>
      <c r="AN34" s="85"/>
      <c r="AO34" s="84">
        <v>0</v>
      </c>
      <c r="AP34" s="85"/>
      <c r="AQ34" s="84">
        <v>0</v>
      </c>
      <c r="AR34" s="85"/>
      <c r="AS34" s="84">
        <v>0</v>
      </c>
      <c r="AT34" s="85"/>
      <c r="AU34" s="84">
        <v>0</v>
      </c>
      <c r="AV34" s="81"/>
      <c r="AW34" s="214">
        <f t="shared" si="11"/>
        <v>111278</v>
      </c>
    </row>
    <row r="35" spans="1:49" x14ac:dyDescent="0.35">
      <c r="A35" s="159" t="s">
        <v>639</v>
      </c>
      <c r="B35" s="180"/>
      <c r="C35" s="83">
        <v>52511</v>
      </c>
      <c r="D35" s="107">
        <v>52511</v>
      </c>
      <c r="E35" s="304">
        <v>52511</v>
      </c>
      <c r="F35" s="287">
        <f>7033+634</f>
        <v>7667</v>
      </c>
      <c r="G35" s="288">
        <f t="shared" ref="G35" si="78">F35/E35</f>
        <v>0.14600750318980785</v>
      </c>
      <c r="H35" s="289">
        <v>4643</v>
      </c>
      <c r="I35" s="290">
        <f t="shared" ref="I35" si="79">H35/E35</f>
        <v>8.841956923311306E-2</v>
      </c>
      <c r="J35" s="287">
        <v>9085</v>
      </c>
      <c r="K35" s="288">
        <f t="shared" ref="K35" si="80">J35/E35</f>
        <v>0.17301136904648551</v>
      </c>
      <c r="L35" s="289">
        <f>1632+10335</f>
        <v>11967</v>
      </c>
      <c r="M35" s="290">
        <f t="shared" ref="M35" si="81">L35/E35</f>
        <v>0.22789510769172172</v>
      </c>
      <c r="N35" s="287">
        <v>3324</v>
      </c>
      <c r="O35" s="288">
        <f t="shared" ref="O35" si="82">N35/E35</f>
        <v>6.3301022642874821E-2</v>
      </c>
      <c r="P35" s="289">
        <f>5329+245</f>
        <v>5574</v>
      </c>
      <c r="Q35" s="290">
        <f t="shared" ref="Q35" si="83">P35/E35</f>
        <v>0.10614918778922511</v>
      </c>
      <c r="R35" s="287"/>
      <c r="S35" s="313">
        <f t="shared" ref="S35" si="84">R35/E35</f>
        <v>0</v>
      </c>
      <c r="T35" s="287">
        <v>3128</v>
      </c>
      <c r="U35" s="313">
        <f t="shared" ref="U35" si="85">T35/E35</f>
        <v>5.9568471367903865E-2</v>
      </c>
      <c r="V35" s="287">
        <v>7122</v>
      </c>
      <c r="W35" s="313">
        <f t="shared" si="77"/>
        <v>0.13562872540991411</v>
      </c>
      <c r="X35" s="323">
        <f t="shared" si="75"/>
        <v>0.999980956371046</v>
      </c>
      <c r="Y35" s="81">
        <v>0</v>
      </c>
      <c r="Z35" s="81"/>
      <c r="AA35" s="84">
        <v>0</v>
      </c>
      <c r="AB35" s="85"/>
      <c r="AC35" s="84">
        <v>0</v>
      </c>
      <c r="AD35" s="81"/>
      <c r="AE35" s="84">
        <v>0</v>
      </c>
      <c r="AF35" s="85"/>
      <c r="AG35" s="84">
        <v>0</v>
      </c>
      <c r="AH35" s="81"/>
      <c r="AI35" s="84">
        <v>0</v>
      </c>
      <c r="AJ35" s="85"/>
      <c r="AK35" s="84">
        <v>0</v>
      </c>
      <c r="AL35" s="85"/>
      <c r="AM35" s="84">
        <v>0</v>
      </c>
      <c r="AN35" s="85"/>
      <c r="AO35" s="84">
        <v>0</v>
      </c>
      <c r="AP35" s="85"/>
      <c r="AQ35" s="84">
        <v>0</v>
      </c>
      <c r="AR35" s="85"/>
      <c r="AS35" s="84">
        <v>0</v>
      </c>
      <c r="AT35" s="85"/>
      <c r="AU35" s="84">
        <v>0</v>
      </c>
      <c r="AV35" s="81"/>
      <c r="AW35" s="214">
        <f t="shared" si="11"/>
        <v>52511</v>
      </c>
    </row>
    <row r="36" spans="1:49" x14ac:dyDescent="0.35">
      <c r="A36" s="159" t="s">
        <v>638</v>
      </c>
      <c r="B36" s="180"/>
      <c r="C36" s="83">
        <v>54245.46</v>
      </c>
      <c r="D36" s="142">
        <v>51622</v>
      </c>
      <c r="E36" s="304"/>
      <c r="F36" s="287"/>
      <c r="G36" s="288" t="e">
        <f t="shared" si="67"/>
        <v>#DIV/0!</v>
      </c>
      <c r="H36" s="289"/>
      <c r="I36" s="290" t="e">
        <f t="shared" si="68"/>
        <v>#DIV/0!</v>
      </c>
      <c r="J36" s="287"/>
      <c r="K36" s="288" t="e">
        <f t="shared" si="69"/>
        <v>#DIV/0!</v>
      </c>
      <c r="L36" s="289"/>
      <c r="M36" s="290" t="e">
        <f t="shared" si="70"/>
        <v>#DIV/0!</v>
      </c>
      <c r="N36" s="287"/>
      <c r="O36" s="288" t="e">
        <f t="shared" si="71"/>
        <v>#DIV/0!</v>
      </c>
      <c r="P36" s="289"/>
      <c r="Q36" s="290" t="e">
        <f t="shared" si="72"/>
        <v>#DIV/0!</v>
      </c>
      <c r="R36" s="287"/>
      <c r="S36" s="313" t="e">
        <f t="shared" si="73"/>
        <v>#DIV/0!</v>
      </c>
      <c r="T36" s="287"/>
      <c r="U36" s="313" t="e">
        <f t="shared" si="74"/>
        <v>#DIV/0!</v>
      </c>
      <c r="V36" s="287"/>
      <c r="W36" s="313" t="e">
        <f t="shared" si="58"/>
        <v>#DIV/0!</v>
      </c>
      <c r="X36" s="323" t="e">
        <f t="shared" si="46"/>
        <v>#DIV/0!</v>
      </c>
      <c r="Y36" s="81">
        <v>0</v>
      </c>
      <c r="Z36" s="81"/>
      <c r="AA36" s="84">
        <v>0</v>
      </c>
      <c r="AB36" s="85"/>
      <c r="AC36" s="84">
        <v>0</v>
      </c>
      <c r="AD36" s="81"/>
      <c r="AE36" s="84">
        <v>0</v>
      </c>
      <c r="AF36" s="85"/>
      <c r="AG36" s="84">
        <v>0</v>
      </c>
      <c r="AH36" s="81"/>
      <c r="AI36" s="84">
        <v>0</v>
      </c>
      <c r="AJ36" s="85"/>
      <c r="AK36" s="84">
        <v>0</v>
      </c>
      <c r="AL36" s="85"/>
      <c r="AM36" s="84">
        <v>0</v>
      </c>
      <c r="AN36" s="85"/>
      <c r="AO36" s="84">
        <v>0</v>
      </c>
      <c r="AP36" s="85"/>
      <c r="AQ36" s="84">
        <v>0</v>
      </c>
      <c r="AR36" s="85"/>
      <c r="AS36" s="84">
        <v>0</v>
      </c>
      <c r="AT36" s="85"/>
      <c r="AU36" s="84">
        <v>0</v>
      </c>
      <c r="AV36" s="81"/>
      <c r="AW36" s="214">
        <f t="shared" si="11"/>
        <v>51622</v>
      </c>
    </row>
    <row r="37" spans="1:49" x14ac:dyDescent="0.35">
      <c r="A37" s="149" t="s">
        <v>637</v>
      </c>
      <c r="B37" s="180"/>
      <c r="C37" s="83">
        <v>106000</v>
      </c>
      <c r="D37" s="142">
        <v>106000</v>
      </c>
      <c r="E37" s="304"/>
      <c r="F37" s="287"/>
      <c r="G37" s="288" t="e">
        <f t="shared" si="0"/>
        <v>#DIV/0!</v>
      </c>
      <c r="H37" s="289"/>
      <c r="I37" s="290" t="e">
        <f t="shared" si="1"/>
        <v>#DIV/0!</v>
      </c>
      <c r="J37" s="287"/>
      <c r="K37" s="288" t="e">
        <f t="shared" si="2"/>
        <v>#DIV/0!</v>
      </c>
      <c r="L37" s="289"/>
      <c r="M37" s="290" t="e">
        <f t="shared" si="3"/>
        <v>#DIV/0!</v>
      </c>
      <c r="N37" s="287"/>
      <c r="O37" s="288" t="e">
        <f t="shared" si="4"/>
        <v>#DIV/0!</v>
      </c>
      <c r="P37" s="289"/>
      <c r="Q37" s="290" t="e">
        <f t="shared" si="5"/>
        <v>#DIV/0!</v>
      </c>
      <c r="R37" s="287"/>
      <c r="S37" s="313" t="e">
        <f t="shared" si="6"/>
        <v>#DIV/0!</v>
      </c>
      <c r="T37" s="287"/>
      <c r="U37" s="313" t="e">
        <f t="shared" si="7"/>
        <v>#DIV/0!</v>
      </c>
      <c r="V37" s="287"/>
      <c r="W37" s="313" t="e">
        <f t="shared" si="58"/>
        <v>#DIV/0!</v>
      </c>
      <c r="X37" s="323" t="e">
        <f t="shared" si="46"/>
        <v>#DIV/0!</v>
      </c>
      <c r="Y37" s="81">
        <v>0</v>
      </c>
      <c r="Z37" s="81"/>
      <c r="AA37" s="84">
        <v>0</v>
      </c>
      <c r="AB37" s="85"/>
      <c r="AC37" s="84">
        <v>0</v>
      </c>
      <c r="AD37" s="81"/>
      <c r="AE37" s="84">
        <v>0</v>
      </c>
      <c r="AF37" s="85"/>
      <c r="AG37" s="84">
        <v>0</v>
      </c>
      <c r="AH37" s="81"/>
      <c r="AI37" s="84">
        <v>0</v>
      </c>
      <c r="AJ37" s="85"/>
      <c r="AK37" s="84">
        <v>0</v>
      </c>
      <c r="AL37" s="85"/>
      <c r="AM37" s="84">
        <v>0</v>
      </c>
      <c r="AN37" s="85"/>
      <c r="AO37" s="84">
        <v>0</v>
      </c>
      <c r="AP37" s="85"/>
      <c r="AQ37" s="84">
        <v>0</v>
      </c>
      <c r="AR37" s="85"/>
      <c r="AS37" s="84">
        <v>0</v>
      </c>
      <c r="AT37" s="85"/>
      <c r="AU37" s="84">
        <v>0</v>
      </c>
      <c r="AV37" s="81"/>
      <c r="AW37" s="214">
        <f t="shared" si="11"/>
        <v>106000</v>
      </c>
    </row>
    <row r="38" spans="1:49" x14ac:dyDescent="0.35">
      <c r="A38" s="159" t="s">
        <v>635</v>
      </c>
      <c r="B38" s="180"/>
      <c r="C38" s="83">
        <v>59982</v>
      </c>
      <c r="D38" s="107">
        <f>E38</f>
        <v>66485.7</v>
      </c>
      <c r="E38" s="304">
        <f>59982+6503.7</f>
        <v>66485.7</v>
      </c>
      <c r="F38" s="287">
        <v>8738.26</v>
      </c>
      <c r="G38" s="288">
        <f t="shared" ref="G38" si="86">F38/E38</f>
        <v>0.13143066854977839</v>
      </c>
      <c r="H38" s="289">
        <v>5649.72</v>
      </c>
      <c r="I38" s="290">
        <f t="shared" ref="I38" si="87">H38/E38</f>
        <v>8.4976468624080079E-2</v>
      </c>
      <c r="J38" s="287">
        <v>10859.36</v>
      </c>
      <c r="K38" s="288">
        <f t="shared" ref="K38" si="88">J38/E38</f>
        <v>0.16333376951735487</v>
      </c>
      <c r="L38" s="289">
        <v>1667.48</v>
      </c>
      <c r="M38" s="290">
        <f t="shared" ref="M38" si="89">L38/E38</f>
        <v>2.5080280421203357E-2</v>
      </c>
      <c r="N38" s="287">
        <v>3178.61</v>
      </c>
      <c r="O38" s="288">
        <f t="shared" ref="O38" si="90">N38/E38</f>
        <v>4.7808927333246098E-2</v>
      </c>
      <c r="P38" s="289">
        <v>7312.4</v>
      </c>
      <c r="Q38" s="290">
        <f t="shared" ref="Q38" si="91">P38/E38</f>
        <v>0.10998455306930663</v>
      </c>
      <c r="R38" s="287"/>
      <c r="S38" s="313">
        <f t="shared" ref="S38" si="92">R38/E38</f>
        <v>0</v>
      </c>
      <c r="T38" s="287">
        <v>1260</v>
      </c>
      <c r="U38" s="313">
        <f t="shared" ref="U38" si="93">T38/E38</f>
        <v>1.8951443693907111E-2</v>
      </c>
      <c r="V38" s="287">
        <f>13555.82+7760.89</f>
        <v>21316.71</v>
      </c>
      <c r="W38" s="313">
        <f t="shared" si="58"/>
        <v>0.32062097563837033</v>
      </c>
      <c r="X38" s="323">
        <f t="shared" si="46"/>
        <v>0.9021870868472468</v>
      </c>
      <c r="Y38" s="81">
        <v>0</v>
      </c>
      <c r="Z38" s="81"/>
      <c r="AA38" s="84">
        <v>0</v>
      </c>
      <c r="AB38" s="85"/>
      <c r="AC38" s="84">
        <v>0</v>
      </c>
      <c r="AD38" s="81"/>
      <c r="AE38" s="84">
        <v>0</v>
      </c>
      <c r="AF38" s="85"/>
      <c r="AG38" s="84">
        <v>0</v>
      </c>
      <c r="AH38" s="81"/>
      <c r="AI38" s="84">
        <v>0</v>
      </c>
      <c r="AJ38" s="85"/>
      <c r="AK38" s="84">
        <v>0</v>
      </c>
      <c r="AL38" s="85"/>
      <c r="AM38" s="84">
        <v>0</v>
      </c>
      <c r="AN38" s="85"/>
      <c r="AO38" s="84">
        <v>0</v>
      </c>
      <c r="AP38" s="85"/>
      <c r="AQ38" s="230">
        <v>35130</v>
      </c>
      <c r="AR38" s="231">
        <v>35129.61</v>
      </c>
      <c r="AS38" s="231">
        <v>4176</v>
      </c>
      <c r="AT38" s="231">
        <v>4176</v>
      </c>
      <c r="AU38" s="230">
        <f>AV38</f>
        <v>23803.18</v>
      </c>
      <c r="AV38" s="195">
        <f>20676.97+3126.21</f>
        <v>23803.18</v>
      </c>
      <c r="AW38" s="214">
        <f t="shared" si="11"/>
        <v>3376.5199999999968</v>
      </c>
    </row>
    <row r="39" spans="1:49" x14ac:dyDescent="0.35">
      <c r="A39" s="187" t="s">
        <v>634</v>
      </c>
      <c r="B39" s="180"/>
      <c r="C39" s="83">
        <v>10614</v>
      </c>
      <c r="D39" s="107">
        <v>10614</v>
      </c>
      <c r="E39" s="304">
        <v>10614</v>
      </c>
      <c r="F39" s="287"/>
      <c r="G39" s="288">
        <f t="shared" ref="G39" si="94">F39/E39</f>
        <v>0</v>
      </c>
      <c r="H39" s="289">
        <v>5253</v>
      </c>
      <c r="I39" s="290">
        <f t="shared" ref="I39" si="95">H39/E39</f>
        <v>0.49491237987563597</v>
      </c>
      <c r="J39" s="287"/>
      <c r="K39" s="288">
        <f t="shared" ref="K39" si="96">J39/E39</f>
        <v>0</v>
      </c>
      <c r="L39" s="289"/>
      <c r="M39" s="290">
        <f t="shared" ref="M39" si="97">L39/E39</f>
        <v>0</v>
      </c>
      <c r="N39" s="287"/>
      <c r="O39" s="288">
        <f t="shared" ref="O39" si="98">N39/E39</f>
        <v>0</v>
      </c>
      <c r="P39" s="289"/>
      <c r="Q39" s="290">
        <f t="shared" ref="Q39" si="99">P39/E39</f>
        <v>0</v>
      </c>
      <c r="R39" s="287"/>
      <c r="S39" s="313">
        <f t="shared" ref="S39" si="100">R39/E39</f>
        <v>0</v>
      </c>
      <c r="T39" s="287">
        <v>352</v>
      </c>
      <c r="U39" s="313">
        <f t="shared" ref="U39" si="101">T39/E39</f>
        <v>3.3163745995854532E-2</v>
      </c>
      <c r="V39" s="287">
        <v>5008</v>
      </c>
      <c r="W39" s="313">
        <f t="shared" si="58"/>
        <v>0.4718296589410213</v>
      </c>
      <c r="X39" s="323">
        <f t="shared" si="46"/>
        <v>0.9999057848125118</v>
      </c>
      <c r="Y39" s="81">
        <v>0</v>
      </c>
      <c r="Z39" s="81"/>
      <c r="AA39" s="84">
        <v>0</v>
      </c>
      <c r="AB39" s="85"/>
      <c r="AC39" s="84">
        <v>0</v>
      </c>
      <c r="AD39" s="81"/>
      <c r="AE39" s="84">
        <v>0</v>
      </c>
      <c r="AF39" s="85"/>
      <c r="AG39" s="84">
        <v>0</v>
      </c>
      <c r="AH39" s="81"/>
      <c r="AI39" s="84">
        <v>0</v>
      </c>
      <c r="AJ39" s="85"/>
      <c r="AK39" s="84">
        <v>0</v>
      </c>
      <c r="AL39" s="85"/>
      <c r="AM39" s="84">
        <v>0</v>
      </c>
      <c r="AN39" s="85"/>
      <c r="AO39" s="84">
        <v>0</v>
      </c>
      <c r="AP39" s="85"/>
      <c r="AQ39" s="84">
        <v>0</v>
      </c>
      <c r="AR39" s="85"/>
      <c r="AS39" s="84">
        <v>0</v>
      </c>
      <c r="AT39" s="85"/>
      <c r="AU39" s="84">
        <v>0</v>
      </c>
      <c r="AV39" s="81"/>
      <c r="AW39" s="214">
        <f t="shared" si="11"/>
        <v>10614</v>
      </c>
    </row>
    <row r="40" spans="1:49" x14ac:dyDescent="0.35">
      <c r="A40" s="187" t="s">
        <v>632</v>
      </c>
      <c r="B40" s="180"/>
      <c r="C40" s="83">
        <v>29033</v>
      </c>
      <c r="D40" s="142">
        <v>29033</v>
      </c>
      <c r="E40" s="304"/>
      <c r="F40" s="287"/>
      <c r="G40" s="288" t="e">
        <f t="shared" ref="G40:G42" si="102">F40/E40</f>
        <v>#DIV/0!</v>
      </c>
      <c r="H40" s="289"/>
      <c r="I40" s="290" t="e">
        <f t="shared" ref="I40:I42" si="103">H40/E40</f>
        <v>#DIV/0!</v>
      </c>
      <c r="J40" s="287"/>
      <c r="K40" s="288" t="e">
        <f t="shared" ref="K40:K42" si="104">J40/E40</f>
        <v>#DIV/0!</v>
      </c>
      <c r="L40" s="289"/>
      <c r="M40" s="290" t="e">
        <f t="shared" ref="M40:M42" si="105">L40/E40</f>
        <v>#DIV/0!</v>
      </c>
      <c r="N40" s="287"/>
      <c r="O40" s="288" t="e">
        <f t="shared" ref="O40:O42" si="106">N40/E40</f>
        <v>#DIV/0!</v>
      </c>
      <c r="P40" s="289"/>
      <c r="Q40" s="290" t="e">
        <f t="shared" ref="Q40:Q42" si="107">P40/E40</f>
        <v>#DIV/0!</v>
      </c>
      <c r="R40" s="287"/>
      <c r="S40" s="313" t="e">
        <f t="shared" ref="S40:S42" si="108">R40/E40</f>
        <v>#DIV/0!</v>
      </c>
      <c r="T40" s="287"/>
      <c r="U40" s="313" t="e">
        <f t="shared" ref="U40:U42" si="109">T40/E40</f>
        <v>#DIV/0!</v>
      </c>
      <c r="V40" s="287"/>
      <c r="W40" s="313" t="e">
        <f t="shared" si="58"/>
        <v>#DIV/0!</v>
      </c>
      <c r="X40" s="323" t="e">
        <f t="shared" si="46"/>
        <v>#DIV/0!</v>
      </c>
      <c r="Y40" s="81">
        <v>0</v>
      </c>
      <c r="Z40" s="81"/>
      <c r="AA40" s="84">
        <v>0</v>
      </c>
      <c r="AB40" s="85"/>
      <c r="AC40" s="84">
        <v>0</v>
      </c>
      <c r="AD40" s="81"/>
      <c r="AE40" s="84">
        <v>0</v>
      </c>
      <c r="AF40" s="85"/>
      <c r="AG40" s="84">
        <v>0</v>
      </c>
      <c r="AH40" s="81"/>
      <c r="AI40" s="84">
        <v>0</v>
      </c>
      <c r="AJ40" s="85"/>
      <c r="AK40" s="84">
        <v>0</v>
      </c>
      <c r="AL40" s="85"/>
      <c r="AM40" s="84">
        <v>0</v>
      </c>
      <c r="AN40" s="85"/>
      <c r="AO40" s="84">
        <v>0</v>
      </c>
      <c r="AP40" s="85"/>
      <c r="AQ40" s="84">
        <v>0</v>
      </c>
      <c r="AR40" s="85"/>
      <c r="AS40" s="84">
        <v>0</v>
      </c>
      <c r="AT40" s="85"/>
      <c r="AU40" s="84">
        <v>0</v>
      </c>
      <c r="AV40" s="81"/>
      <c r="AW40" s="214">
        <f t="shared" si="11"/>
        <v>29033</v>
      </c>
    </row>
    <row r="41" spans="1:49" x14ac:dyDescent="0.35">
      <c r="A41" s="159" t="s">
        <v>631</v>
      </c>
      <c r="B41" s="180"/>
      <c r="C41" s="83">
        <v>30543</v>
      </c>
      <c r="D41" s="107">
        <v>30543</v>
      </c>
      <c r="E41" s="304">
        <v>30543</v>
      </c>
      <c r="F41" s="287">
        <v>3822</v>
      </c>
      <c r="G41" s="288">
        <f t="shared" si="102"/>
        <v>0.12513505549553089</v>
      </c>
      <c r="H41" s="289">
        <f>1686+2061</f>
        <v>3747</v>
      </c>
      <c r="I41" s="290">
        <f t="shared" si="103"/>
        <v>0.12267950103133288</v>
      </c>
      <c r="J41" s="287">
        <f>4738+3701</f>
        <v>8439</v>
      </c>
      <c r="K41" s="288">
        <f t="shared" si="104"/>
        <v>0.27629898831156074</v>
      </c>
      <c r="L41" s="289">
        <v>4094</v>
      </c>
      <c r="M41" s="290">
        <f t="shared" si="105"/>
        <v>0.13404053301902236</v>
      </c>
      <c r="N41" s="287">
        <v>2232</v>
      </c>
      <c r="O41" s="288">
        <f t="shared" si="106"/>
        <v>7.3077300854532956E-2</v>
      </c>
      <c r="P41" s="289">
        <f>4065+601+2737</f>
        <v>7403</v>
      </c>
      <c r="Q41" s="290">
        <f t="shared" si="107"/>
        <v>0.24237959597943881</v>
      </c>
      <c r="R41" s="287"/>
      <c r="S41" s="313">
        <f t="shared" si="108"/>
        <v>0</v>
      </c>
      <c r="T41" s="287">
        <v>806</v>
      </c>
      <c r="U41" s="313">
        <f t="shared" si="109"/>
        <v>2.6389025308581344E-2</v>
      </c>
      <c r="V41" s="287"/>
      <c r="W41" s="313">
        <f t="shared" si="58"/>
        <v>0</v>
      </c>
      <c r="X41" s="323">
        <f t="shared" si="46"/>
        <v>1</v>
      </c>
      <c r="Y41" s="81">
        <v>0</v>
      </c>
      <c r="Z41" s="81"/>
      <c r="AA41" s="84">
        <v>0</v>
      </c>
      <c r="AB41" s="85"/>
      <c r="AC41" s="84">
        <v>0</v>
      </c>
      <c r="AD41" s="81"/>
      <c r="AE41" s="84">
        <v>0</v>
      </c>
      <c r="AF41" s="85"/>
      <c r="AG41" s="84">
        <v>0</v>
      </c>
      <c r="AH41" s="81"/>
      <c r="AI41" s="84">
        <v>0</v>
      </c>
      <c r="AJ41" s="85"/>
      <c r="AK41" s="84">
        <v>0</v>
      </c>
      <c r="AL41" s="85"/>
      <c r="AM41" s="230">
        <v>1618.04</v>
      </c>
      <c r="AN41" s="231">
        <v>1618.04</v>
      </c>
      <c r="AO41" s="84">
        <v>0</v>
      </c>
      <c r="AP41" s="85"/>
      <c r="AQ41" s="84">
        <v>0</v>
      </c>
      <c r="AR41" s="85"/>
      <c r="AS41" s="231">
        <v>2816.32</v>
      </c>
      <c r="AT41" s="231">
        <v>2816.32</v>
      </c>
      <c r="AU41" s="230">
        <v>11137.83</v>
      </c>
      <c r="AV41" s="195">
        <v>11137.83</v>
      </c>
      <c r="AW41" s="214">
        <f t="shared" si="11"/>
        <v>14970.81</v>
      </c>
    </row>
    <row r="42" spans="1:49" x14ac:dyDescent="0.35">
      <c r="A42" s="187" t="s">
        <v>630</v>
      </c>
      <c r="B42" s="180"/>
      <c r="C42" s="83">
        <v>46206</v>
      </c>
      <c r="D42" s="107">
        <v>46206</v>
      </c>
      <c r="E42" s="304">
        <v>46206</v>
      </c>
      <c r="F42" s="287">
        <v>7046</v>
      </c>
      <c r="G42" s="288">
        <f t="shared" si="102"/>
        <v>0.15249101848244817</v>
      </c>
      <c r="H42" s="289">
        <f>25182+503+2342</f>
        <v>28027</v>
      </c>
      <c r="I42" s="290">
        <f t="shared" si="103"/>
        <v>0.60656624680777393</v>
      </c>
      <c r="J42" s="287"/>
      <c r="K42" s="288">
        <f t="shared" si="104"/>
        <v>0</v>
      </c>
      <c r="L42" s="289">
        <v>11133</v>
      </c>
      <c r="M42" s="290">
        <f t="shared" si="105"/>
        <v>0.24094273470977795</v>
      </c>
      <c r="N42" s="287"/>
      <c r="O42" s="288">
        <f t="shared" si="106"/>
        <v>0</v>
      </c>
      <c r="P42" s="289"/>
      <c r="Q42" s="290">
        <f t="shared" si="107"/>
        <v>0</v>
      </c>
      <c r="R42" s="287"/>
      <c r="S42" s="313">
        <f t="shared" si="108"/>
        <v>0</v>
      </c>
      <c r="T42" s="287"/>
      <c r="U42" s="313">
        <f t="shared" si="109"/>
        <v>0</v>
      </c>
      <c r="V42" s="287"/>
      <c r="W42" s="313">
        <f t="shared" si="58"/>
        <v>0</v>
      </c>
      <c r="X42" s="323">
        <f t="shared" si="46"/>
        <v>1</v>
      </c>
      <c r="Y42" s="81">
        <v>0</v>
      </c>
      <c r="Z42" s="81"/>
      <c r="AA42" s="84">
        <v>0</v>
      </c>
      <c r="AB42" s="85"/>
      <c r="AC42" s="84">
        <v>0</v>
      </c>
      <c r="AD42" s="81"/>
      <c r="AE42" s="84">
        <v>0</v>
      </c>
      <c r="AF42" s="85"/>
      <c r="AG42" s="84">
        <v>0</v>
      </c>
      <c r="AH42" s="81"/>
      <c r="AI42" s="84">
        <v>0</v>
      </c>
      <c r="AJ42" s="85"/>
      <c r="AK42" s="84">
        <v>0</v>
      </c>
      <c r="AL42" s="85"/>
      <c r="AM42" s="84">
        <v>0</v>
      </c>
      <c r="AN42" s="85"/>
      <c r="AO42" s="84">
        <v>0</v>
      </c>
      <c r="AP42" s="85"/>
      <c r="AQ42" s="84">
        <v>0</v>
      </c>
      <c r="AR42" s="85"/>
      <c r="AS42" s="84">
        <v>0</v>
      </c>
      <c r="AT42" s="85"/>
      <c r="AU42" s="84">
        <v>0</v>
      </c>
      <c r="AV42" s="81"/>
      <c r="AW42" s="214">
        <f t="shared" si="11"/>
        <v>46206</v>
      </c>
    </row>
    <row r="43" spans="1:49" x14ac:dyDescent="0.35">
      <c r="A43" s="149" t="s">
        <v>629</v>
      </c>
      <c r="B43" s="180"/>
      <c r="C43" s="83">
        <v>221865</v>
      </c>
      <c r="D43" s="63">
        <v>221865</v>
      </c>
      <c r="E43" s="304"/>
      <c r="F43" s="287"/>
      <c r="G43" s="288" t="e">
        <f t="shared" ref="G43" si="110">F43/E43</f>
        <v>#DIV/0!</v>
      </c>
      <c r="H43" s="289"/>
      <c r="I43" s="290" t="e">
        <f t="shared" ref="I43" si="111">H43/E43</f>
        <v>#DIV/0!</v>
      </c>
      <c r="J43" s="287"/>
      <c r="K43" s="288" t="e">
        <f t="shared" ref="K43" si="112">J43/E43</f>
        <v>#DIV/0!</v>
      </c>
      <c r="L43" s="289"/>
      <c r="M43" s="290" t="e">
        <f t="shared" ref="M43" si="113">L43/E43</f>
        <v>#DIV/0!</v>
      </c>
      <c r="N43" s="287"/>
      <c r="O43" s="288" t="e">
        <f t="shared" ref="O43" si="114">N43/E43</f>
        <v>#DIV/0!</v>
      </c>
      <c r="P43" s="289"/>
      <c r="Q43" s="290" t="e">
        <f t="shared" ref="Q43" si="115">P43/E43</f>
        <v>#DIV/0!</v>
      </c>
      <c r="R43" s="287"/>
      <c r="S43" s="313" t="e">
        <f t="shared" ref="S43" si="116">R43/E43</f>
        <v>#DIV/0!</v>
      </c>
      <c r="T43" s="287"/>
      <c r="U43" s="313" t="e">
        <f t="shared" ref="U43" si="117">T43/E43</f>
        <v>#DIV/0!</v>
      </c>
      <c r="V43" s="287"/>
      <c r="W43" s="313" t="e">
        <f t="shared" si="58"/>
        <v>#DIV/0!</v>
      </c>
      <c r="X43" s="323" t="e">
        <f t="shared" si="46"/>
        <v>#DIV/0!</v>
      </c>
      <c r="Y43" s="81">
        <v>0</v>
      </c>
      <c r="Z43" s="81"/>
      <c r="AA43" s="84">
        <v>0</v>
      </c>
      <c r="AB43" s="85"/>
      <c r="AC43" s="84">
        <v>0</v>
      </c>
      <c r="AD43" s="81"/>
      <c r="AE43" s="84">
        <v>0</v>
      </c>
      <c r="AF43" s="85"/>
      <c r="AG43" s="84">
        <v>0</v>
      </c>
      <c r="AH43" s="81"/>
      <c r="AI43" s="84">
        <v>0</v>
      </c>
      <c r="AJ43" s="85"/>
      <c r="AK43" s="84">
        <v>0</v>
      </c>
      <c r="AL43" s="85"/>
      <c r="AM43" s="84">
        <v>0</v>
      </c>
      <c r="AN43" s="85"/>
      <c r="AO43" s="84">
        <v>0</v>
      </c>
      <c r="AP43" s="85"/>
      <c r="AQ43" s="84">
        <v>0</v>
      </c>
      <c r="AR43" s="85"/>
      <c r="AS43" s="84">
        <v>0</v>
      </c>
      <c r="AT43" s="85"/>
      <c r="AU43" s="84">
        <v>0</v>
      </c>
      <c r="AV43" s="81"/>
      <c r="AW43" s="214">
        <f t="shared" si="11"/>
        <v>221865</v>
      </c>
    </row>
    <row r="44" spans="1:49" x14ac:dyDescent="0.35">
      <c r="A44" s="151" t="s">
        <v>424</v>
      </c>
      <c r="B44" s="180"/>
      <c r="C44" s="83">
        <v>6411</v>
      </c>
      <c r="D44" s="356">
        <v>6411</v>
      </c>
      <c r="E44" s="304">
        <v>6411</v>
      </c>
      <c r="F44" s="287"/>
      <c r="G44" s="288">
        <f t="shared" ref="G44" si="118">F44/E44</f>
        <v>0</v>
      </c>
      <c r="H44" s="289"/>
      <c r="I44" s="290">
        <f t="shared" ref="I44" si="119">H44/E44</f>
        <v>0</v>
      </c>
      <c r="J44" s="287"/>
      <c r="K44" s="288">
        <f t="shared" ref="K44" si="120">J44/E44</f>
        <v>0</v>
      </c>
      <c r="L44" s="289"/>
      <c r="M44" s="290">
        <f t="shared" ref="M44" si="121">L44/E44</f>
        <v>0</v>
      </c>
      <c r="N44" s="287"/>
      <c r="O44" s="288">
        <f t="shared" ref="O44" si="122">N44/E44</f>
        <v>0</v>
      </c>
      <c r="P44" s="289"/>
      <c r="Q44" s="290">
        <f t="shared" ref="Q44" si="123">P44/E44</f>
        <v>0</v>
      </c>
      <c r="R44" s="287">
        <v>6219</v>
      </c>
      <c r="S44" s="313">
        <f t="shared" ref="S44" si="124">R44/E44</f>
        <v>0.97005147402901259</v>
      </c>
      <c r="T44" s="287">
        <v>192</v>
      </c>
      <c r="U44" s="313">
        <f t="shared" ref="U44" si="125">T44/E44</f>
        <v>2.9948525970987367E-2</v>
      </c>
      <c r="V44" s="287"/>
      <c r="W44" s="313">
        <f t="shared" si="58"/>
        <v>0</v>
      </c>
      <c r="X44" s="323">
        <f t="shared" si="46"/>
        <v>1</v>
      </c>
      <c r="Y44" s="81">
        <v>0</v>
      </c>
      <c r="Z44" s="81"/>
      <c r="AA44" s="84">
        <v>0</v>
      </c>
      <c r="AB44" s="85"/>
      <c r="AC44" s="84">
        <v>0</v>
      </c>
      <c r="AD44" s="81"/>
      <c r="AE44" s="84">
        <v>0</v>
      </c>
      <c r="AF44" s="85"/>
      <c r="AG44" s="84">
        <v>0</v>
      </c>
      <c r="AH44" s="81"/>
      <c r="AI44" s="84">
        <v>0</v>
      </c>
      <c r="AJ44" s="85"/>
      <c r="AK44" s="84">
        <v>0</v>
      </c>
      <c r="AL44" s="85"/>
      <c r="AM44" s="84">
        <v>0</v>
      </c>
      <c r="AN44" s="85"/>
      <c r="AO44" s="84">
        <v>0</v>
      </c>
      <c r="AP44" s="85"/>
      <c r="AQ44" s="84">
        <v>0</v>
      </c>
      <c r="AR44" s="85"/>
      <c r="AS44" s="84">
        <v>0</v>
      </c>
      <c r="AT44" s="85"/>
      <c r="AU44" s="84">
        <v>0</v>
      </c>
      <c r="AV44" s="81"/>
      <c r="AW44" s="214">
        <f t="shared" si="11"/>
        <v>6411</v>
      </c>
    </row>
    <row r="45" spans="1:49" x14ac:dyDescent="0.35">
      <c r="A45" s="187" t="s">
        <v>628</v>
      </c>
      <c r="B45" s="180"/>
      <c r="C45" s="83">
        <v>3126</v>
      </c>
      <c r="D45" s="356">
        <v>3126</v>
      </c>
      <c r="E45" s="304">
        <v>3126</v>
      </c>
      <c r="F45" s="287"/>
      <c r="G45" s="288">
        <f t="shared" ref="G45:G50" si="126">F45/E45</f>
        <v>0</v>
      </c>
      <c r="H45" s="289">
        <v>1626</v>
      </c>
      <c r="I45" s="290">
        <f t="shared" ref="I45:I50" si="127">H45/E45</f>
        <v>0.52015355086372361</v>
      </c>
      <c r="J45" s="287"/>
      <c r="K45" s="288">
        <f t="shared" ref="K45:K50" si="128">J45/E45</f>
        <v>0</v>
      </c>
      <c r="L45" s="289">
        <v>1082</v>
      </c>
      <c r="M45" s="290">
        <f t="shared" ref="M45:M50" si="129">L45/E45</f>
        <v>0.34612923864363404</v>
      </c>
      <c r="N45" s="287"/>
      <c r="O45" s="288">
        <f t="shared" ref="O45:O50" si="130">N45/E45</f>
        <v>0</v>
      </c>
      <c r="P45" s="289"/>
      <c r="Q45" s="290">
        <f t="shared" ref="Q45:Q50" si="131">P45/E45</f>
        <v>0</v>
      </c>
      <c r="R45" s="287">
        <v>418</v>
      </c>
      <c r="S45" s="313">
        <f t="shared" ref="S45:S50" si="132">R45/E45</f>
        <v>0.13371721049264235</v>
      </c>
      <c r="T45" s="287"/>
      <c r="U45" s="313">
        <f t="shared" ref="U45:U50" si="133">T45/E45</f>
        <v>0</v>
      </c>
      <c r="V45" s="287"/>
      <c r="W45" s="313">
        <f t="shared" si="58"/>
        <v>0</v>
      </c>
      <c r="X45" s="323">
        <f t="shared" si="46"/>
        <v>1</v>
      </c>
      <c r="Y45" s="81">
        <v>0</v>
      </c>
      <c r="Z45" s="81"/>
      <c r="AA45" s="84">
        <v>0</v>
      </c>
      <c r="AB45" s="85"/>
      <c r="AC45" s="84">
        <v>0</v>
      </c>
      <c r="AD45" s="81"/>
      <c r="AE45" s="84">
        <v>0</v>
      </c>
      <c r="AF45" s="85"/>
      <c r="AG45" s="84">
        <v>0</v>
      </c>
      <c r="AH45" s="81"/>
      <c r="AI45" s="84">
        <v>0</v>
      </c>
      <c r="AJ45" s="85"/>
      <c r="AK45" s="230">
        <f>D45-Y45-AA45-AC45-AE45-AG45-AI45</f>
        <v>3126</v>
      </c>
      <c r="AL45" s="231">
        <v>3126.26</v>
      </c>
      <c r="AM45" s="84">
        <f>D45-Y45-AA45-AC45-AE45-AG45-AI45-AK45</f>
        <v>0</v>
      </c>
      <c r="AN45" s="85"/>
      <c r="AO45" s="84">
        <f t="shared" ref="AO45:AO49" si="134">D45-Y45-AA45-AC45-AE45-AG45-AI45-AK45-AM45</f>
        <v>0</v>
      </c>
      <c r="AP45" s="85"/>
      <c r="AQ45" s="84">
        <f t="shared" ref="AQ45:AQ49" si="135">D45-Y45-AA45-AC45-AE45-AG45-AI45-AK45-AM45-AO45</f>
        <v>0</v>
      </c>
      <c r="AR45" s="85"/>
      <c r="AS45" s="84">
        <f t="shared" ref="AS45:AS49" si="136">D45-Y45-AA45-AC45-AE45-AG45-AI45-AK45-AM45-AO45-AQ45</f>
        <v>0</v>
      </c>
      <c r="AT45" s="85"/>
      <c r="AU45" s="84">
        <f t="shared" ref="AU45:AU49" si="137">D45-Y45-AA45-AC45-AE45-AG45-AI45-AK45-AM45-AO45-AQ45-AS45</f>
        <v>0</v>
      </c>
      <c r="AV45" s="81"/>
      <c r="AW45" s="214">
        <f t="shared" si="11"/>
        <v>0</v>
      </c>
    </row>
    <row r="46" spans="1:49" x14ac:dyDescent="0.35">
      <c r="A46" s="187" t="s">
        <v>626</v>
      </c>
      <c r="B46" s="180"/>
      <c r="C46" s="83">
        <v>0</v>
      </c>
      <c r="D46" s="142">
        <f t="shared" ref="D46" si="138">C46</f>
        <v>0</v>
      </c>
      <c r="E46" s="304"/>
      <c r="F46" s="287"/>
      <c r="G46" s="288" t="e">
        <f t="shared" ref="G46" si="139">F46/E46</f>
        <v>#DIV/0!</v>
      </c>
      <c r="H46" s="289"/>
      <c r="I46" s="290" t="e">
        <f t="shared" ref="I46" si="140">H46/E46</f>
        <v>#DIV/0!</v>
      </c>
      <c r="J46" s="287"/>
      <c r="K46" s="288" t="e">
        <f t="shared" ref="K46" si="141">J46/E46</f>
        <v>#DIV/0!</v>
      </c>
      <c r="L46" s="289"/>
      <c r="M46" s="290" t="e">
        <f t="shared" ref="M46" si="142">L46/E46</f>
        <v>#DIV/0!</v>
      </c>
      <c r="N46" s="287"/>
      <c r="O46" s="288" t="e">
        <f t="shared" ref="O46" si="143">N46/E46</f>
        <v>#DIV/0!</v>
      </c>
      <c r="P46" s="289"/>
      <c r="Q46" s="290" t="e">
        <f t="shared" ref="Q46" si="144">P46/E46</f>
        <v>#DIV/0!</v>
      </c>
      <c r="R46" s="287"/>
      <c r="S46" s="313" t="e">
        <f t="shared" ref="S46" si="145">R46/E46</f>
        <v>#DIV/0!</v>
      </c>
      <c r="T46" s="287"/>
      <c r="U46" s="313" t="e">
        <f t="shared" ref="U46" si="146">T46/E46</f>
        <v>#DIV/0!</v>
      </c>
      <c r="V46" s="287"/>
      <c r="W46" s="313" t="e">
        <f t="shared" si="58"/>
        <v>#DIV/0!</v>
      </c>
      <c r="X46" s="323" t="e">
        <f t="shared" si="46"/>
        <v>#DIV/0!</v>
      </c>
      <c r="Y46" s="81">
        <v>0</v>
      </c>
      <c r="Z46" s="81"/>
      <c r="AA46" s="84">
        <f>D46-Y46</f>
        <v>0</v>
      </c>
      <c r="AB46" s="85"/>
      <c r="AC46" s="84">
        <f>D46-Y46-AA46</f>
        <v>0</v>
      </c>
      <c r="AD46" s="81"/>
      <c r="AE46" s="84">
        <f>D46-Y46-AA46-AC46</f>
        <v>0</v>
      </c>
      <c r="AF46" s="85"/>
      <c r="AG46" s="84">
        <f>D46-Y46-AA46-AC46-AE46</f>
        <v>0</v>
      </c>
      <c r="AH46" s="81"/>
      <c r="AI46" s="84">
        <f>D46-Y46-AA46-AC46-AE46-AG46</f>
        <v>0</v>
      </c>
      <c r="AJ46" s="85"/>
      <c r="AK46" s="84">
        <f>D46-Y46-AA46-AC46-AE46-AG46-AI46</f>
        <v>0</v>
      </c>
      <c r="AL46" s="85"/>
      <c r="AM46" s="84">
        <f>D46-Y46-AA46-AC46-AE46-AG46-AI46-AK46</f>
        <v>0</v>
      </c>
      <c r="AN46" s="85"/>
      <c r="AO46" s="84">
        <f t="shared" si="134"/>
        <v>0</v>
      </c>
      <c r="AP46" s="85"/>
      <c r="AQ46" s="84">
        <f t="shared" si="135"/>
        <v>0</v>
      </c>
      <c r="AR46" s="85"/>
      <c r="AS46" s="84">
        <f t="shared" si="136"/>
        <v>0</v>
      </c>
      <c r="AT46" s="85"/>
      <c r="AU46" s="84">
        <f t="shared" si="137"/>
        <v>0</v>
      </c>
      <c r="AV46" s="81"/>
      <c r="AW46" s="214">
        <f t="shared" si="11"/>
        <v>0</v>
      </c>
    </row>
    <row r="47" spans="1:49" x14ac:dyDescent="0.35">
      <c r="A47" s="187" t="s">
        <v>625</v>
      </c>
      <c r="B47" s="180"/>
      <c r="C47" s="83">
        <v>3388</v>
      </c>
      <c r="D47" s="107">
        <f t="shared" ref="D47" si="147">C47</f>
        <v>3388</v>
      </c>
      <c r="E47" s="304">
        <v>3388</v>
      </c>
      <c r="F47" s="287"/>
      <c r="G47" s="288">
        <f t="shared" ref="G47:G48" si="148">F47/E47</f>
        <v>0</v>
      </c>
      <c r="H47" s="289">
        <v>3388</v>
      </c>
      <c r="I47" s="290">
        <f t="shared" ref="I47:I48" si="149">H47/E47</f>
        <v>1</v>
      </c>
      <c r="J47" s="287"/>
      <c r="K47" s="288">
        <f t="shared" ref="K47:K48" si="150">J47/E47</f>
        <v>0</v>
      </c>
      <c r="L47" s="289"/>
      <c r="M47" s="290">
        <f t="shared" ref="M47:M48" si="151">L47/E47</f>
        <v>0</v>
      </c>
      <c r="N47" s="287"/>
      <c r="O47" s="288">
        <f t="shared" ref="O47:O48" si="152">N47/E47</f>
        <v>0</v>
      </c>
      <c r="P47" s="289"/>
      <c r="Q47" s="290">
        <f t="shared" ref="Q47:Q48" si="153">P47/E47</f>
        <v>0</v>
      </c>
      <c r="R47" s="287"/>
      <c r="S47" s="313">
        <f t="shared" ref="S47:S48" si="154">R47/E47</f>
        <v>0</v>
      </c>
      <c r="T47" s="287"/>
      <c r="U47" s="313">
        <f t="shared" ref="U47:U48" si="155">T47/E47</f>
        <v>0</v>
      </c>
      <c r="V47" s="287"/>
      <c r="W47" s="313">
        <f t="shared" si="58"/>
        <v>0</v>
      </c>
      <c r="X47" s="323">
        <f t="shared" si="46"/>
        <v>1</v>
      </c>
      <c r="Y47" s="81">
        <v>0</v>
      </c>
      <c r="Z47" s="81"/>
      <c r="AA47" s="84">
        <v>0</v>
      </c>
      <c r="AB47" s="85"/>
      <c r="AC47" s="84">
        <v>0</v>
      </c>
      <c r="AD47" s="81"/>
      <c r="AE47" s="84">
        <v>0</v>
      </c>
      <c r="AF47" s="85"/>
      <c r="AG47" s="84">
        <v>0</v>
      </c>
      <c r="AH47" s="81"/>
      <c r="AI47" s="84">
        <v>0</v>
      </c>
      <c r="AJ47" s="85"/>
      <c r="AK47" s="230">
        <f>D47-Y47-AA47-AC47-AE47-AG47-AI47</f>
        <v>3388</v>
      </c>
      <c r="AL47" s="231">
        <v>3388</v>
      </c>
      <c r="AM47" s="84">
        <f>D47-Y47-AA47-AC47-AE47-AG47-AI47-AK47</f>
        <v>0</v>
      </c>
      <c r="AN47" s="85"/>
      <c r="AO47" s="84">
        <f t="shared" si="134"/>
        <v>0</v>
      </c>
      <c r="AP47" s="85"/>
      <c r="AQ47" s="84">
        <f t="shared" si="135"/>
        <v>0</v>
      </c>
      <c r="AR47" s="85"/>
      <c r="AS47" s="84">
        <f t="shared" si="136"/>
        <v>0</v>
      </c>
      <c r="AT47" s="85"/>
      <c r="AU47" s="84">
        <f t="shared" si="137"/>
        <v>0</v>
      </c>
      <c r="AV47" s="81"/>
      <c r="AW47" s="214">
        <f t="shared" si="11"/>
        <v>0</v>
      </c>
    </row>
    <row r="48" spans="1:49" x14ac:dyDescent="0.35">
      <c r="A48" s="187" t="s">
        <v>624</v>
      </c>
      <c r="B48" s="180"/>
      <c r="C48" s="83">
        <v>547.27</v>
      </c>
      <c r="D48" s="107">
        <v>547</v>
      </c>
      <c r="E48" s="304">
        <v>547.27</v>
      </c>
      <c r="F48" s="287"/>
      <c r="G48" s="288">
        <f t="shared" si="148"/>
        <v>0</v>
      </c>
      <c r="H48" s="289">
        <v>547.27</v>
      </c>
      <c r="I48" s="290">
        <f t="shared" si="149"/>
        <v>1</v>
      </c>
      <c r="J48" s="287"/>
      <c r="K48" s="288">
        <f t="shared" si="150"/>
        <v>0</v>
      </c>
      <c r="L48" s="289"/>
      <c r="M48" s="290">
        <f t="shared" si="151"/>
        <v>0</v>
      </c>
      <c r="N48" s="287"/>
      <c r="O48" s="288">
        <f t="shared" si="152"/>
        <v>0</v>
      </c>
      <c r="P48" s="289"/>
      <c r="Q48" s="290">
        <f t="shared" si="153"/>
        <v>0</v>
      </c>
      <c r="R48" s="287"/>
      <c r="S48" s="313">
        <f t="shared" si="154"/>
        <v>0</v>
      </c>
      <c r="T48" s="287"/>
      <c r="U48" s="313">
        <f t="shared" si="155"/>
        <v>0</v>
      </c>
      <c r="V48" s="287"/>
      <c r="W48" s="313">
        <f t="shared" si="58"/>
        <v>0</v>
      </c>
      <c r="X48" s="323">
        <f t="shared" si="46"/>
        <v>1</v>
      </c>
      <c r="Y48" s="81">
        <v>0</v>
      </c>
      <c r="Z48" s="81"/>
      <c r="AA48" s="84">
        <v>0</v>
      </c>
      <c r="AB48" s="85"/>
      <c r="AC48" s="84">
        <v>0</v>
      </c>
      <c r="AD48" s="81"/>
      <c r="AE48" s="230">
        <v>547.27</v>
      </c>
      <c r="AF48" s="231">
        <v>547.27</v>
      </c>
      <c r="AG48" s="84">
        <f>D48-Y48-AA48-AC48-AE48</f>
        <v>-0.26999999999998181</v>
      </c>
      <c r="AH48" s="81"/>
      <c r="AI48" s="84">
        <f>D48-Y48-AA48-AC48-AE48-AG48</f>
        <v>0</v>
      </c>
      <c r="AJ48" s="85"/>
      <c r="AK48" s="84">
        <f>D48-Y48-AA48-AC48-AE48-AG48-AI48</f>
        <v>0</v>
      </c>
      <c r="AL48" s="85"/>
      <c r="AM48" s="84">
        <f>D48-Y48-AA48-AC48-AE48-AG48-AI48-AK48</f>
        <v>0</v>
      </c>
      <c r="AN48" s="85"/>
      <c r="AO48" s="84">
        <f t="shared" si="134"/>
        <v>0</v>
      </c>
      <c r="AP48" s="85"/>
      <c r="AQ48" s="84">
        <f t="shared" si="135"/>
        <v>0</v>
      </c>
      <c r="AR48" s="85"/>
      <c r="AS48" s="84">
        <f t="shared" si="136"/>
        <v>0</v>
      </c>
      <c r="AT48" s="85"/>
      <c r="AU48" s="84">
        <f t="shared" si="137"/>
        <v>0</v>
      </c>
      <c r="AV48" s="81"/>
      <c r="AW48" s="214">
        <f t="shared" si="11"/>
        <v>0</v>
      </c>
    </row>
    <row r="49" spans="1:49" x14ac:dyDescent="0.35">
      <c r="A49" s="187" t="s">
        <v>217</v>
      </c>
      <c r="B49" s="180"/>
      <c r="C49" s="83">
        <f>16260.79+2766.96+1154</f>
        <v>20181.75</v>
      </c>
      <c r="D49" s="107">
        <f t="shared" ref="D49" si="156">C49</f>
        <v>20181.75</v>
      </c>
      <c r="E49" s="304">
        <f>D49</f>
        <v>20181.75</v>
      </c>
      <c r="F49" s="287">
        <f>16260.79-480</f>
        <v>15780.79</v>
      </c>
      <c r="G49" s="288">
        <f t="shared" ref="G49" si="157">F49/E49</f>
        <v>0.78193367770386613</v>
      </c>
      <c r="H49" s="289"/>
      <c r="I49" s="290">
        <f t="shared" ref="I49" si="158">H49/E49</f>
        <v>0</v>
      </c>
      <c r="J49" s="287"/>
      <c r="K49" s="288">
        <f t="shared" ref="K49" si="159">J49/E49</f>
        <v>0</v>
      </c>
      <c r="L49" s="289"/>
      <c r="M49" s="290">
        <f t="shared" ref="M49" si="160">L49/E49</f>
        <v>0</v>
      </c>
      <c r="N49" s="287">
        <v>2766.96</v>
      </c>
      <c r="O49" s="288">
        <f t="shared" ref="O49" si="161">N49/E49</f>
        <v>0.13710208480434055</v>
      </c>
      <c r="P49" s="289"/>
      <c r="Q49" s="290">
        <f t="shared" ref="Q49" si="162">P49/E49</f>
        <v>0</v>
      </c>
      <c r="R49" s="287">
        <v>1154</v>
      </c>
      <c r="S49" s="313">
        <f t="shared" ref="S49" si="163">R49/E49</f>
        <v>5.7180373357117197E-2</v>
      </c>
      <c r="T49" s="287">
        <v>480</v>
      </c>
      <c r="U49" s="313">
        <f t="shared" ref="U49" si="164">T49/E49</f>
        <v>2.378386413467613E-2</v>
      </c>
      <c r="V49" s="287"/>
      <c r="W49" s="313">
        <f t="shared" si="58"/>
        <v>0</v>
      </c>
      <c r="X49" s="323">
        <f t="shared" si="46"/>
        <v>1</v>
      </c>
      <c r="Y49" s="81">
        <v>0</v>
      </c>
      <c r="Z49" s="81"/>
      <c r="AA49" s="84">
        <v>0</v>
      </c>
      <c r="AB49" s="85"/>
      <c r="AC49" s="84">
        <v>0</v>
      </c>
      <c r="AD49" s="81"/>
      <c r="AE49" s="195">
        <f>16260.79+2766.96</f>
        <v>19027.75</v>
      </c>
      <c r="AF49" s="231">
        <f>16260.79+2766.96</f>
        <v>19027.75</v>
      </c>
      <c r="AG49" s="84">
        <v>0</v>
      </c>
      <c r="AH49" s="81"/>
      <c r="AI49" s="84">
        <v>0</v>
      </c>
      <c r="AJ49" s="85"/>
      <c r="AK49" s="230">
        <f>D49-Y49-AA49-AC49-AE49-AG49-AI49</f>
        <v>1154</v>
      </c>
      <c r="AL49" s="231">
        <v>1153.9000000000001</v>
      </c>
      <c r="AM49" s="84">
        <f>D49-Y49-AA49-AC49-AE49-AG49-AI49-AK49</f>
        <v>0</v>
      </c>
      <c r="AN49" s="85"/>
      <c r="AO49" s="84">
        <f t="shared" si="134"/>
        <v>0</v>
      </c>
      <c r="AP49" s="85"/>
      <c r="AQ49" s="84">
        <f t="shared" si="135"/>
        <v>0</v>
      </c>
      <c r="AR49" s="85"/>
      <c r="AS49" s="84">
        <f t="shared" si="136"/>
        <v>0</v>
      </c>
      <c r="AT49" s="85"/>
      <c r="AU49" s="84">
        <f t="shared" si="137"/>
        <v>0</v>
      </c>
      <c r="AV49" s="81"/>
      <c r="AW49" s="214">
        <f t="shared" si="11"/>
        <v>0</v>
      </c>
    </row>
    <row r="50" spans="1:49" x14ac:dyDescent="0.35">
      <c r="A50" s="149" t="s">
        <v>623</v>
      </c>
      <c r="B50" s="180"/>
      <c r="C50" s="83">
        <v>138027</v>
      </c>
      <c r="D50" s="142">
        <f t="shared" ref="D50" si="165">C50</f>
        <v>138027</v>
      </c>
      <c r="E50" s="304"/>
      <c r="F50" s="287"/>
      <c r="G50" s="288" t="e">
        <f t="shared" si="126"/>
        <v>#DIV/0!</v>
      </c>
      <c r="H50" s="289"/>
      <c r="I50" s="290" t="e">
        <f t="shared" si="127"/>
        <v>#DIV/0!</v>
      </c>
      <c r="J50" s="287"/>
      <c r="K50" s="288" t="e">
        <f t="shared" si="128"/>
        <v>#DIV/0!</v>
      </c>
      <c r="L50" s="289"/>
      <c r="M50" s="290" t="e">
        <f t="shared" si="129"/>
        <v>#DIV/0!</v>
      </c>
      <c r="N50" s="287"/>
      <c r="O50" s="288" t="e">
        <f t="shared" si="130"/>
        <v>#DIV/0!</v>
      </c>
      <c r="P50" s="289"/>
      <c r="Q50" s="290" t="e">
        <f t="shared" si="131"/>
        <v>#DIV/0!</v>
      </c>
      <c r="R50" s="287"/>
      <c r="S50" s="313" t="e">
        <f t="shared" si="132"/>
        <v>#DIV/0!</v>
      </c>
      <c r="T50" s="287"/>
      <c r="U50" s="313" t="e">
        <f t="shared" si="133"/>
        <v>#DIV/0!</v>
      </c>
      <c r="V50" s="287"/>
      <c r="W50" s="313" t="e">
        <f t="shared" si="58"/>
        <v>#DIV/0!</v>
      </c>
      <c r="X50" s="323" t="e">
        <f t="shared" si="46"/>
        <v>#DIV/0!</v>
      </c>
      <c r="Y50" s="81">
        <v>0</v>
      </c>
      <c r="Z50" s="81"/>
      <c r="AA50" s="84">
        <v>0</v>
      </c>
      <c r="AB50" s="85"/>
      <c r="AC50" s="84">
        <v>0</v>
      </c>
      <c r="AD50" s="81"/>
      <c r="AE50" s="84">
        <v>0</v>
      </c>
      <c r="AF50" s="85"/>
      <c r="AG50" s="84">
        <v>0</v>
      </c>
      <c r="AH50" s="81"/>
      <c r="AI50" s="84">
        <v>0</v>
      </c>
      <c r="AJ50" s="85"/>
      <c r="AK50" s="84">
        <v>0</v>
      </c>
      <c r="AL50" s="85"/>
      <c r="AM50" s="84">
        <v>0</v>
      </c>
      <c r="AN50" s="85"/>
      <c r="AO50" s="84">
        <v>0</v>
      </c>
      <c r="AP50" s="85"/>
      <c r="AQ50" s="84">
        <v>0</v>
      </c>
      <c r="AR50" s="85"/>
      <c r="AS50" s="84">
        <v>0</v>
      </c>
      <c r="AT50" s="85"/>
      <c r="AU50" s="84">
        <v>0</v>
      </c>
      <c r="AV50" s="81"/>
      <c r="AW50" s="214">
        <f t="shared" si="11"/>
        <v>138027</v>
      </c>
    </row>
    <row r="51" spans="1:49" x14ac:dyDescent="0.35">
      <c r="A51" s="149" t="s">
        <v>622</v>
      </c>
      <c r="B51" s="180"/>
      <c r="C51" s="83">
        <v>83178</v>
      </c>
      <c r="D51" s="142">
        <f t="shared" ref="D51:D53" si="166">C51</f>
        <v>83178</v>
      </c>
      <c r="E51" s="304"/>
      <c r="F51" s="287"/>
      <c r="G51" s="288" t="e">
        <f t="shared" ref="G51:G56" si="167">F51/E51</f>
        <v>#DIV/0!</v>
      </c>
      <c r="H51" s="289"/>
      <c r="I51" s="290" t="e">
        <f t="shared" ref="I51:I56" si="168">H51/E51</f>
        <v>#DIV/0!</v>
      </c>
      <c r="J51" s="287"/>
      <c r="K51" s="288" t="e">
        <f t="shared" ref="K51:K56" si="169">J51/E51</f>
        <v>#DIV/0!</v>
      </c>
      <c r="L51" s="289"/>
      <c r="M51" s="290" t="e">
        <f t="shared" ref="M51:M56" si="170">L51/E51</f>
        <v>#DIV/0!</v>
      </c>
      <c r="N51" s="287"/>
      <c r="O51" s="288" t="e">
        <f t="shared" ref="O51:O56" si="171">N51/E51</f>
        <v>#DIV/0!</v>
      </c>
      <c r="P51" s="289"/>
      <c r="Q51" s="290" t="e">
        <f t="shared" ref="Q51:Q56" si="172">P51/E51</f>
        <v>#DIV/0!</v>
      </c>
      <c r="R51" s="287"/>
      <c r="S51" s="313" t="e">
        <f t="shared" ref="S51:S56" si="173">R51/E51</f>
        <v>#DIV/0!</v>
      </c>
      <c r="T51" s="287"/>
      <c r="U51" s="313" t="e">
        <f t="shared" ref="U51:U56" si="174">T51/E51</f>
        <v>#DIV/0!</v>
      </c>
      <c r="V51" s="287"/>
      <c r="W51" s="313" t="e">
        <f t="shared" si="58"/>
        <v>#DIV/0!</v>
      </c>
      <c r="X51" s="323" t="e">
        <f t="shared" si="46"/>
        <v>#DIV/0!</v>
      </c>
      <c r="Y51" s="81">
        <v>0</v>
      </c>
      <c r="Z51" s="81"/>
      <c r="AA51" s="84">
        <v>0</v>
      </c>
      <c r="AB51" s="85">
        <v>0</v>
      </c>
      <c r="AC51" s="84">
        <v>0</v>
      </c>
      <c r="AD51" s="81"/>
      <c r="AE51" s="84">
        <v>0</v>
      </c>
      <c r="AF51" s="85"/>
      <c r="AG51" s="84">
        <v>0</v>
      </c>
      <c r="AH51" s="81"/>
      <c r="AI51" s="84">
        <v>0</v>
      </c>
      <c r="AJ51" s="85"/>
      <c r="AK51" s="84">
        <v>0</v>
      </c>
      <c r="AL51" s="85"/>
      <c r="AM51" s="84">
        <v>0</v>
      </c>
      <c r="AN51" s="85"/>
      <c r="AO51" s="84">
        <v>0</v>
      </c>
      <c r="AP51" s="85"/>
      <c r="AQ51" s="84">
        <v>0</v>
      </c>
      <c r="AR51" s="85"/>
      <c r="AS51" s="84">
        <v>0</v>
      </c>
      <c r="AT51" s="85"/>
      <c r="AU51" s="84">
        <v>0</v>
      </c>
      <c r="AV51" s="81"/>
      <c r="AW51" s="214">
        <f t="shared" si="11"/>
        <v>83178</v>
      </c>
    </row>
    <row r="52" spans="1:49" x14ac:dyDescent="0.35">
      <c r="A52" s="149" t="s">
        <v>621</v>
      </c>
      <c r="B52" s="180"/>
      <c r="C52" s="83">
        <v>196601</v>
      </c>
      <c r="D52" s="142">
        <f t="shared" si="166"/>
        <v>196601</v>
      </c>
      <c r="E52" s="304"/>
      <c r="F52" s="287"/>
      <c r="G52" s="288" t="e">
        <f t="shared" si="167"/>
        <v>#DIV/0!</v>
      </c>
      <c r="H52" s="289"/>
      <c r="I52" s="290" t="e">
        <f t="shared" si="168"/>
        <v>#DIV/0!</v>
      </c>
      <c r="J52" s="287"/>
      <c r="K52" s="288" t="e">
        <f t="shared" si="169"/>
        <v>#DIV/0!</v>
      </c>
      <c r="L52" s="289"/>
      <c r="M52" s="290" t="e">
        <f t="shared" si="170"/>
        <v>#DIV/0!</v>
      </c>
      <c r="N52" s="287"/>
      <c r="O52" s="288" t="e">
        <f t="shared" si="171"/>
        <v>#DIV/0!</v>
      </c>
      <c r="P52" s="289"/>
      <c r="Q52" s="290" t="e">
        <f t="shared" si="172"/>
        <v>#DIV/0!</v>
      </c>
      <c r="R52" s="287"/>
      <c r="S52" s="313" t="e">
        <f t="shared" si="173"/>
        <v>#DIV/0!</v>
      </c>
      <c r="T52" s="287"/>
      <c r="U52" s="313" t="e">
        <f t="shared" si="174"/>
        <v>#DIV/0!</v>
      </c>
      <c r="V52" s="287"/>
      <c r="W52" s="313" t="e">
        <f t="shared" si="58"/>
        <v>#DIV/0!</v>
      </c>
      <c r="X52" s="323" t="e">
        <f t="shared" si="46"/>
        <v>#DIV/0!</v>
      </c>
      <c r="Y52" s="81">
        <v>0</v>
      </c>
      <c r="Z52" s="81"/>
      <c r="AA52" s="84">
        <v>0</v>
      </c>
      <c r="AB52" s="85"/>
      <c r="AC52" s="84">
        <v>0</v>
      </c>
      <c r="AD52" s="81"/>
      <c r="AE52" s="84">
        <v>0</v>
      </c>
      <c r="AF52" s="85"/>
      <c r="AG52" s="84">
        <v>0</v>
      </c>
      <c r="AH52" s="81"/>
      <c r="AI52" s="84">
        <v>0</v>
      </c>
      <c r="AJ52" s="85"/>
      <c r="AK52" s="84">
        <v>0</v>
      </c>
      <c r="AL52" s="85"/>
      <c r="AM52" s="84">
        <v>0</v>
      </c>
      <c r="AN52" s="85"/>
      <c r="AO52" s="84">
        <v>0</v>
      </c>
      <c r="AP52" s="85"/>
      <c r="AQ52" s="84">
        <v>0</v>
      </c>
      <c r="AR52" s="85"/>
      <c r="AS52" s="84">
        <v>0</v>
      </c>
      <c r="AT52" s="85"/>
      <c r="AU52" s="84">
        <v>0</v>
      </c>
      <c r="AV52" s="81"/>
      <c r="AW52" s="214">
        <v>196601</v>
      </c>
    </row>
    <row r="53" spans="1:49" x14ac:dyDescent="0.35">
      <c r="A53" s="149" t="s">
        <v>218</v>
      </c>
      <c r="B53" s="180"/>
      <c r="C53" s="83">
        <v>163185.65</v>
      </c>
      <c r="D53" s="142">
        <f t="shared" si="166"/>
        <v>163185.65</v>
      </c>
      <c r="E53" s="304"/>
      <c r="F53" s="287"/>
      <c r="G53" s="288" t="e">
        <f t="shared" si="167"/>
        <v>#DIV/0!</v>
      </c>
      <c r="H53" s="289"/>
      <c r="I53" s="290" t="e">
        <f t="shared" si="168"/>
        <v>#DIV/0!</v>
      </c>
      <c r="J53" s="287"/>
      <c r="K53" s="288" t="e">
        <f t="shared" si="169"/>
        <v>#DIV/0!</v>
      </c>
      <c r="L53" s="289"/>
      <c r="M53" s="290" t="e">
        <f t="shared" si="170"/>
        <v>#DIV/0!</v>
      </c>
      <c r="N53" s="287"/>
      <c r="O53" s="288" t="e">
        <f t="shared" si="171"/>
        <v>#DIV/0!</v>
      </c>
      <c r="P53" s="289"/>
      <c r="Q53" s="290" t="e">
        <f t="shared" si="172"/>
        <v>#DIV/0!</v>
      </c>
      <c r="R53" s="287"/>
      <c r="S53" s="313" t="e">
        <f t="shared" si="173"/>
        <v>#DIV/0!</v>
      </c>
      <c r="T53" s="287"/>
      <c r="U53" s="313" t="e">
        <f t="shared" si="174"/>
        <v>#DIV/0!</v>
      </c>
      <c r="V53" s="287"/>
      <c r="W53" s="313" t="e">
        <f t="shared" si="58"/>
        <v>#DIV/0!</v>
      </c>
      <c r="X53" s="323" t="e">
        <f t="shared" si="46"/>
        <v>#DIV/0!</v>
      </c>
      <c r="Y53" s="81">
        <v>0</v>
      </c>
      <c r="Z53" s="81"/>
      <c r="AA53" s="84">
        <v>0</v>
      </c>
      <c r="AB53" s="85"/>
      <c r="AC53" s="84">
        <v>0</v>
      </c>
      <c r="AD53" s="81"/>
      <c r="AE53" s="84">
        <v>0</v>
      </c>
      <c r="AF53" s="85"/>
      <c r="AG53" s="84">
        <v>0</v>
      </c>
      <c r="AH53" s="81"/>
      <c r="AI53" s="84">
        <v>0</v>
      </c>
      <c r="AJ53" s="85"/>
      <c r="AK53" s="84">
        <v>0</v>
      </c>
      <c r="AL53" s="85"/>
      <c r="AM53" s="84">
        <v>0</v>
      </c>
      <c r="AN53" s="85"/>
      <c r="AO53" s="84">
        <v>0</v>
      </c>
      <c r="AP53" s="85"/>
      <c r="AQ53" s="84">
        <v>0</v>
      </c>
      <c r="AR53" s="85"/>
      <c r="AS53" s="84">
        <v>0</v>
      </c>
      <c r="AT53" s="85"/>
      <c r="AU53" s="84">
        <v>0</v>
      </c>
      <c r="AV53" s="81"/>
      <c r="AW53" s="214">
        <f t="shared" ref="AW53:AW90" si="175">D53-Y53-AA53-AC53-AE53-AG53-AI53-AK53-AM53-AO53-AQ53-AS53-AU53</f>
        <v>163185.65</v>
      </c>
    </row>
    <row r="54" spans="1:49" x14ac:dyDescent="0.35">
      <c r="A54" s="149" t="s">
        <v>620</v>
      </c>
      <c r="B54" s="180"/>
      <c r="C54" s="83">
        <v>170733</v>
      </c>
      <c r="D54" s="107">
        <v>170733</v>
      </c>
      <c r="E54" s="304">
        <v>170733</v>
      </c>
      <c r="F54" s="287">
        <v>53934.83</v>
      </c>
      <c r="G54" s="288">
        <f t="shared" si="167"/>
        <v>0.31590161245921994</v>
      </c>
      <c r="H54" s="289">
        <v>17534.64</v>
      </c>
      <c r="I54" s="290">
        <f t="shared" si="168"/>
        <v>0.10270211382685245</v>
      </c>
      <c r="J54" s="287">
        <v>22411.88</v>
      </c>
      <c r="K54" s="288">
        <f t="shared" si="169"/>
        <v>0.13126858896639784</v>
      </c>
      <c r="L54" s="289">
        <f>8779.74+10918.11</f>
        <v>19697.849999999999</v>
      </c>
      <c r="M54" s="290">
        <f t="shared" si="170"/>
        <v>0.11537224789583735</v>
      </c>
      <c r="N54" s="287">
        <v>17028</v>
      </c>
      <c r="O54" s="288">
        <f t="shared" si="171"/>
        <v>9.973467343747254E-2</v>
      </c>
      <c r="P54" s="289">
        <v>25971.05</v>
      </c>
      <c r="Q54" s="290">
        <f t="shared" si="172"/>
        <v>0.15211499827215594</v>
      </c>
      <c r="R54" s="287">
        <v>13900</v>
      </c>
      <c r="S54" s="313">
        <f t="shared" si="173"/>
        <v>8.1413669296503899E-2</v>
      </c>
      <c r="T54" s="287">
        <v>1872</v>
      </c>
      <c r="U54" s="313">
        <f t="shared" si="174"/>
        <v>1.0964488411730597E-2</v>
      </c>
      <c r="V54" s="287"/>
      <c r="W54" s="313">
        <f t="shared" si="58"/>
        <v>0</v>
      </c>
      <c r="X54" s="323">
        <f t="shared" si="46"/>
        <v>1.0094723925661706</v>
      </c>
      <c r="Y54" s="81">
        <v>0</v>
      </c>
      <c r="Z54" s="81"/>
      <c r="AA54" s="84">
        <v>0</v>
      </c>
      <c r="AB54" s="85"/>
      <c r="AC54" s="84">
        <v>0</v>
      </c>
      <c r="AD54" s="81"/>
      <c r="AE54" s="84">
        <v>0</v>
      </c>
      <c r="AF54" s="85"/>
      <c r="AG54" s="84">
        <v>0</v>
      </c>
      <c r="AH54" s="81"/>
      <c r="AI54" s="84">
        <v>0</v>
      </c>
      <c r="AJ54" s="85"/>
      <c r="AK54" s="84">
        <v>0</v>
      </c>
      <c r="AL54" s="85"/>
      <c r="AM54" s="84">
        <v>0</v>
      </c>
      <c r="AN54" s="85"/>
      <c r="AO54" s="84">
        <v>0</v>
      </c>
      <c r="AP54" s="85"/>
      <c r="AQ54" s="84">
        <v>0</v>
      </c>
      <c r="AR54" s="85"/>
      <c r="AS54" s="230">
        <v>13930</v>
      </c>
      <c r="AT54" s="231">
        <v>13929.53</v>
      </c>
      <c r="AU54" s="84">
        <v>0</v>
      </c>
      <c r="AV54" s="81"/>
      <c r="AW54" s="214">
        <f t="shared" si="175"/>
        <v>156803</v>
      </c>
    </row>
    <row r="55" spans="1:49" x14ac:dyDescent="0.35">
      <c r="A55" s="149" t="s">
        <v>619</v>
      </c>
      <c r="B55" s="180"/>
      <c r="C55" s="83">
        <v>178242</v>
      </c>
      <c r="D55" s="107">
        <f>164389.64+8922.22</f>
        <v>173311.86000000002</v>
      </c>
      <c r="E55" s="304">
        <f>D55</f>
        <v>173311.86000000002</v>
      </c>
      <c r="F55" s="287"/>
      <c r="G55" s="288">
        <f t="shared" si="167"/>
        <v>0</v>
      </c>
      <c r="H55" s="289"/>
      <c r="I55" s="290">
        <f t="shared" si="168"/>
        <v>0</v>
      </c>
      <c r="J55" s="287"/>
      <c r="K55" s="288">
        <f t="shared" si="169"/>
        <v>0</v>
      </c>
      <c r="L55" s="289"/>
      <c r="M55" s="290">
        <f t="shared" si="170"/>
        <v>0</v>
      </c>
      <c r="N55" s="287"/>
      <c r="O55" s="288">
        <f t="shared" si="171"/>
        <v>0</v>
      </c>
      <c r="P55" s="289"/>
      <c r="Q55" s="290">
        <f t="shared" si="172"/>
        <v>0</v>
      </c>
      <c r="R55" s="287"/>
      <c r="S55" s="313">
        <f t="shared" si="173"/>
        <v>0</v>
      </c>
      <c r="T55" s="287"/>
      <c r="U55" s="313">
        <f t="shared" si="174"/>
        <v>0</v>
      </c>
      <c r="V55" s="287"/>
      <c r="W55" s="313">
        <f t="shared" si="58"/>
        <v>0</v>
      </c>
      <c r="X55" s="323">
        <f t="shared" si="46"/>
        <v>0</v>
      </c>
      <c r="Y55" s="81">
        <v>0</v>
      </c>
      <c r="Z55" s="81"/>
      <c r="AA55" s="84">
        <v>0</v>
      </c>
      <c r="AB55" s="85"/>
      <c r="AC55" s="84">
        <v>0</v>
      </c>
      <c r="AD55" s="81"/>
      <c r="AE55" s="84">
        <v>0</v>
      </c>
      <c r="AF55" s="85"/>
      <c r="AG55" s="84">
        <v>0</v>
      </c>
      <c r="AH55" s="81"/>
      <c r="AI55" s="84">
        <v>0</v>
      </c>
      <c r="AJ55" s="85"/>
      <c r="AK55" s="84">
        <v>0</v>
      </c>
      <c r="AL55" s="85"/>
      <c r="AM55" s="230">
        <v>16553</v>
      </c>
      <c r="AN55" s="231">
        <v>16552.509999999998</v>
      </c>
      <c r="AO55" s="230">
        <v>43969</v>
      </c>
      <c r="AP55" s="231">
        <v>43968.51</v>
      </c>
      <c r="AQ55" s="230">
        <v>40653</v>
      </c>
      <c r="AR55" s="231">
        <v>40652.959999999999</v>
      </c>
      <c r="AS55" s="230">
        <v>15126</v>
      </c>
      <c r="AT55" s="231">
        <v>15126.4</v>
      </c>
      <c r="AU55" s="230">
        <v>28665.26</v>
      </c>
      <c r="AV55" s="195">
        <v>28665.26</v>
      </c>
      <c r="AW55" s="214">
        <f t="shared" si="175"/>
        <v>28345.600000000017</v>
      </c>
    </row>
    <row r="56" spans="1:49" x14ac:dyDescent="0.35">
      <c r="A56" s="187" t="s">
        <v>618</v>
      </c>
      <c r="B56" s="180"/>
      <c r="C56" s="83">
        <v>13260.65</v>
      </c>
      <c r="D56" s="107">
        <f>C56</f>
        <v>13260.65</v>
      </c>
      <c r="E56" s="304">
        <v>13261</v>
      </c>
      <c r="F56" s="287"/>
      <c r="G56" s="288">
        <f t="shared" si="167"/>
        <v>0</v>
      </c>
      <c r="H56" s="289">
        <v>13261</v>
      </c>
      <c r="I56" s="290">
        <f t="shared" si="168"/>
        <v>1</v>
      </c>
      <c r="J56" s="287"/>
      <c r="K56" s="288">
        <f t="shared" si="169"/>
        <v>0</v>
      </c>
      <c r="L56" s="289"/>
      <c r="M56" s="290">
        <f t="shared" si="170"/>
        <v>0</v>
      </c>
      <c r="N56" s="287"/>
      <c r="O56" s="288">
        <f t="shared" si="171"/>
        <v>0</v>
      </c>
      <c r="P56" s="289"/>
      <c r="Q56" s="290">
        <f t="shared" si="172"/>
        <v>0</v>
      </c>
      <c r="R56" s="287"/>
      <c r="S56" s="313">
        <f t="shared" si="173"/>
        <v>0</v>
      </c>
      <c r="T56" s="287"/>
      <c r="U56" s="313">
        <f t="shared" si="174"/>
        <v>0</v>
      </c>
      <c r="V56" s="287"/>
      <c r="W56" s="313">
        <f t="shared" si="58"/>
        <v>0</v>
      </c>
      <c r="X56" s="323">
        <f t="shared" si="46"/>
        <v>1</v>
      </c>
      <c r="Y56" s="81">
        <v>0</v>
      </c>
      <c r="Z56" s="81"/>
      <c r="AA56" s="84">
        <v>0</v>
      </c>
      <c r="AB56" s="85"/>
      <c r="AC56" s="84">
        <v>0</v>
      </c>
      <c r="AD56" s="81"/>
      <c r="AE56" s="84">
        <v>0</v>
      </c>
      <c r="AF56" s="85"/>
      <c r="AG56" s="84">
        <v>0</v>
      </c>
      <c r="AH56" s="81"/>
      <c r="AI56" s="84">
        <v>0</v>
      </c>
      <c r="AJ56" s="85"/>
      <c r="AK56" s="84">
        <v>0</v>
      </c>
      <c r="AL56" s="85"/>
      <c r="AM56" s="84">
        <v>0</v>
      </c>
      <c r="AN56" s="85"/>
      <c r="AO56" s="84">
        <v>0</v>
      </c>
      <c r="AP56" s="85"/>
      <c r="AQ56" s="230">
        <v>12588</v>
      </c>
      <c r="AR56" s="231">
        <v>12588.48</v>
      </c>
      <c r="AS56" s="84">
        <v>0</v>
      </c>
      <c r="AT56" s="85"/>
      <c r="AU56" s="230">
        <f t="shared" ref="AU56:AU90" si="176">D56-Y56-AA56-AC56-AE56-AG56-AI56-AK56-AM56-AO56-AQ56-AS56</f>
        <v>672.64999999999964</v>
      </c>
      <c r="AV56" s="195">
        <v>672.17</v>
      </c>
      <c r="AW56" s="214">
        <f t="shared" si="175"/>
        <v>0</v>
      </c>
    </row>
    <row r="57" spans="1:49" x14ac:dyDescent="0.35">
      <c r="A57" s="159" t="s">
        <v>616</v>
      </c>
      <c r="B57" s="180"/>
      <c r="C57" s="83">
        <v>57246.74</v>
      </c>
      <c r="D57" s="107">
        <f t="shared" ref="D57:D68" si="177">C57</f>
        <v>57246.74</v>
      </c>
      <c r="E57" s="304">
        <v>67406</v>
      </c>
      <c r="F57" s="287">
        <v>7359</v>
      </c>
      <c r="G57" s="288">
        <f t="shared" ref="G57:G82" si="178">F57/E57</f>
        <v>0.10917425748449693</v>
      </c>
      <c r="H57" s="289">
        <v>4993</v>
      </c>
      <c r="I57" s="290">
        <f t="shared" ref="I57:I82" si="179">H57/E57</f>
        <v>7.4073524612052341E-2</v>
      </c>
      <c r="J57" s="287">
        <v>11674</v>
      </c>
      <c r="K57" s="288">
        <f t="shared" ref="K57:K82" si="180">J57/E57</f>
        <v>0.17318933032667716</v>
      </c>
      <c r="L57" s="289">
        <v>13893</v>
      </c>
      <c r="M57" s="290">
        <f t="shared" ref="M57:M82" si="181">L57/E57</f>
        <v>0.20610924843485742</v>
      </c>
      <c r="N57" s="287">
        <v>4112</v>
      </c>
      <c r="O57" s="288">
        <f t="shared" ref="O57:O82" si="182">N57/E57</f>
        <v>6.100347150105332E-2</v>
      </c>
      <c r="P57" s="289">
        <f>7669+1299</f>
        <v>8968</v>
      </c>
      <c r="Q57" s="290">
        <f t="shared" ref="Q57:Q82" si="183">P57/E57</f>
        <v>0.13304453609470968</v>
      </c>
      <c r="R57" s="287"/>
      <c r="S57" s="313">
        <f t="shared" ref="S57:S82" si="184">R57/E57</f>
        <v>0</v>
      </c>
      <c r="T57" s="287">
        <v>6248</v>
      </c>
      <c r="U57" s="313">
        <f t="shared" ref="U57:U87" si="185">T57/E57</f>
        <v>9.2692045218526545E-2</v>
      </c>
      <c r="V57" s="287">
        <v>10159</v>
      </c>
      <c r="W57" s="313">
        <f t="shared" si="58"/>
        <v>0.15071358632762663</v>
      </c>
      <c r="X57" s="323">
        <f t="shared" si="46"/>
        <v>1</v>
      </c>
      <c r="Y57" s="81">
        <v>0</v>
      </c>
      <c r="Z57" s="81"/>
      <c r="AA57" s="84">
        <v>0</v>
      </c>
      <c r="AB57" s="85"/>
      <c r="AC57" s="84">
        <v>0</v>
      </c>
      <c r="AD57" s="81"/>
      <c r="AE57" s="84">
        <v>0</v>
      </c>
      <c r="AF57" s="85"/>
      <c r="AG57" s="84">
        <v>0</v>
      </c>
      <c r="AH57" s="81"/>
      <c r="AI57" s="84">
        <v>0</v>
      </c>
      <c r="AJ57" s="85"/>
      <c r="AK57" s="84">
        <v>0</v>
      </c>
      <c r="AL57" s="85"/>
      <c r="AM57" s="84">
        <v>0</v>
      </c>
      <c r="AN57" s="85"/>
      <c r="AO57" s="84">
        <v>0</v>
      </c>
      <c r="AP57" s="85"/>
      <c r="AQ57" s="84">
        <v>0</v>
      </c>
      <c r="AR57" s="85"/>
      <c r="AS57" s="230">
        <v>6996</v>
      </c>
      <c r="AT57" s="231">
        <v>6995.59</v>
      </c>
      <c r="AU57" s="230">
        <v>27322.41</v>
      </c>
      <c r="AV57" s="195">
        <v>27322.41</v>
      </c>
      <c r="AW57" s="214">
        <f t="shared" si="175"/>
        <v>22928.329999999998</v>
      </c>
    </row>
    <row r="58" spans="1:49" x14ac:dyDescent="0.35">
      <c r="A58" s="159" t="s">
        <v>615</v>
      </c>
      <c r="B58" s="180"/>
      <c r="C58" s="83">
        <f>60487.58+1090.91-892.63-745.48</f>
        <v>59940.380000000005</v>
      </c>
      <c r="D58" s="107">
        <f t="shared" si="177"/>
        <v>59940.380000000005</v>
      </c>
      <c r="E58" s="304">
        <f>D58</f>
        <v>59940.380000000005</v>
      </c>
      <c r="F58" s="287">
        <v>8807</v>
      </c>
      <c r="G58" s="288">
        <f>F58/E58</f>
        <v>0.14692933211300963</v>
      </c>
      <c r="H58" s="289">
        <v>4317</v>
      </c>
      <c r="I58" s="290">
        <f t="shared" si="179"/>
        <v>7.2021565428847786E-2</v>
      </c>
      <c r="J58" s="287">
        <v>10750</v>
      </c>
      <c r="K58" s="288">
        <f t="shared" si="180"/>
        <v>0.17934487569147875</v>
      </c>
      <c r="L58" s="289">
        <v>13019</v>
      </c>
      <c r="M58" s="290">
        <f t="shared" si="181"/>
        <v>0.21719915689556854</v>
      </c>
      <c r="N58" s="287">
        <v>5331.3</v>
      </c>
      <c r="O58" s="288">
        <f t="shared" si="182"/>
        <v>8.8943380071998202E-2</v>
      </c>
      <c r="P58" s="289">
        <f>5441.67+691.41</f>
        <v>6133.08</v>
      </c>
      <c r="Q58" s="290">
        <f t="shared" si="183"/>
        <v>0.10231967164705995</v>
      </c>
      <c r="R58" s="287"/>
      <c r="S58" s="313">
        <f t="shared" si="184"/>
        <v>0</v>
      </c>
      <c r="T58" s="287">
        <f>4248.21+900</f>
        <v>5148.21</v>
      </c>
      <c r="U58" s="313">
        <f t="shared" si="185"/>
        <v>8.5888844882197932E-2</v>
      </c>
      <c r="V58" s="287">
        <v>6982</v>
      </c>
      <c r="W58" s="313">
        <f t="shared" si="58"/>
        <v>0.11648241135608416</v>
      </c>
      <c r="X58" s="323">
        <f t="shared" si="46"/>
        <v>1.0091292380862449</v>
      </c>
      <c r="Y58" s="81">
        <v>0</v>
      </c>
      <c r="Z58" s="81"/>
      <c r="AA58" s="84">
        <v>0</v>
      </c>
      <c r="AB58" s="85"/>
      <c r="AC58" s="84">
        <v>0</v>
      </c>
      <c r="AD58" s="81"/>
      <c r="AE58" s="84">
        <v>0</v>
      </c>
      <c r="AF58" s="85"/>
      <c r="AG58" s="84">
        <v>0</v>
      </c>
      <c r="AH58" s="81"/>
      <c r="AI58" s="84">
        <v>0</v>
      </c>
      <c r="AJ58" s="85"/>
      <c r="AK58" s="230">
        <v>8460</v>
      </c>
      <c r="AL58" s="231">
        <v>8459.86</v>
      </c>
      <c r="AM58" s="230">
        <v>32846</v>
      </c>
      <c r="AN58" s="231">
        <v>32845.589999999997</v>
      </c>
      <c r="AO58" s="230">
        <v>15232</v>
      </c>
      <c r="AP58" s="231">
        <f>15033.87+1090.9-892.63</f>
        <v>15232.140000000001</v>
      </c>
      <c r="AQ58" s="230">
        <v>2631</v>
      </c>
      <c r="AR58" s="231">
        <v>2630.55</v>
      </c>
      <c r="AS58" s="84">
        <v>0</v>
      </c>
      <c r="AT58" s="85"/>
      <c r="AU58" s="230">
        <f>D58-Y58-AA58-AC58-AE58-AG58-AI58-AK58-AM58-AO58-AQ58-AS58</f>
        <v>771.38000000000466</v>
      </c>
      <c r="AV58" s="195">
        <v>772</v>
      </c>
      <c r="AW58" s="214">
        <f t="shared" si="175"/>
        <v>0</v>
      </c>
    </row>
    <row r="59" spans="1:49" x14ac:dyDescent="0.35">
      <c r="A59" s="159" t="s">
        <v>614</v>
      </c>
      <c r="B59" s="180"/>
      <c r="C59" s="49">
        <f>48897.85-764.64</f>
        <v>48133.21</v>
      </c>
      <c r="D59" s="107">
        <f t="shared" si="177"/>
        <v>48133.21</v>
      </c>
      <c r="E59" s="304">
        <f>+D59</f>
        <v>48133.21</v>
      </c>
      <c r="F59" s="287">
        <v>13536</v>
      </c>
      <c r="G59" s="288">
        <f>F59/E59</f>
        <v>0.28121955714152452</v>
      </c>
      <c r="H59" s="289">
        <v>5714</v>
      </c>
      <c r="I59" s="290">
        <f t="shared" si="179"/>
        <v>0.11871221553684036</v>
      </c>
      <c r="J59" s="287">
        <v>12262</v>
      </c>
      <c r="K59" s="288">
        <f t="shared" si="180"/>
        <v>0.25475134527699272</v>
      </c>
      <c r="L59" s="289"/>
      <c r="M59" s="290">
        <f t="shared" si="181"/>
        <v>0</v>
      </c>
      <c r="N59" s="287">
        <v>4281</v>
      </c>
      <c r="O59" s="288">
        <f t="shared" si="182"/>
        <v>8.89406711083678E-2</v>
      </c>
      <c r="P59" s="289">
        <v>6419</v>
      </c>
      <c r="Q59" s="290">
        <f t="shared" si="183"/>
        <v>0.13335906747129478</v>
      </c>
      <c r="R59" s="287">
        <v>3576</v>
      </c>
      <c r="S59" s="313">
        <f t="shared" si="184"/>
        <v>7.4293819173913395E-2</v>
      </c>
      <c r="T59" s="287">
        <v>3110</v>
      </c>
      <c r="U59" s="313">
        <f t="shared" si="185"/>
        <v>6.4612353923621552E-2</v>
      </c>
      <c r="V59" s="287"/>
      <c r="W59" s="313">
        <f t="shared" si="58"/>
        <v>0</v>
      </c>
      <c r="X59" s="323">
        <f t="shared" si="46"/>
        <v>1.0158890296325551</v>
      </c>
      <c r="Y59" s="81">
        <v>0</v>
      </c>
      <c r="Z59" s="81"/>
      <c r="AA59" s="84">
        <v>0</v>
      </c>
      <c r="AB59" s="85"/>
      <c r="AC59" s="84">
        <v>0</v>
      </c>
      <c r="AD59" s="81"/>
      <c r="AE59" s="84">
        <v>0</v>
      </c>
      <c r="AF59" s="85"/>
      <c r="AG59" s="230">
        <v>7946</v>
      </c>
      <c r="AH59" s="195">
        <v>7945.93</v>
      </c>
      <c r="AI59" s="230">
        <v>22110</v>
      </c>
      <c r="AJ59" s="231">
        <v>22110.21</v>
      </c>
      <c r="AK59" s="230">
        <v>4227</v>
      </c>
      <c r="AL59" s="231">
        <v>4227.34</v>
      </c>
      <c r="AM59" s="230">
        <v>12263</v>
      </c>
      <c r="AN59" s="231">
        <v>12263.36</v>
      </c>
      <c r="AO59" s="84">
        <v>0</v>
      </c>
      <c r="AP59" s="85"/>
      <c r="AQ59" s="84">
        <v>0</v>
      </c>
      <c r="AR59" s="85"/>
      <c r="AS59" s="84">
        <v>0</v>
      </c>
      <c r="AT59" s="85"/>
      <c r="AU59" s="84">
        <v>0</v>
      </c>
      <c r="AV59" s="81"/>
      <c r="AW59" s="214">
        <f t="shared" si="175"/>
        <v>1587.2099999999991</v>
      </c>
    </row>
    <row r="60" spans="1:49" x14ac:dyDescent="0.35">
      <c r="A60" s="187" t="s">
        <v>612</v>
      </c>
      <c r="B60" s="180"/>
      <c r="C60" s="83">
        <v>5706.45</v>
      </c>
      <c r="D60" s="107">
        <f t="shared" si="177"/>
        <v>5706.45</v>
      </c>
      <c r="E60" s="304">
        <v>5706</v>
      </c>
      <c r="F60" s="287"/>
      <c r="G60" s="288">
        <f t="shared" si="178"/>
        <v>0</v>
      </c>
      <c r="H60" s="289">
        <v>5706</v>
      </c>
      <c r="I60" s="290">
        <f t="shared" si="179"/>
        <v>1</v>
      </c>
      <c r="J60" s="287"/>
      <c r="K60" s="288">
        <f t="shared" si="180"/>
        <v>0</v>
      </c>
      <c r="L60" s="289"/>
      <c r="M60" s="290">
        <f t="shared" si="181"/>
        <v>0</v>
      </c>
      <c r="N60" s="287"/>
      <c r="O60" s="288">
        <f t="shared" si="182"/>
        <v>0</v>
      </c>
      <c r="P60" s="289"/>
      <c r="Q60" s="290">
        <f t="shared" si="183"/>
        <v>0</v>
      </c>
      <c r="R60" s="287"/>
      <c r="S60" s="313">
        <f t="shared" si="184"/>
        <v>0</v>
      </c>
      <c r="T60" s="287"/>
      <c r="U60" s="313">
        <f t="shared" si="185"/>
        <v>0</v>
      </c>
      <c r="V60" s="287"/>
      <c r="W60" s="313">
        <f t="shared" si="58"/>
        <v>0</v>
      </c>
      <c r="X60" s="323">
        <f t="shared" si="46"/>
        <v>1</v>
      </c>
      <c r="Y60" s="81">
        <v>0</v>
      </c>
      <c r="Z60" s="81"/>
      <c r="AA60" s="230">
        <f>D60-Y60</f>
        <v>5706.45</v>
      </c>
      <c r="AB60" s="231">
        <v>5706</v>
      </c>
      <c r="AC60" s="84">
        <f>D60-Y60-AA60</f>
        <v>0</v>
      </c>
      <c r="AD60" s="81"/>
      <c r="AE60" s="84">
        <f>D60-Y60-AA60-AC60</f>
        <v>0</v>
      </c>
      <c r="AF60" s="85"/>
      <c r="AG60" s="230">
        <f>D60-Y60-AA60-AC60-AE60</f>
        <v>0</v>
      </c>
      <c r="AH60" s="195"/>
      <c r="AI60" s="84">
        <f>D60-Y60-AA60-AC60-AE60-AG60</f>
        <v>0</v>
      </c>
      <c r="AJ60" s="85"/>
      <c r="AK60" s="84">
        <f>D60-Y60-AA60-AC60-AE60-AG60-AI60</f>
        <v>0</v>
      </c>
      <c r="AL60" s="85"/>
      <c r="AM60" s="84">
        <f>D60-Y60-AA60-AC60-AE60-AG60-AI60-AK60</f>
        <v>0</v>
      </c>
      <c r="AN60" s="85"/>
      <c r="AO60" s="84">
        <f t="shared" ref="AO60:AO68" si="186">D60-Y60-AA60-AC60-AE60-AG60-AI60-AK60-AM60</f>
        <v>0</v>
      </c>
      <c r="AP60" s="85"/>
      <c r="AQ60" s="84">
        <f t="shared" ref="AQ60:AQ71" si="187">D60-Y60-AA60-AC60-AE60-AG60-AI60-AK60-AM60-AO60</f>
        <v>0</v>
      </c>
      <c r="AR60" s="85"/>
      <c r="AS60" s="84">
        <f t="shared" ref="AS60:AS85" si="188">D60-Y60-AA60-AC60-AE60-AG60-AI60-AK60-AM60-AO60-AQ60</f>
        <v>0</v>
      </c>
      <c r="AT60" s="85"/>
      <c r="AU60" s="84">
        <f t="shared" si="176"/>
        <v>0</v>
      </c>
      <c r="AV60" s="81"/>
      <c r="AW60" s="214">
        <f t="shared" si="175"/>
        <v>0</v>
      </c>
    </row>
    <row r="61" spans="1:49" x14ac:dyDescent="0.35">
      <c r="A61" s="159" t="s">
        <v>611</v>
      </c>
      <c r="B61" s="180"/>
      <c r="C61" s="83">
        <v>19413</v>
      </c>
      <c r="D61" s="107">
        <f>19413+281</f>
        <v>19694</v>
      </c>
      <c r="E61" s="304">
        <v>19413</v>
      </c>
      <c r="F61" s="287">
        <f>11667+4644</f>
        <v>16311</v>
      </c>
      <c r="G61" s="288">
        <f t="shared" si="178"/>
        <v>0.84021016844382634</v>
      </c>
      <c r="H61" s="289">
        <v>2335</v>
      </c>
      <c r="I61" s="290">
        <f t="shared" si="179"/>
        <v>0.1202802245917684</v>
      </c>
      <c r="J61" s="287"/>
      <c r="K61" s="288">
        <f t="shared" si="180"/>
        <v>0</v>
      </c>
      <c r="L61" s="289"/>
      <c r="M61" s="290">
        <f t="shared" si="181"/>
        <v>0</v>
      </c>
      <c r="N61" s="287"/>
      <c r="O61" s="288">
        <f t="shared" si="182"/>
        <v>0</v>
      </c>
      <c r="P61" s="289"/>
      <c r="Q61" s="290">
        <f t="shared" si="183"/>
        <v>0</v>
      </c>
      <c r="R61" s="287"/>
      <c r="S61" s="313">
        <f t="shared" si="184"/>
        <v>0</v>
      </c>
      <c r="T61" s="287">
        <v>768</v>
      </c>
      <c r="U61" s="313">
        <f t="shared" si="185"/>
        <v>3.9561118837892137E-2</v>
      </c>
      <c r="V61" s="287"/>
      <c r="W61" s="313">
        <f t="shared" si="58"/>
        <v>0</v>
      </c>
      <c r="X61" s="323">
        <f t="shared" si="46"/>
        <v>1.000051511873487</v>
      </c>
      <c r="Y61" s="81">
        <v>0</v>
      </c>
      <c r="Z61" s="81"/>
      <c r="AA61" s="84">
        <v>0</v>
      </c>
      <c r="AB61" s="85"/>
      <c r="AC61" s="84">
        <v>0</v>
      </c>
      <c r="AD61" s="81"/>
      <c r="AE61" s="230">
        <v>4256</v>
      </c>
      <c r="AF61" s="231">
        <v>4256.17</v>
      </c>
      <c r="AG61" s="230">
        <f>D61-Y61-AA61-AC61-AE61</f>
        <v>15438</v>
      </c>
      <c r="AH61" s="195">
        <v>15157.24</v>
      </c>
      <c r="AI61" s="84">
        <f>D61-Y61-AA61-AC61-AE61-AG61</f>
        <v>0</v>
      </c>
      <c r="AJ61" s="85"/>
      <c r="AK61" s="84">
        <f>D61-Y61-AA61-AC61-AE61-AG61-AI61</f>
        <v>0</v>
      </c>
      <c r="AL61" s="85"/>
      <c r="AM61" s="84">
        <f>D61-Y61-AA61-AC61-AE61-AG61-AI61-AK61</f>
        <v>0</v>
      </c>
      <c r="AN61" s="85"/>
      <c r="AO61" s="84">
        <f t="shared" si="186"/>
        <v>0</v>
      </c>
      <c r="AP61" s="85"/>
      <c r="AQ61" s="84">
        <f t="shared" si="187"/>
        <v>0</v>
      </c>
      <c r="AR61" s="85"/>
      <c r="AS61" s="84">
        <f t="shared" si="188"/>
        <v>0</v>
      </c>
      <c r="AT61" s="85"/>
      <c r="AU61" s="84">
        <f t="shared" si="176"/>
        <v>0</v>
      </c>
      <c r="AV61" s="81"/>
      <c r="AW61" s="214">
        <f t="shared" si="175"/>
        <v>0</v>
      </c>
    </row>
    <row r="62" spans="1:49" x14ac:dyDescent="0.35">
      <c r="A62" s="149" t="s">
        <v>613</v>
      </c>
      <c r="B62" s="180"/>
      <c r="C62" s="83">
        <f>149083.21+199</f>
        <v>149282.21</v>
      </c>
      <c r="D62" s="107">
        <f>C62</f>
        <v>149282.21</v>
      </c>
      <c r="E62" s="304">
        <f>149083+199.49</f>
        <v>149282.49</v>
      </c>
      <c r="F62" s="287">
        <v>52872</v>
      </c>
      <c r="G62" s="288">
        <f t="shared" si="178"/>
        <v>0.35417415666097213</v>
      </c>
      <c r="H62" s="289">
        <f>13736+3341</f>
        <v>17077</v>
      </c>
      <c r="I62" s="290">
        <f t="shared" si="179"/>
        <v>0.11439385824821116</v>
      </c>
      <c r="J62" s="287">
        <v>37534</v>
      </c>
      <c r="K62" s="288">
        <f t="shared" si="180"/>
        <v>0.25142935383781451</v>
      </c>
      <c r="L62" s="289"/>
      <c r="M62" s="290">
        <f t="shared" si="181"/>
        <v>0</v>
      </c>
      <c r="N62" s="287">
        <v>14618</v>
      </c>
      <c r="O62" s="288">
        <f t="shared" si="182"/>
        <v>9.7921732146884752E-2</v>
      </c>
      <c r="P62" s="289">
        <f>23322+2535+199</f>
        <v>26056</v>
      </c>
      <c r="Q62" s="290">
        <f t="shared" si="183"/>
        <v>0.17454156880689758</v>
      </c>
      <c r="R62" s="287"/>
      <c r="S62" s="313">
        <f t="shared" si="184"/>
        <v>0</v>
      </c>
      <c r="T62" s="287">
        <v>1125</v>
      </c>
      <c r="U62" s="313">
        <f t="shared" si="185"/>
        <v>7.5360479316763816E-3</v>
      </c>
      <c r="V62" s="287"/>
      <c r="W62" s="313">
        <f t="shared" si="58"/>
        <v>0</v>
      </c>
      <c r="X62" s="323">
        <f t="shared" si="46"/>
        <v>0.99999671763245646</v>
      </c>
      <c r="Y62" s="195">
        <v>17609.7</v>
      </c>
      <c r="Z62" s="355">
        <v>17609.650000000001</v>
      </c>
      <c r="AA62" s="84">
        <v>0</v>
      </c>
      <c r="AB62" s="85"/>
      <c r="AC62" s="230">
        <v>11269</v>
      </c>
      <c r="AD62" s="195">
        <v>11269</v>
      </c>
      <c r="AE62" s="230">
        <v>42133</v>
      </c>
      <c r="AF62" s="231">
        <v>42133.13</v>
      </c>
      <c r="AG62" s="230">
        <v>28032</v>
      </c>
      <c r="AH62" s="197">
        <v>28031.85</v>
      </c>
      <c r="AI62" s="230">
        <v>25299.56</v>
      </c>
      <c r="AJ62" s="231">
        <v>25299.56</v>
      </c>
      <c r="AK62" s="230">
        <v>15685</v>
      </c>
      <c r="AL62" s="231">
        <v>15685.26</v>
      </c>
      <c r="AM62" s="230">
        <v>7961</v>
      </c>
      <c r="AN62" s="231">
        <f>7761.55+199.49</f>
        <v>7961.04</v>
      </c>
      <c r="AO62" s="84">
        <v>0</v>
      </c>
      <c r="AP62" s="85"/>
      <c r="AQ62" s="230">
        <f t="shared" si="187"/>
        <v>1292.9499999999789</v>
      </c>
      <c r="AR62" s="231">
        <v>1293.01</v>
      </c>
      <c r="AS62" s="84">
        <f t="shared" si="188"/>
        <v>0</v>
      </c>
      <c r="AT62" s="85"/>
      <c r="AU62" s="84">
        <f t="shared" si="176"/>
        <v>0</v>
      </c>
      <c r="AV62" s="81"/>
      <c r="AW62" s="214">
        <f t="shared" si="175"/>
        <v>0</v>
      </c>
    </row>
    <row r="63" spans="1:49" x14ac:dyDescent="0.35">
      <c r="A63" s="353"/>
      <c r="B63" s="180"/>
      <c r="C63" s="83">
        <f>'2021-22'!AU20</f>
        <v>0</v>
      </c>
      <c r="D63" s="142">
        <f t="shared" si="177"/>
        <v>0</v>
      </c>
      <c r="E63" s="304">
        <f>D63</f>
        <v>0</v>
      </c>
      <c r="F63" s="287"/>
      <c r="G63" s="288" t="e">
        <f t="shared" si="178"/>
        <v>#DIV/0!</v>
      </c>
      <c r="H63" s="289"/>
      <c r="I63" s="290" t="e">
        <f t="shared" si="179"/>
        <v>#DIV/0!</v>
      </c>
      <c r="J63" s="287"/>
      <c r="K63" s="288" t="e">
        <f t="shared" si="180"/>
        <v>#DIV/0!</v>
      </c>
      <c r="L63" s="289"/>
      <c r="M63" s="290" t="e">
        <f t="shared" si="181"/>
        <v>#DIV/0!</v>
      </c>
      <c r="N63" s="287"/>
      <c r="O63" s="288" t="e">
        <f t="shared" si="182"/>
        <v>#DIV/0!</v>
      </c>
      <c r="P63" s="289"/>
      <c r="Q63" s="290" t="e">
        <f t="shared" si="183"/>
        <v>#DIV/0!</v>
      </c>
      <c r="R63" s="287"/>
      <c r="S63" s="313" t="e">
        <f t="shared" si="184"/>
        <v>#DIV/0!</v>
      </c>
      <c r="T63" s="287">
        <v>864</v>
      </c>
      <c r="U63" s="313" t="e">
        <f t="shared" si="185"/>
        <v>#DIV/0!</v>
      </c>
      <c r="V63" s="287"/>
      <c r="W63" s="313" t="e">
        <f t="shared" si="58"/>
        <v>#DIV/0!</v>
      </c>
      <c r="X63" s="323" t="e">
        <f t="shared" si="46"/>
        <v>#DIV/0!</v>
      </c>
      <c r="Y63" s="81">
        <v>0</v>
      </c>
      <c r="Z63" s="81"/>
      <c r="AA63" s="84">
        <f>D63-Y63</f>
        <v>0</v>
      </c>
      <c r="AB63" s="85"/>
      <c r="AC63" s="84">
        <f>D63-Y63-AA63</f>
        <v>0</v>
      </c>
      <c r="AD63" s="81"/>
      <c r="AE63" s="84">
        <f>D63-Y63-AA63-AC63</f>
        <v>0</v>
      </c>
      <c r="AF63" s="85"/>
      <c r="AG63" s="84">
        <f>D63-Y63-AA63-AC63-AE63</f>
        <v>0</v>
      </c>
      <c r="AH63" s="81"/>
      <c r="AI63" s="84">
        <f>D63-Y63-AA63-AC63-AE63-AG63</f>
        <v>0</v>
      </c>
      <c r="AJ63" s="85"/>
      <c r="AK63" s="84">
        <f>D63-Y63-AA63-AC63-AE63-AG63-AI63</f>
        <v>0</v>
      </c>
      <c r="AL63" s="85"/>
      <c r="AM63" s="84">
        <f>D63-Y63-AA63-AC63-AE63-AG63-AI63-AK63</f>
        <v>0</v>
      </c>
      <c r="AN63" s="85"/>
      <c r="AO63" s="84">
        <f t="shared" si="186"/>
        <v>0</v>
      </c>
      <c r="AP63" s="85"/>
      <c r="AQ63" s="84">
        <f t="shared" si="187"/>
        <v>0</v>
      </c>
      <c r="AR63" s="85"/>
      <c r="AS63" s="84">
        <f t="shared" si="188"/>
        <v>0</v>
      </c>
      <c r="AT63" s="85"/>
      <c r="AU63" s="84">
        <f t="shared" si="176"/>
        <v>0</v>
      </c>
      <c r="AV63" s="81"/>
      <c r="AW63" s="214">
        <f t="shared" si="175"/>
        <v>0</v>
      </c>
    </row>
    <row r="64" spans="1:49" x14ac:dyDescent="0.35">
      <c r="A64" s="159" t="s">
        <v>534</v>
      </c>
      <c r="B64" s="180"/>
      <c r="C64" s="83">
        <v>53419</v>
      </c>
      <c r="D64" s="107">
        <f>50297+3122-178.44</f>
        <v>53240.56</v>
      </c>
      <c r="E64" s="304">
        <f>D64</f>
        <v>53240.56</v>
      </c>
      <c r="F64" s="287">
        <v>8422</v>
      </c>
      <c r="G64" s="288">
        <f t="shared" si="178"/>
        <v>0.15818766744752497</v>
      </c>
      <c r="H64" s="289">
        <v>4679</v>
      </c>
      <c r="I64" s="290">
        <f t="shared" si="179"/>
        <v>8.7884124434453731E-2</v>
      </c>
      <c r="J64" s="287">
        <v>3784</v>
      </c>
      <c r="K64" s="288">
        <f t="shared" si="180"/>
        <v>7.1073632583879665E-2</v>
      </c>
      <c r="L64" s="289">
        <f>17734+3122</f>
        <v>20856</v>
      </c>
      <c r="M64" s="290">
        <f t="shared" si="181"/>
        <v>0.39173141679952278</v>
      </c>
      <c r="N64" s="287">
        <v>2220</v>
      </c>
      <c r="O64" s="288">
        <f t="shared" si="182"/>
        <v>4.1697532858407202E-2</v>
      </c>
      <c r="P64" s="289">
        <f>7926+1283</f>
        <v>9209</v>
      </c>
      <c r="Q64" s="290">
        <f t="shared" si="183"/>
        <v>0.17296963067255491</v>
      </c>
      <c r="R64" s="287"/>
      <c r="S64" s="313">
        <f t="shared" si="184"/>
        <v>0</v>
      </c>
      <c r="T64" s="287">
        <v>4248</v>
      </c>
      <c r="U64" s="313">
        <f t="shared" si="185"/>
        <v>7.9788792604735939E-2</v>
      </c>
      <c r="V64" s="287"/>
      <c r="W64" s="313">
        <f t="shared" si="58"/>
        <v>0</v>
      </c>
      <c r="X64" s="323">
        <f t="shared" si="46"/>
        <v>1.0033327974010791</v>
      </c>
      <c r="Y64" s="81">
        <v>0</v>
      </c>
      <c r="Z64" s="81"/>
      <c r="AA64" s="84">
        <v>0</v>
      </c>
      <c r="AB64" s="85"/>
      <c r="AC64" s="84">
        <v>0</v>
      </c>
      <c r="AD64" s="81"/>
      <c r="AE64" s="84">
        <v>0</v>
      </c>
      <c r="AF64" s="85"/>
      <c r="AG64" s="84">
        <v>0</v>
      </c>
      <c r="AH64" s="81"/>
      <c r="AI64" s="230">
        <v>7992.39</v>
      </c>
      <c r="AJ64" s="231">
        <v>7992.39</v>
      </c>
      <c r="AK64" s="230">
        <v>6787</v>
      </c>
      <c r="AL64" s="231">
        <v>6786.97</v>
      </c>
      <c r="AM64" s="230">
        <v>10036</v>
      </c>
      <c r="AN64" s="65">
        <v>10035.64</v>
      </c>
      <c r="AO64" s="230">
        <v>23785.22</v>
      </c>
      <c r="AP64" s="231">
        <v>23785.22</v>
      </c>
      <c r="AQ64" s="230">
        <v>4146</v>
      </c>
      <c r="AR64" s="231">
        <f>3121.57+1024.29</f>
        <v>4145.8600000000006</v>
      </c>
      <c r="AS64" s="84">
        <v>0</v>
      </c>
      <c r="AT64" s="85"/>
      <c r="AU64" s="281">
        <v>0</v>
      </c>
      <c r="AV64" s="81"/>
      <c r="AW64" s="214">
        <f>D64-Y64-AA64-AC64-AE64-AG64-AI64-AK64-AM64-AO64-AQ64-AS64-AU64</f>
        <v>493.94999999999709</v>
      </c>
    </row>
    <row r="65" spans="1:49" x14ac:dyDescent="0.35">
      <c r="A65" s="159" t="s">
        <v>608</v>
      </c>
      <c r="B65" s="180"/>
      <c r="C65" s="83">
        <v>24062</v>
      </c>
      <c r="D65" s="107">
        <f>C65-335.83-243.7</f>
        <v>23482.469999999998</v>
      </c>
      <c r="E65" s="304">
        <f>D65</f>
        <v>23482.469999999998</v>
      </c>
      <c r="F65" s="287">
        <v>3747.96</v>
      </c>
      <c r="G65" s="288">
        <f t="shared" si="178"/>
        <v>0.15960671939536175</v>
      </c>
      <c r="H65" s="289">
        <v>1882</v>
      </c>
      <c r="I65" s="290">
        <f t="shared" si="179"/>
        <v>8.0144891061289553E-2</v>
      </c>
      <c r="J65" s="287">
        <v>3485</v>
      </c>
      <c r="K65" s="288">
        <f t="shared" si="180"/>
        <v>0.1484085788249703</v>
      </c>
      <c r="L65" s="289">
        <v>6162</v>
      </c>
      <c r="M65" s="290">
        <f t="shared" si="181"/>
        <v>0.26240851154073658</v>
      </c>
      <c r="N65" s="287">
        <v>1839</v>
      </c>
      <c r="O65" s="288">
        <f t="shared" si="182"/>
        <v>7.8313737864883895E-2</v>
      </c>
      <c r="P65" s="289">
        <v>3672</v>
      </c>
      <c r="Q65" s="290">
        <f t="shared" si="183"/>
        <v>0.15637196598143213</v>
      </c>
      <c r="R65" s="287"/>
      <c r="S65" s="313">
        <f t="shared" si="184"/>
        <v>0</v>
      </c>
      <c r="T65" s="287">
        <v>3273.82</v>
      </c>
      <c r="U65" s="313">
        <f t="shared" si="185"/>
        <v>0.13941548738271572</v>
      </c>
      <c r="V65" s="287"/>
      <c r="W65" s="313">
        <f t="shared" si="58"/>
        <v>0</v>
      </c>
      <c r="X65" s="323">
        <f t="shared" si="46"/>
        <v>1.0246698920513899</v>
      </c>
      <c r="Y65" s="81">
        <v>0</v>
      </c>
      <c r="Z65" s="81"/>
      <c r="AA65" s="84">
        <v>0</v>
      </c>
      <c r="AB65" s="85"/>
      <c r="AC65" s="84">
        <v>0</v>
      </c>
      <c r="AD65" s="81"/>
      <c r="AE65" s="84">
        <v>0</v>
      </c>
      <c r="AF65" s="85"/>
      <c r="AG65" s="84">
        <v>0</v>
      </c>
      <c r="AH65" s="81"/>
      <c r="AI65" s="230">
        <v>9314</v>
      </c>
      <c r="AJ65" s="231">
        <v>9314.1200000000008</v>
      </c>
      <c r="AK65" s="230">
        <v>9523</v>
      </c>
      <c r="AL65" s="231">
        <v>9522.5400000000009</v>
      </c>
      <c r="AM65" s="230">
        <v>2974.63</v>
      </c>
      <c r="AN65" s="231">
        <v>2974.63</v>
      </c>
      <c r="AO65" s="84">
        <v>0</v>
      </c>
      <c r="AP65" s="85"/>
      <c r="AQ65" s="230">
        <f>AR65</f>
        <v>1228.7</v>
      </c>
      <c r="AR65" s="231">
        <f>1564.53-335.83</f>
        <v>1228.7</v>
      </c>
      <c r="AS65" s="84">
        <v>0</v>
      </c>
      <c r="AT65" s="85"/>
      <c r="AU65" s="230">
        <f t="shared" si="176"/>
        <v>442.13999999999737</v>
      </c>
      <c r="AV65" s="195">
        <v>442.63</v>
      </c>
      <c r="AW65" s="214">
        <f>D65-Y65-AA65-AC65-AE65-AG65-AI65-AK65-AM65-AO65-AQ65-AS65-AU65</f>
        <v>0</v>
      </c>
    </row>
    <row r="66" spans="1:49" x14ac:dyDescent="0.35">
      <c r="A66" s="159" t="s">
        <v>607</v>
      </c>
      <c r="B66" s="180"/>
      <c r="C66" s="83">
        <v>30351</v>
      </c>
      <c r="D66" s="107">
        <v>30351</v>
      </c>
      <c r="E66" s="304">
        <v>30351</v>
      </c>
      <c r="F66" s="287">
        <v>6800</v>
      </c>
      <c r="G66" s="288">
        <f t="shared" si="178"/>
        <v>0.22404533623274356</v>
      </c>
      <c r="H66" s="289">
        <v>887</v>
      </c>
      <c r="I66" s="290">
        <f t="shared" si="179"/>
        <v>2.9224737240947578E-2</v>
      </c>
      <c r="J66" s="287">
        <v>9868</v>
      </c>
      <c r="K66" s="288">
        <f t="shared" si="180"/>
        <v>0.32512932028598729</v>
      </c>
      <c r="L66" s="289">
        <v>10014</v>
      </c>
      <c r="M66" s="290">
        <f t="shared" si="181"/>
        <v>0.32993970544627854</v>
      </c>
      <c r="N66" s="287">
        <v>2381</v>
      </c>
      <c r="O66" s="288">
        <f t="shared" si="182"/>
        <v>7.8448815525023891E-2</v>
      </c>
      <c r="P66" s="289"/>
      <c r="Q66" s="290">
        <f t="shared" si="183"/>
        <v>0</v>
      </c>
      <c r="R66" s="287"/>
      <c r="S66" s="313">
        <f t="shared" si="184"/>
        <v>0</v>
      </c>
      <c r="T66" s="287">
        <v>400</v>
      </c>
      <c r="U66" s="313">
        <f t="shared" si="185"/>
        <v>1.3179137425455505E-2</v>
      </c>
      <c r="V66" s="287"/>
      <c r="W66" s="313">
        <f t="shared" si="58"/>
        <v>0</v>
      </c>
      <c r="X66" s="323">
        <f t="shared" si="46"/>
        <v>0.99996705215643633</v>
      </c>
      <c r="Y66" s="81">
        <v>0</v>
      </c>
      <c r="Z66" s="81"/>
      <c r="AA66" s="84">
        <v>0</v>
      </c>
      <c r="AB66" s="85"/>
      <c r="AC66" s="84">
        <v>0</v>
      </c>
      <c r="AD66" s="81"/>
      <c r="AE66" s="84">
        <v>0</v>
      </c>
      <c r="AF66" s="85"/>
      <c r="AG66" s="84">
        <v>0</v>
      </c>
      <c r="AH66" s="81"/>
      <c r="AI66" s="84">
        <v>0</v>
      </c>
      <c r="AJ66" s="85"/>
      <c r="AK66" s="84">
        <v>0</v>
      </c>
      <c r="AL66" s="85"/>
      <c r="AM66" s="84">
        <v>0</v>
      </c>
      <c r="AN66" s="85"/>
      <c r="AO66" s="230">
        <v>5420</v>
      </c>
      <c r="AP66" s="231">
        <v>5419.6</v>
      </c>
      <c r="AQ66" s="230">
        <v>14607</v>
      </c>
      <c r="AR66" s="231">
        <v>14606.7</v>
      </c>
      <c r="AS66" s="230">
        <v>10087</v>
      </c>
      <c r="AT66" s="231">
        <v>10087.08</v>
      </c>
      <c r="AU66" s="230">
        <f t="shared" si="176"/>
        <v>237</v>
      </c>
      <c r="AV66" s="195">
        <v>237</v>
      </c>
      <c r="AW66" s="214">
        <f t="shared" si="175"/>
        <v>0</v>
      </c>
    </row>
    <row r="67" spans="1:49" s="350" customFormat="1" x14ac:dyDescent="0.35">
      <c r="A67" s="151" t="s">
        <v>606</v>
      </c>
      <c r="B67" s="167"/>
      <c r="C67" s="107">
        <v>102485</v>
      </c>
      <c r="D67" s="107">
        <f>98138.87+4346.22</f>
        <v>102485.09</v>
      </c>
      <c r="E67" s="304">
        <f>D67</f>
        <v>102485.09</v>
      </c>
      <c r="F67" s="291"/>
      <c r="G67" s="292">
        <f t="shared" si="178"/>
        <v>0</v>
      </c>
      <c r="H67" s="293"/>
      <c r="I67" s="344">
        <f t="shared" si="179"/>
        <v>0</v>
      </c>
      <c r="J67" s="291">
        <f>7502+3850+3310</f>
        <v>14662</v>
      </c>
      <c r="K67" s="292">
        <f t="shared" si="180"/>
        <v>0.14306471312070859</v>
      </c>
      <c r="L67" s="293">
        <f>44865-7502-3850</f>
        <v>33513</v>
      </c>
      <c r="M67" s="344">
        <f t="shared" si="181"/>
        <v>0.32700366463063069</v>
      </c>
      <c r="N67" s="291">
        <f>16920+19651</f>
        <v>36571</v>
      </c>
      <c r="O67" s="292">
        <f t="shared" si="182"/>
        <v>0.35684215138026421</v>
      </c>
      <c r="P67" s="293">
        <f>9640</f>
        <v>9640</v>
      </c>
      <c r="Q67" s="344">
        <f t="shared" si="183"/>
        <v>9.4062463134881383E-2</v>
      </c>
      <c r="R67" s="291">
        <v>8300</v>
      </c>
      <c r="S67" s="345">
        <f t="shared" si="184"/>
        <v>8.098739045845596E-2</v>
      </c>
      <c r="T67" s="291"/>
      <c r="U67" s="345">
        <f t="shared" si="185"/>
        <v>0</v>
      </c>
      <c r="V67" s="291"/>
      <c r="W67" s="313">
        <f t="shared" si="58"/>
        <v>0</v>
      </c>
      <c r="X67" s="323">
        <f t="shared" si="46"/>
        <v>1.0019603827249408</v>
      </c>
      <c r="Y67" s="196"/>
      <c r="Z67" s="196"/>
      <c r="AA67" s="343">
        <f>30240.32+26657.11</f>
        <v>56897.43</v>
      </c>
      <c r="AB67" s="351">
        <f>AA67</f>
        <v>56897.43</v>
      </c>
      <c r="AC67" s="343">
        <v>22463</v>
      </c>
      <c r="AD67" s="196">
        <v>22463.22</v>
      </c>
      <c r="AE67" s="343">
        <v>13619.29</v>
      </c>
      <c r="AF67" s="351">
        <v>13619.29</v>
      </c>
      <c r="AG67" s="281">
        <v>0</v>
      </c>
      <c r="AH67" s="347"/>
      <c r="AI67" s="281">
        <v>0</v>
      </c>
      <c r="AJ67" s="348"/>
      <c r="AK67" s="281">
        <v>0</v>
      </c>
      <c r="AL67" s="348"/>
      <c r="AM67" s="281">
        <v>0</v>
      </c>
      <c r="AN67" s="348"/>
      <c r="AO67" s="343">
        <v>5159</v>
      </c>
      <c r="AP67" s="351">
        <v>5158.87</v>
      </c>
      <c r="AQ67" s="343">
        <f t="shared" si="187"/>
        <v>4346.3699999999953</v>
      </c>
      <c r="AR67" s="351">
        <v>4346.22</v>
      </c>
      <c r="AS67" s="281">
        <f t="shared" si="188"/>
        <v>0</v>
      </c>
      <c r="AT67" s="348"/>
      <c r="AU67" s="281">
        <f t="shared" si="176"/>
        <v>0</v>
      </c>
      <c r="AV67" s="347"/>
      <c r="AW67" s="349">
        <f t="shared" si="175"/>
        <v>0</v>
      </c>
    </row>
    <row r="68" spans="1:49" x14ac:dyDescent="0.35">
      <c r="A68" s="187" t="s">
        <v>605</v>
      </c>
      <c r="B68" s="180"/>
      <c r="C68" s="83">
        <f>'2021-22'!AU26</f>
        <v>15510.440000000002</v>
      </c>
      <c r="D68" s="107">
        <f t="shared" si="177"/>
        <v>15510.440000000002</v>
      </c>
      <c r="E68" s="304">
        <f>D68</f>
        <v>15510.440000000002</v>
      </c>
      <c r="F68" s="287"/>
      <c r="G68" s="288">
        <f t="shared" si="178"/>
        <v>0</v>
      </c>
      <c r="H68" s="289">
        <f>E68-480-576</f>
        <v>14454.440000000002</v>
      </c>
      <c r="I68" s="290">
        <f t="shared" si="179"/>
        <v>0.93191682505460838</v>
      </c>
      <c r="J68" s="287"/>
      <c r="K68" s="288">
        <f t="shared" si="180"/>
        <v>0</v>
      </c>
      <c r="L68" s="289"/>
      <c r="M68" s="290">
        <f t="shared" si="181"/>
        <v>0</v>
      </c>
      <c r="N68" s="287"/>
      <c r="O68" s="288">
        <f t="shared" si="182"/>
        <v>0</v>
      </c>
      <c r="P68" s="289"/>
      <c r="Q68" s="290">
        <f t="shared" si="183"/>
        <v>0</v>
      </c>
      <c r="R68" s="287"/>
      <c r="S68" s="313">
        <f>R68/E68</f>
        <v>0</v>
      </c>
      <c r="T68" s="287">
        <f>E68-H68</f>
        <v>1056</v>
      </c>
      <c r="U68" s="313">
        <f t="shared" si="185"/>
        <v>6.8083174945391609E-2</v>
      </c>
      <c r="V68" s="287"/>
      <c r="W68" s="313">
        <f t="shared" si="58"/>
        <v>0</v>
      </c>
      <c r="X68" s="323">
        <f t="shared" si="46"/>
        <v>1</v>
      </c>
      <c r="Y68" s="81">
        <v>0</v>
      </c>
      <c r="Z68" s="81"/>
      <c r="AA68" s="84"/>
      <c r="AB68" s="85"/>
      <c r="AC68" s="84"/>
      <c r="AD68" s="81"/>
      <c r="AE68" s="230">
        <f>D68-Y68-AA68-AC68</f>
        <v>15510.440000000002</v>
      </c>
      <c r="AF68" s="231">
        <f>9536.41+5974.02</f>
        <v>15510.43</v>
      </c>
      <c r="AG68" s="84">
        <f>D68-Y68-AA68-AC68-AE68</f>
        <v>0</v>
      </c>
      <c r="AH68" s="81"/>
      <c r="AI68" s="84">
        <f>D68-Y68-AA68-AC68-AE68-AG68</f>
        <v>0</v>
      </c>
      <c r="AJ68" s="85"/>
      <c r="AK68" s="84">
        <f>D68-Y68-AA68-AC68-AE68-AG68-AI68</f>
        <v>0</v>
      </c>
      <c r="AL68" s="85"/>
      <c r="AM68" s="84">
        <f>D68-Y68-AA68-AC68-AE68-AG68-AI68-AK68</f>
        <v>0</v>
      </c>
      <c r="AN68" s="85"/>
      <c r="AO68" s="84">
        <f t="shared" si="186"/>
        <v>0</v>
      </c>
      <c r="AP68" s="85"/>
      <c r="AQ68" s="84">
        <f t="shared" si="187"/>
        <v>0</v>
      </c>
      <c r="AR68" s="85"/>
      <c r="AS68" s="84">
        <f t="shared" si="188"/>
        <v>0</v>
      </c>
      <c r="AT68" s="85"/>
      <c r="AU68" s="84">
        <f t="shared" si="176"/>
        <v>0</v>
      </c>
      <c r="AV68" s="81"/>
      <c r="AW68" s="214">
        <f t="shared" si="175"/>
        <v>0</v>
      </c>
    </row>
    <row r="69" spans="1:49" x14ac:dyDescent="0.35">
      <c r="A69" s="159" t="s">
        <v>617</v>
      </c>
      <c r="B69" s="180"/>
      <c r="C69" s="83">
        <v>58074.51</v>
      </c>
      <c r="D69" s="107">
        <f>C69+3153.44</f>
        <v>61227.950000000004</v>
      </c>
      <c r="E69" s="304">
        <f>D69</f>
        <v>61227.950000000004</v>
      </c>
      <c r="F69" s="287">
        <f>4385+1403+1374+518</f>
        <v>7680</v>
      </c>
      <c r="G69" s="288">
        <f t="shared" si="178"/>
        <v>0.1254329109499828</v>
      </c>
      <c r="H69" s="289">
        <f>7300+410+578</f>
        <v>8288</v>
      </c>
      <c r="I69" s="290">
        <f t="shared" si="179"/>
        <v>0.13536301640018977</v>
      </c>
      <c r="J69" s="287">
        <f>6870+1814+1863+2550</f>
        <v>13097</v>
      </c>
      <c r="K69" s="288">
        <f t="shared" si="180"/>
        <v>0.21390557743644853</v>
      </c>
      <c r="L69" s="289">
        <f>7045+2558+2570</f>
        <v>12173</v>
      </c>
      <c r="M69" s="290">
        <f t="shared" si="181"/>
        <v>0.19881443033777874</v>
      </c>
      <c r="N69" s="287">
        <f>1647+933+153</f>
        <v>2733</v>
      </c>
      <c r="O69" s="288">
        <f t="shared" si="182"/>
        <v>4.4636477295091535E-2</v>
      </c>
      <c r="P69" s="289">
        <f>5446+10093+1356+2848+976+1124</f>
        <v>21843</v>
      </c>
      <c r="Q69" s="290">
        <f t="shared" si="183"/>
        <v>0.35674883774485344</v>
      </c>
      <c r="R69" s="287"/>
      <c r="S69" s="313">
        <f t="shared" si="184"/>
        <v>0</v>
      </c>
      <c r="T69" s="287">
        <v>1260</v>
      </c>
      <c r="U69" s="313">
        <f t="shared" si="185"/>
        <v>2.0578836952731553E-2</v>
      </c>
      <c r="V69" s="287"/>
      <c r="W69" s="313">
        <f t="shared" si="58"/>
        <v>0</v>
      </c>
      <c r="X69" s="323">
        <f t="shared" si="46"/>
        <v>1.0954800871170765</v>
      </c>
      <c r="Y69" s="81">
        <v>0</v>
      </c>
      <c r="Z69" s="81"/>
      <c r="AA69" s="84">
        <v>0</v>
      </c>
      <c r="AB69" s="85"/>
      <c r="AC69" s="84">
        <v>0</v>
      </c>
      <c r="AD69" s="81"/>
      <c r="AE69" s="84">
        <v>0</v>
      </c>
      <c r="AF69" s="85"/>
      <c r="AG69" s="84">
        <v>0</v>
      </c>
      <c r="AH69" s="81"/>
      <c r="AI69" s="84">
        <v>0</v>
      </c>
      <c r="AJ69" s="85"/>
      <c r="AK69" s="84">
        <v>0</v>
      </c>
      <c r="AL69" s="85"/>
      <c r="AM69" s="230">
        <v>6914</v>
      </c>
      <c r="AN69" s="231">
        <v>6914</v>
      </c>
      <c r="AO69" s="84">
        <v>0</v>
      </c>
      <c r="AP69" s="85"/>
      <c r="AQ69" s="84">
        <v>0</v>
      </c>
      <c r="AR69" s="85"/>
      <c r="AS69" s="230">
        <v>11944</v>
      </c>
      <c r="AT69" s="231">
        <v>11944.28</v>
      </c>
      <c r="AU69" s="230">
        <v>19047</v>
      </c>
      <c r="AV69" s="195">
        <f>15893.77+3153.44</f>
        <v>19047.21</v>
      </c>
      <c r="AW69" s="214">
        <f t="shared" si="175"/>
        <v>23322.950000000004</v>
      </c>
    </row>
    <row r="70" spans="1:49" x14ac:dyDescent="0.35">
      <c r="A70" s="159" t="s">
        <v>602</v>
      </c>
      <c r="B70" s="180"/>
      <c r="C70" s="83">
        <f>48991+2016</f>
        <v>51007</v>
      </c>
      <c r="D70" s="107">
        <v>51007</v>
      </c>
      <c r="E70" s="304">
        <f>D70</f>
        <v>51007</v>
      </c>
      <c r="F70" s="287">
        <f>17111.92+730</f>
        <v>17841.919999999998</v>
      </c>
      <c r="G70" s="288">
        <f t="shared" si="178"/>
        <v>0.34979355774697585</v>
      </c>
      <c r="H70" s="289">
        <f>7777.07+673</f>
        <v>8450.07</v>
      </c>
      <c r="I70" s="290">
        <f t="shared" si="179"/>
        <v>0.16566490873801634</v>
      </c>
      <c r="J70" s="287"/>
      <c r="K70" s="288">
        <f t="shared" si="180"/>
        <v>0</v>
      </c>
      <c r="L70" s="289">
        <f>17708.7+307</f>
        <v>18015.7</v>
      </c>
      <c r="M70" s="290">
        <f t="shared" si="181"/>
        <v>0.35320054110220167</v>
      </c>
      <c r="N70" s="287">
        <f>4953.44+307</f>
        <v>5260.44</v>
      </c>
      <c r="O70" s="288">
        <f t="shared" si="182"/>
        <v>0.10313172701786029</v>
      </c>
      <c r="P70" s="289"/>
      <c r="Q70" s="290">
        <f t="shared" si="183"/>
        <v>0</v>
      </c>
      <c r="R70" s="287"/>
      <c r="S70" s="313">
        <f t="shared" si="184"/>
        <v>0</v>
      </c>
      <c r="T70" s="287">
        <v>1440</v>
      </c>
      <c r="U70" s="313">
        <f t="shared" si="185"/>
        <v>2.823141921697022E-2</v>
      </c>
      <c r="V70" s="287"/>
      <c r="W70" s="313">
        <f t="shared" si="58"/>
        <v>0</v>
      </c>
      <c r="X70" s="323">
        <f t="shared" si="46"/>
        <v>1.0000221538220244</v>
      </c>
      <c r="Y70" s="81">
        <v>0</v>
      </c>
      <c r="Z70" s="81"/>
      <c r="AA70" s="230">
        <v>9798</v>
      </c>
      <c r="AB70" s="231">
        <v>9798.3700000000008</v>
      </c>
      <c r="AC70" s="230">
        <v>21962</v>
      </c>
      <c r="AD70" s="195">
        <v>21962.34</v>
      </c>
      <c r="AE70" s="230">
        <v>4296.8500000000004</v>
      </c>
      <c r="AF70" s="231">
        <v>4296.8500000000004</v>
      </c>
      <c r="AG70" s="84">
        <v>0</v>
      </c>
      <c r="AH70" s="81"/>
      <c r="AI70" s="84">
        <v>0</v>
      </c>
      <c r="AJ70" s="85"/>
      <c r="AK70" s="84">
        <v>0</v>
      </c>
      <c r="AL70" s="85"/>
      <c r="AM70" s="230">
        <v>14950</v>
      </c>
      <c r="AN70" s="231">
        <f>12933.57+2016</f>
        <v>14949.57</v>
      </c>
      <c r="AO70" s="84">
        <f>D70-Y70-AA70-AC70-AE70-AG70-AI70-AK70-AM70</f>
        <v>0.1499999999996362</v>
      </c>
      <c r="AP70" s="85"/>
      <c r="AQ70" s="84">
        <f t="shared" si="187"/>
        <v>0</v>
      </c>
      <c r="AR70" s="85"/>
      <c r="AS70" s="84">
        <f t="shared" si="188"/>
        <v>0</v>
      </c>
      <c r="AT70" s="85"/>
      <c r="AU70" s="84">
        <f t="shared" si="176"/>
        <v>0</v>
      </c>
      <c r="AV70" s="81"/>
      <c r="AW70" s="214">
        <f t="shared" si="175"/>
        <v>0</v>
      </c>
    </row>
    <row r="71" spans="1:49" x14ac:dyDescent="0.35">
      <c r="A71" s="187" t="s">
        <v>601</v>
      </c>
      <c r="B71" s="180"/>
      <c r="C71" s="83">
        <f>'2021-22'!AU30</f>
        <v>9393.34</v>
      </c>
      <c r="D71" s="107">
        <f>C71+528</f>
        <v>9921.34</v>
      </c>
      <c r="E71" s="304">
        <v>9393</v>
      </c>
      <c r="F71" s="287"/>
      <c r="G71" s="288">
        <f t="shared" si="178"/>
        <v>0</v>
      </c>
      <c r="H71" s="289">
        <v>9393</v>
      </c>
      <c r="I71" s="290">
        <f t="shared" si="179"/>
        <v>1</v>
      </c>
      <c r="J71" s="287"/>
      <c r="K71" s="288">
        <f t="shared" si="180"/>
        <v>0</v>
      </c>
      <c r="L71" s="289"/>
      <c r="M71" s="290">
        <f t="shared" si="181"/>
        <v>0</v>
      </c>
      <c r="N71" s="287"/>
      <c r="O71" s="288">
        <f t="shared" si="182"/>
        <v>0</v>
      </c>
      <c r="P71" s="289"/>
      <c r="Q71" s="290">
        <f t="shared" si="183"/>
        <v>0</v>
      </c>
      <c r="R71" s="287"/>
      <c r="S71" s="313">
        <f t="shared" si="184"/>
        <v>0</v>
      </c>
      <c r="T71" s="287"/>
      <c r="U71" s="313">
        <f t="shared" si="185"/>
        <v>0</v>
      </c>
      <c r="V71" s="287"/>
      <c r="W71" s="313">
        <f t="shared" si="58"/>
        <v>0</v>
      </c>
      <c r="X71" s="323">
        <f t="shared" si="46"/>
        <v>1</v>
      </c>
      <c r="Y71" s="195">
        <f>9393+528</f>
        <v>9921</v>
      </c>
      <c r="Z71" s="195">
        <f>9393.34+528</f>
        <v>9921.34</v>
      </c>
      <c r="AA71" s="84">
        <f>D71-Y71</f>
        <v>0.34000000000014552</v>
      </c>
      <c r="AB71" s="85"/>
      <c r="AC71" s="84">
        <f>D71-Y71-AA71</f>
        <v>0</v>
      </c>
      <c r="AD71" s="81"/>
      <c r="AE71" s="84">
        <f>D71-Y71-AA71-AC71</f>
        <v>0</v>
      </c>
      <c r="AF71" s="85"/>
      <c r="AG71" s="84">
        <f>D71-Y71-AA71-AC71-AE71</f>
        <v>0</v>
      </c>
      <c r="AH71" s="81"/>
      <c r="AI71" s="84">
        <f>D71-Y71-AA71-AC71-AE71-AG71</f>
        <v>0</v>
      </c>
      <c r="AJ71" s="85"/>
      <c r="AK71" s="84">
        <f>D71-Y71-AA71-AC71-AE71-AG71-AI71</f>
        <v>0</v>
      </c>
      <c r="AL71" s="85"/>
      <c r="AM71" s="84">
        <f>D71-Y71-AA71-AC71-AE71-AG71-AI71-AK71</f>
        <v>0</v>
      </c>
      <c r="AN71" s="85"/>
      <c r="AO71" s="84">
        <f>D71-Y71-AA71-AC71-AE71-AG71-AI71-AK71-AM71</f>
        <v>0</v>
      </c>
      <c r="AP71" s="85"/>
      <c r="AQ71" s="84">
        <f t="shared" si="187"/>
        <v>0</v>
      </c>
      <c r="AR71" s="85"/>
      <c r="AS71" s="84">
        <f t="shared" si="188"/>
        <v>0</v>
      </c>
      <c r="AT71" s="85"/>
      <c r="AU71" s="84">
        <f t="shared" si="176"/>
        <v>0</v>
      </c>
      <c r="AV71" s="81"/>
      <c r="AW71" s="214">
        <f t="shared" si="175"/>
        <v>0</v>
      </c>
    </row>
    <row r="72" spans="1:49" x14ac:dyDescent="0.35">
      <c r="A72" s="149" t="s">
        <v>633</v>
      </c>
      <c r="B72" s="180"/>
      <c r="C72" s="83">
        <v>153607</v>
      </c>
      <c r="D72" s="63">
        <v>153607</v>
      </c>
      <c r="E72" s="304"/>
      <c r="F72" s="287"/>
      <c r="G72" s="288" t="e">
        <f t="shared" si="178"/>
        <v>#DIV/0!</v>
      </c>
      <c r="H72" s="289"/>
      <c r="I72" s="290" t="e">
        <f t="shared" si="179"/>
        <v>#DIV/0!</v>
      </c>
      <c r="J72" s="287"/>
      <c r="K72" s="288" t="e">
        <f t="shared" si="180"/>
        <v>#DIV/0!</v>
      </c>
      <c r="L72" s="289"/>
      <c r="M72" s="290" t="e">
        <f t="shared" si="181"/>
        <v>#DIV/0!</v>
      </c>
      <c r="N72" s="287"/>
      <c r="O72" s="288" t="e">
        <f t="shared" si="182"/>
        <v>#DIV/0!</v>
      </c>
      <c r="P72" s="289"/>
      <c r="Q72" s="290" t="e">
        <f t="shared" si="183"/>
        <v>#DIV/0!</v>
      </c>
      <c r="R72" s="287"/>
      <c r="S72" s="313" t="e">
        <f t="shared" si="184"/>
        <v>#DIV/0!</v>
      </c>
      <c r="T72" s="287"/>
      <c r="U72" s="313" t="e">
        <f t="shared" si="185"/>
        <v>#DIV/0!</v>
      </c>
      <c r="V72" s="287"/>
      <c r="W72" s="313" t="e">
        <f t="shared" si="58"/>
        <v>#DIV/0!</v>
      </c>
      <c r="X72" s="323" t="e">
        <f t="shared" si="46"/>
        <v>#DIV/0!</v>
      </c>
      <c r="Y72" s="81">
        <v>0</v>
      </c>
      <c r="Z72" s="81"/>
      <c r="AA72" s="84">
        <v>0</v>
      </c>
      <c r="AB72" s="85"/>
      <c r="AC72" s="84">
        <v>0</v>
      </c>
      <c r="AD72" s="81"/>
      <c r="AE72" s="84">
        <v>0</v>
      </c>
      <c r="AF72" s="85"/>
      <c r="AG72" s="84">
        <v>0</v>
      </c>
      <c r="AH72" s="81"/>
      <c r="AI72" s="84">
        <v>0</v>
      </c>
      <c r="AJ72" s="85"/>
      <c r="AK72" s="84">
        <v>0</v>
      </c>
      <c r="AL72" s="85"/>
      <c r="AM72" s="84">
        <v>0</v>
      </c>
      <c r="AN72" s="85"/>
      <c r="AO72" s="84">
        <v>0</v>
      </c>
      <c r="AP72" s="85"/>
      <c r="AQ72" s="84">
        <v>0</v>
      </c>
      <c r="AR72" s="85"/>
      <c r="AS72" s="84">
        <v>0</v>
      </c>
      <c r="AT72" s="85"/>
      <c r="AU72" s="84">
        <v>0</v>
      </c>
      <c r="AV72" s="81"/>
      <c r="AW72" s="214">
        <f t="shared" si="175"/>
        <v>153607</v>
      </c>
    </row>
    <row r="73" spans="1:49" x14ac:dyDescent="0.35">
      <c r="A73" s="159"/>
      <c r="B73" s="180"/>
      <c r="C73" s="83">
        <f>'2021-22'!AU32</f>
        <v>0</v>
      </c>
      <c r="D73" s="142"/>
      <c r="E73" s="304"/>
      <c r="F73" s="287"/>
      <c r="G73" s="288" t="e">
        <f t="shared" si="178"/>
        <v>#DIV/0!</v>
      </c>
      <c r="H73" s="289"/>
      <c r="I73" s="290" t="e">
        <f t="shared" si="179"/>
        <v>#DIV/0!</v>
      </c>
      <c r="J73" s="287"/>
      <c r="K73" s="288" t="e">
        <f t="shared" si="180"/>
        <v>#DIV/0!</v>
      </c>
      <c r="L73" s="289"/>
      <c r="M73" s="290" t="e">
        <f t="shared" si="181"/>
        <v>#DIV/0!</v>
      </c>
      <c r="N73" s="287"/>
      <c r="O73" s="288" t="e">
        <f t="shared" si="182"/>
        <v>#DIV/0!</v>
      </c>
      <c r="P73" s="289"/>
      <c r="Q73" s="290" t="e">
        <f t="shared" si="183"/>
        <v>#DIV/0!</v>
      </c>
      <c r="R73" s="287"/>
      <c r="S73" s="313" t="e">
        <f t="shared" si="184"/>
        <v>#DIV/0!</v>
      </c>
      <c r="T73" s="287"/>
      <c r="U73" s="313" t="e">
        <f t="shared" si="185"/>
        <v>#DIV/0!</v>
      </c>
      <c r="V73" s="287"/>
      <c r="W73" s="313" t="e">
        <f t="shared" si="58"/>
        <v>#DIV/0!</v>
      </c>
      <c r="X73" s="323" t="e">
        <f t="shared" si="46"/>
        <v>#DIV/0!</v>
      </c>
      <c r="Y73" s="81">
        <v>0</v>
      </c>
      <c r="Z73" s="81"/>
      <c r="AA73" s="84">
        <f>D73-Y73</f>
        <v>0</v>
      </c>
      <c r="AB73" s="85"/>
      <c r="AC73" s="84">
        <f>D73-Y73-AA73</f>
        <v>0</v>
      </c>
      <c r="AD73" s="81"/>
      <c r="AE73" s="84">
        <f>D73-Y73-AA73-AC73</f>
        <v>0</v>
      </c>
      <c r="AF73" s="85"/>
      <c r="AG73" s="84">
        <f>D73-Y73-AA73-AC73-AE73</f>
        <v>0</v>
      </c>
      <c r="AH73" s="81"/>
      <c r="AI73" s="84">
        <f>D73-Y73-AA73-AC73-AE73-AG73</f>
        <v>0</v>
      </c>
      <c r="AJ73" s="85"/>
      <c r="AK73" s="84">
        <f>D73-Y73-AA73-AC73-AE73-AG73-AI73</f>
        <v>0</v>
      </c>
      <c r="AL73" s="85"/>
      <c r="AM73" s="84">
        <f>D73-Y73-AA73-AC73-AE73-AG73-AI73-AK73</f>
        <v>0</v>
      </c>
      <c r="AN73" s="85"/>
      <c r="AO73" s="84">
        <f t="shared" ref="AO73:AO78" si="189">D73-Y73-AA73-AC73-AE73-AG73-AI73-AK73-AM73</f>
        <v>0</v>
      </c>
      <c r="AP73" s="85"/>
      <c r="AQ73" s="84">
        <f t="shared" ref="AQ73:AQ85" si="190">D73-Y73-AA73-AC73-AE73-AG73-AI73-AK73-AM73-AO73</f>
        <v>0</v>
      </c>
      <c r="AR73" s="85"/>
      <c r="AS73" s="84">
        <f t="shared" si="188"/>
        <v>0</v>
      </c>
      <c r="AT73" s="85"/>
      <c r="AU73" s="84">
        <f t="shared" si="176"/>
        <v>0</v>
      </c>
      <c r="AV73" s="81"/>
      <c r="AW73" s="214">
        <f t="shared" si="175"/>
        <v>0</v>
      </c>
    </row>
    <row r="74" spans="1:49" x14ac:dyDescent="0.35">
      <c r="A74" s="187" t="s">
        <v>599</v>
      </c>
      <c r="B74" s="180"/>
      <c r="C74" s="83">
        <v>62574</v>
      </c>
      <c r="D74" s="107">
        <f>64547-4246.19+2273.07</f>
        <v>62573.88</v>
      </c>
      <c r="E74" s="304">
        <f>D74</f>
        <v>62573.88</v>
      </c>
      <c r="F74" s="287"/>
      <c r="G74" s="288">
        <f t="shared" si="178"/>
        <v>0</v>
      </c>
      <c r="H74" s="289">
        <f>31736.71+13307.66</f>
        <v>45044.369999999995</v>
      </c>
      <c r="I74" s="290">
        <f t="shared" si="179"/>
        <v>0.71985898908618096</v>
      </c>
      <c r="J74" s="287"/>
      <c r="K74" s="288">
        <f t="shared" si="180"/>
        <v>0</v>
      </c>
      <c r="L74" s="289">
        <v>9896.57</v>
      </c>
      <c r="M74" s="290">
        <f t="shared" si="181"/>
        <v>0.15815816439702957</v>
      </c>
      <c r="N74" s="287"/>
      <c r="O74" s="288">
        <f t="shared" si="182"/>
        <v>0</v>
      </c>
      <c r="P74" s="289"/>
      <c r="Q74" s="290">
        <f t="shared" si="183"/>
        <v>0</v>
      </c>
      <c r="R74" s="287">
        <v>7734.49</v>
      </c>
      <c r="S74" s="313">
        <f t="shared" si="184"/>
        <v>0.12360572814087924</v>
      </c>
      <c r="T74" s="287">
        <v>1872</v>
      </c>
      <c r="U74" s="313">
        <f t="shared" si="185"/>
        <v>2.9916636142748382E-2</v>
      </c>
      <c r="V74" s="287"/>
      <c r="W74" s="313">
        <f t="shared" si="58"/>
        <v>0</v>
      </c>
      <c r="X74" s="323">
        <f t="shared" si="46"/>
        <v>1.0315395177668383</v>
      </c>
      <c r="Y74" s="81">
        <v>0</v>
      </c>
      <c r="Z74" s="81"/>
      <c r="AA74" s="84">
        <v>0</v>
      </c>
      <c r="AB74" s="85"/>
      <c r="AC74" s="230">
        <v>9766</v>
      </c>
      <c r="AD74" s="195">
        <v>9766.02</v>
      </c>
      <c r="AE74" s="84">
        <v>0</v>
      </c>
      <c r="AF74" s="85"/>
      <c r="AG74" s="230">
        <v>32903</v>
      </c>
      <c r="AH74" s="195">
        <f>37149.45-4246.19</f>
        <v>32903.259999999995</v>
      </c>
      <c r="AI74" s="84">
        <v>0</v>
      </c>
      <c r="AJ74" s="85"/>
      <c r="AK74" s="230">
        <v>9126</v>
      </c>
      <c r="AL74" s="231">
        <v>9126.48</v>
      </c>
      <c r="AM74" s="84">
        <v>0</v>
      </c>
      <c r="AN74" s="85"/>
      <c r="AO74" s="230">
        <v>10778</v>
      </c>
      <c r="AP74" s="65">
        <f>8504.58+2273.07</f>
        <v>10777.65</v>
      </c>
      <c r="AQ74" s="84">
        <f t="shared" si="190"/>
        <v>0.87999999999738066</v>
      </c>
      <c r="AR74" s="85"/>
      <c r="AS74" s="84">
        <f t="shared" si="188"/>
        <v>0</v>
      </c>
      <c r="AT74" s="85"/>
      <c r="AU74" s="84">
        <f t="shared" si="176"/>
        <v>0</v>
      </c>
      <c r="AV74" s="81"/>
      <c r="AW74" s="214">
        <f t="shared" si="175"/>
        <v>0</v>
      </c>
    </row>
    <row r="75" spans="1:49" x14ac:dyDescent="0.35">
      <c r="A75" s="159" t="s">
        <v>598</v>
      </c>
      <c r="B75" s="180"/>
      <c r="C75" s="83">
        <f>'2021-22'!AU35</f>
        <v>23000</v>
      </c>
      <c r="D75" s="107">
        <v>23376.39</v>
      </c>
      <c r="E75" s="304">
        <f>D75</f>
        <v>23376.39</v>
      </c>
      <c r="F75" s="287">
        <v>4423.32</v>
      </c>
      <c r="G75" s="288">
        <f t="shared" si="178"/>
        <v>0.18922168906319581</v>
      </c>
      <c r="H75" s="289">
        <v>2046.37</v>
      </c>
      <c r="I75" s="290">
        <f t="shared" si="179"/>
        <v>8.7540035052461052E-2</v>
      </c>
      <c r="J75" s="287">
        <v>4496.4799999999996</v>
      </c>
      <c r="K75" s="288">
        <f t="shared" si="180"/>
        <v>0.1923513425297918</v>
      </c>
      <c r="L75" s="289">
        <v>3128.9</v>
      </c>
      <c r="M75" s="290">
        <f t="shared" si="181"/>
        <v>0.13384872514532825</v>
      </c>
      <c r="N75" s="287">
        <v>2159.17</v>
      </c>
      <c r="O75" s="288">
        <f t="shared" si="182"/>
        <v>9.2365416559186439E-2</v>
      </c>
      <c r="P75" s="289">
        <f>4259.38+492.56</f>
        <v>4751.9400000000005</v>
      </c>
      <c r="Q75" s="290">
        <f t="shared" si="183"/>
        <v>0.20327946273996972</v>
      </c>
      <c r="R75" s="287"/>
      <c r="S75" s="313">
        <f t="shared" si="184"/>
        <v>0</v>
      </c>
      <c r="T75" s="287">
        <f>1698.21+672</f>
        <v>2370.21</v>
      </c>
      <c r="U75" s="313">
        <f t="shared" si="185"/>
        <v>0.10139332891006696</v>
      </c>
      <c r="V75" s="287"/>
      <c r="W75" s="313">
        <f t="shared" si="58"/>
        <v>0</v>
      </c>
      <c r="X75" s="323">
        <f t="shared" si="46"/>
        <v>1</v>
      </c>
      <c r="Y75" s="81">
        <v>0</v>
      </c>
      <c r="Z75" s="81"/>
      <c r="AA75" s="230">
        <v>8796</v>
      </c>
      <c r="AB75" s="231">
        <v>8796.1299999999992</v>
      </c>
      <c r="AC75" s="230">
        <v>9220</v>
      </c>
      <c r="AD75" s="195">
        <v>9220.3799999999992</v>
      </c>
      <c r="AE75" s="230">
        <v>3053</v>
      </c>
      <c r="AF75" s="231">
        <v>3053.24</v>
      </c>
      <c r="AG75" s="84">
        <v>0</v>
      </c>
      <c r="AH75" s="81"/>
      <c r="AI75" s="84">
        <v>0</v>
      </c>
      <c r="AJ75" s="85"/>
      <c r="AK75" s="230">
        <v>2307</v>
      </c>
      <c r="AL75" s="231">
        <v>2307.64</v>
      </c>
      <c r="AM75" s="84">
        <f>D75-Y75-AA75-AC75-AE75-AG75-AI75-AK75</f>
        <v>0.38999999999941792</v>
      </c>
      <c r="AN75" s="85"/>
      <c r="AO75" s="84">
        <f t="shared" si="189"/>
        <v>0</v>
      </c>
      <c r="AP75" s="85"/>
      <c r="AQ75" s="84">
        <f t="shared" si="190"/>
        <v>0</v>
      </c>
      <c r="AR75" s="85"/>
      <c r="AS75" s="84">
        <f t="shared" si="188"/>
        <v>0</v>
      </c>
      <c r="AT75" s="85"/>
      <c r="AU75" s="84">
        <f t="shared" si="176"/>
        <v>0</v>
      </c>
      <c r="AV75" s="81"/>
      <c r="AW75" s="214">
        <f t="shared" si="175"/>
        <v>0</v>
      </c>
    </row>
    <row r="76" spans="1:49" x14ac:dyDescent="0.35">
      <c r="A76" s="159" t="s">
        <v>596</v>
      </c>
      <c r="B76" s="180"/>
      <c r="C76" s="83">
        <v>23072</v>
      </c>
      <c r="D76" s="107">
        <f>22290+782</f>
        <v>23072</v>
      </c>
      <c r="E76" s="304">
        <v>23072</v>
      </c>
      <c r="F76" s="287">
        <v>2470</v>
      </c>
      <c r="G76" s="288">
        <f t="shared" si="178"/>
        <v>0.10705617198335644</v>
      </c>
      <c r="H76" s="289">
        <v>767</v>
      </c>
      <c r="I76" s="290">
        <f t="shared" si="179"/>
        <v>3.3243758668515949E-2</v>
      </c>
      <c r="J76" s="287">
        <v>6591</v>
      </c>
      <c r="K76" s="288">
        <f t="shared" si="180"/>
        <v>0.28567094313453539</v>
      </c>
      <c r="L76" s="289">
        <f>5486+1388</f>
        <v>6874</v>
      </c>
      <c r="M76" s="290">
        <f t="shared" si="181"/>
        <v>0.2979368932038835</v>
      </c>
      <c r="N76" s="287">
        <v>779</v>
      </c>
      <c r="O76" s="288">
        <f t="shared" si="182"/>
        <v>3.376386962552011E-2</v>
      </c>
      <c r="P76" s="289">
        <v>2021</v>
      </c>
      <c r="Q76" s="290">
        <f t="shared" si="183"/>
        <v>8.7595353675450766E-2</v>
      </c>
      <c r="R76" s="287">
        <v>782</v>
      </c>
      <c r="S76" s="313">
        <f t="shared" si="184"/>
        <v>3.389389736477115E-2</v>
      </c>
      <c r="T76" s="287">
        <f>1708+1080</f>
        <v>2788</v>
      </c>
      <c r="U76" s="313">
        <f t="shared" si="185"/>
        <v>0.12083911234396671</v>
      </c>
      <c r="V76" s="287"/>
      <c r="W76" s="313">
        <f t="shared" si="58"/>
        <v>0</v>
      </c>
      <c r="X76" s="323">
        <f t="shared" si="46"/>
        <v>1</v>
      </c>
      <c r="Y76" s="81">
        <v>0</v>
      </c>
      <c r="Z76" s="81"/>
      <c r="AA76" s="84">
        <v>0</v>
      </c>
      <c r="AB76" s="85"/>
      <c r="AC76" s="84">
        <v>0</v>
      </c>
      <c r="AD76" s="81"/>
      <c r="AE76" s="84"/>
      <c r="AF76" s="85"/>
      <c r="AG76" s="230">
        <v>7230</v>
      </c>
      <c r="AH76" s="195">
        <v>7230.45</v>
      </c>
      <c r="AI76" s="230">
        <v>5594</v>
      </c>
      <c r="AJ76" s="231">
        <v>5594.16</v>
      </c>
      <c r="AK76" s="230">
        <v>2673</v>
      </c>
      <c r="AL76" s="231">
        <v>2672.97</v>
      </c>
      <c r="AM76" s="84"/>
      <c r="AN76" s="85"/>
      <c r="AO76" s="84">
        <v>0</v>
      </c>
      <c r="AP76" s="85"/>
      <c r="AQ76" s="84">
        <v>0</v>
      </c>
      <c r="AR76" s="85"/>
      <c r="AS76" s="84"/>
      <c r="AT76" s="85"/>
      <c r="AU76" s="84">
        <v>0</v>
      </c>
      <c r="AV76" s="81"/>
      <c r="AW76" s="214">
        <f t="shared" si="175"/>
        <v>7575</v>
      </c>
    </row>
    <row r="77" spans="1:49" x14ac:dyDescent="0.35">
      <c r="A77" s="159" t="s">
        <v>592</v>
      </c>
      <c r="B77" s="180"/>
      <c r="C77" s="83">
        <f>'2021-22'!AU41</f>
        <v>31728</v>
      </c>
      <c r="D77" s="107">
        <v>31127.919999999998</v>
      </c>
      <c r="E77" s="304">
        <f>D77</f>
        <v>31127.919999999998</v>
      </c>
      <c r="F77" s="287">
        <v>4879.8100000000004</v>
      </c>
      <c r="G77" s="288">
        <f t="shared" si="178"/>
        <v>0.15676633710186869</v>
      </c>
      <c r="H77" s="289">
        <v>2464.46</v>
      </c>
      <c r="I77" s="290">
        <f t="shared" si="179"/>
        <v>7.9172010208198945E-2</v>
      </c>
      <c r="J77" s="287">
        <v>4938.4399999999996</v>
      </c>
      <c r="K77" s="288">
        <f t="shared" si="180"/>
        <v>0.15864985517824512</v>
      </c>
      <c r="L77" s="289">
        <v>9069.2000000000007</v>
      </c>
      <c r="M77" s="290">
        <f t="shared" si="181"/>
        <v>0.29135258635976968</v>
      </c>
      <c r="N77" s="287">
        <v>1846.65</v>
      </c>
      <c r="O77" s="288">
        <f t="shared" si="182"/>
        <v>5.9324554933320318E-2</v>
      </c>
      <c r="P77" s="289">
        <f>4360.68+230.47</f>
        <v>4591.1500000000005</v>
      </c>
      <c r="Q77" s="290">
        <f t="shared" si="183"/>
        <v>0.14749299021585768</v>
      </c>
      <c r="R77" s="287"/>
      <c r="S77" s="313">
        <f t="shared" si="184"/>
        <v>0</v>
      </c>
      <c r="T77" s="287">
        <v>3338.21</v>
      </c>
      <c r="U77" s="313">
        <f t="shared" si="185"/>
        <v>0.10724166600273967</v>
      </c>
      <c r="V77" s="287"/>
      <c r="W77" s="313">
        <f t="shared" si="58"/>
        <v>0</v>
      </c>
      <c r="X77" s="323">
        <f t="shared" si="46"/>
        <v>1.0000000000000002</v>
      </c>
      <c r="Y77" s="195">
        <v>17124</v>
      </c>
      <c r="Z77" s="195">
        <v>17124.240000000002</v>
      </c>
      <c r="AA77" s="230">
        <f>D77-Y77</f>
        <v>14003.919999999998</v>
      </c>
      <c r="AB77" s="231">
        <v>14003.68</v>
      </c>
      <c r="AC77" s="84">
        <f>D77-Y77-AA77</f>
        <v>0</v>
      </c>
      <c r="AD77" s="81"/>
      <c r="AE77" s="84">
        <f>D77-Y77-AA77-AC77</f>
        <v>0</v>
      </c>
      <c r="AF77" s="85"/>
      <c r="AG77" s="84">
        <f>D77-Y77-AA77-AC77-AE77</f>
        <v>0</v>
      </c>
      <c r="AH77" s="81"/>
      <c r="AI77" s="84">
        <f>D77-Y77-AA77-AC77-AE77-AG77</f>
        <v>0</v>
      </c>
      <c r="AJ77" s="85"/>
      <c r="AK77" s="84">
        <f>D77-Y77-AA77-AC77-AE77-AG77-AI77</f>
        <v>0</v>
      </c>
      <c r="AL77" s="85"/>
      <c r="AM77" s="84">
        <f>D77-Y77-AA77-AC77-AE77-AG77-AI77-AK77</f>
        <v>0</v>
      </c>
      <c r="AN77" s="85"/>
      <c r="AO77" s="84">
        <f t="shared" si="189"/>
        <v>0</v>
      </c>
      <c r="AP77" s="85"/>
      <c r="AQ77" s="84">
        <f t="shared" si="190"/>
        <v>0</v>
      </c>
      <c r="AR77" s="85"/>
      <c r="AS77" s="84">
        <f t="shared" si="188"/>
        <v>0</v>
      </c>
      <c r="AT77" s="85"/>
      <c r="AU77" s="84">
        <f t="shared" si="176"/>
        <v>0</v>
      </c>
      <c r="AV77" s="81"/>
      <c r="AW77" s="214">
        <f t="shared" si="175"/>
        <v>0</v>
      </c>
    </row>
    <row r="78" spans="1:49" x14ac:dyDescent="0.35">
      <c r="A78" s="159" t="s">
        <v>591</v>
      </c>
      <c r="B78" s="180"/>
      <c r="C78" s="83">
        <f>'2021-22'!AU42</f>
        <v>857.64000000000306</v>
      </c>
      <c r="D78" s="107">
        <f t="shared" ref="D78" si="191">C78</f>
        <v>857.64000000000306</v>
      </c>
      <c r="E78" s="304">
        <f>D78</f>
        <v>857.64000000000306</v>
      </c>
      <c r="F78" s="287"/>
      <c r="G78" s="288">
        <f t="shared" si="178"/>
        <v>0</v>
      </c>
      <c r="H78" s="289"/>
      <c r="I78" s="290">
        <f t="shared" si="179"/>
        <v>0</v>
      </c>
      <c r="J78" s="287"/>
      <c r="K78" s="288">
        <f t="shared" si="180"/>
        <v>0</v>
      </c>
      <c r="L78" s="289"/>
      <c r="M78" s="290">
        <f t="shared" si="181"/>
        <v>0</v>
      </c>
      <c r="N78" s="287"/>
      <c r="O78" s="288">
        <f t="shared" si="182"/>
        <v>0</v>
      </c>
      <c r="P78" s="289"/>
      <c r="Q78" s="290">
        <f t="shared" si="183"/>
        <v>0</v>
      </c>
      <c r="R78" s="287">
        <v>858</v>
      </c>
      <c r="S78" s="313">
        <f t="shared" si="184"/>
        <v>1.0004197565412025</v>
      </c>
      <c r="T78" s="287"/>
      <c r="U78" s="313">
        <f t="shared" si="185"/>
        <v>0</v>
      </c>
      <c r="V78" s="287"/>
      <c r="W78" s="313">
        <f t="shared" si="58"/>
        <v>0</v>
      </c>
      <c r="X78" s="323">
        <f t="shared" si="46"/>
        <v>1.0004197565412025</v>
      </c>
      <c r="Y78" s="195">
        <v>858</v>
      </c>
      <c r="Z78" s="195">
        <v>858</v>
      </c>
      <c r="AA78" s="84">
        <f>D78-Y78</f>
        <v>-0.3599999999969441</v>
      </c>
      <c r="AB78" s="85"/>
      <c r="AC78" s="84">
        <f>D78-Y78-AA78</f>
        <v>0</v>
      </c>
      <c r="AD78" s="81"/>
      <c r="AE78" s="84">
        <f>D78-Y78-AA78-AC78</f>
        <v>0</v>
      </c>
      <c r="AF78" s="85"/>
      <c r="AG78" s="84">
        <f>D78-Y78-AA78-AC78-AE78</f>
        <v>0</v>
      </c>
      <c r="AH78" s="81"/>
      <c r="AI78" s="84">
        <f>D78-Y78-AA78-AC78-AE78-AG78</f>
        <v>0</v>
      </c>
      <c r="AJ78" s="85"/>
      <c r="AK78" s="84">
        <f>D78-Y78-AA78-AC78-AE78-AG78-AI78</f>
        <v>0</v>
      </c>
      <c r="AL78" s="85"/>
      <c r="AM78" s="84"/>
      <c r="AN78" s="85"/>
      <c r="AO78" s="84">
        <f t="shared" si="189"/>
        <v>0</v>
      </c>
      <c r="AP78" s="85"/>
      <c r="AQ78" s="84">
        <f t="shared" si="190"/>
        <v>0</v>
      </c>
      <c r="AR78" s="85"/>
      <c r="AS78" s="84">
        <f t="shared" si="188"/>
        <v>0</v>
      </c>
      <c r="AT78" s="85"/>
      <c r="AU78" s="84">
        <f t="shared" si="176"/>
        <v>0</v>
      </c>
      <c r="AV78" s="81"/>
      <c r="AW78" s="214">
        <f t="shared" si="175"/>
        <v>0</v>
      </c>
    </row>
    <row r="79" spans="1:49" ht="15" customHeight="1" x14ac:dyDescent="0.35">
      <c r="A79" s="159" t="s">
        <v>589</v>
      </c>
      <c r="B79" s="180"/>
      <c r="C79" s="83">
        <f>D79</f>
        <v>87961.01</v>
      </c>
      <c r="D79" s="107">
        <f>E79</f>
        <v>87961.01</v>
      </c>
      <c r="E79" s="304">
        <f>'2021-22'!AU44</f>
        <v>87961.01</v>
      </c>
      <c r="F79" s="287">
        <f>5843+2750+3942</f>
        <v>12535</v>
      </c>
      <c r="G79" s="288">
        <f t="shared" si="178"/>
        <v>0.1425063218350949</v>
      </c>
      <c r="H79" s="289">
        <f>4580+844+1594+6902</f>
        <v>13920</v>
      </c>
      <c r="I79" s="290">
        <f t="shared" si="179"/>
        <v>0.1582519345787412</v>
      </c>
      <c r="J79" s="287">
        <f>8221+4375+7338</f>
        <v>19934</v>
      </c>
      <c r="K79" s="288">
        <f t="shared" si="180"/>
        <v>0.22662313677389562</v>
      </c>
      <c r="L79" s="289">
        <f>9143+4217+5468</f>
        <v>18828</v>
      </c>
      <c r="M79" s="290">
        <f t="shared" si="181"/>
        <v>0.21404938392590081</v>
      </c>
      <c r="N79" s="287">
        <f>4726+1248+111+2127</f>
        <v>8212</v>
      </c>
      <c r="O79" s="288">
        <f t="shared" si="182"/>
        <v>9.3359546462688417E-2</v>
      </c>
      <c r="P79" s="289"/>
      <c r="Q79" s="290">
        <f t="shared" si="183"/>
        <v>0</v>
      </c>
      <c r="R79" s="287">
        <f>30673+2158</f>
        <v>32831</v>
      </c>
      <c r="S79" s="313">
        <f t="shared" si="184"/>
        <v>0.3732449184019147</v>
      </c>
      <c r="T79" s="287">
        <f>720+240+240</f>
        <v>1200</v>
      </c>
      <c r="U79" s="313">
        <f t="shared" si="185"/>
        <v>1.3642408153339759E-2</v>
      </c>
      <c r="V79" s="287"/>
      <c r="W79" s="313">
        <f t="shared" si="58"/>
        <v>0</v>
      </c>
      <c r="X79" s="323">
        <f t="shared" si="46"/>
        <v>1.2216776501315754</v>
      </c>
      <c r="Y79" s="81">
        <v>0</v>
      </c>
      <c r="Z79" s="81"/>
      <c r="AA79" s="84">
        <v>0</v>
      </c>
      <c r="AB79" s="85"/>
      <c r="AC79" s="84">
        <v>0</v>
      </c>
      <c r="AD79" s="81"/>
      <c r="AE79" s="84">
        <v>0</v>
      </c>
      <c r="AF79" s="85"/>
      <c r="AG79" s="84">
        <v>0</v>
      </c>
      <c r="AH79" s="81"/>
      <c r="AI79" s="84">
        <v>0</v>
      </c>
      <c r="AJ79" s="85"/>
      <c r="AK79" s="230">
        <v>5385</v>
      </c>
      <c r="AL79" s="231">
        <v>5384.96</v>
      </c>
      <c r="AM79" s="84">
        <v>0</v>
      </c>
      <c r="AN79" s="85"/>
      <c r="AO79" s="230">
        <v>53904</v>
      </c>
      <c r="AP79" s="231">
        <v>53904.31</v>
      </c>
      <c r="AQ79" s="230">
        <v>11910</v>
      </c>
      <c r="AR79" s="231">
        <v>11909.97</v>
      </c>
      <c r="AS79" s="84">
        <v>0</v>
      </c>
      <c r="AT79" s="85"/>
      <c r="AU79" s="230">
        <v>14698.88</v>
      </c>
      <c r="AV79" s="195">
        <v>14698.88</v>
      </c>
      <c r="AW79" s="214">
        <f t="shared" si="175"/>
        <v>2063.1299999999956</v>
      </c>
    </row>
    <row r="80" spans="1:49" x14ac:dyDescent="0.35">
      <c r="A80" s="187" t="s">
        <v>585</v>
      </c>
      <c r="B80" s="180"/>
      <c r="C80" s="83">
        <v>421210</v>
      </c>
      <c r="D80" s="107">
        <f>414079+724+6407</f>
        <v>421210</v>
      </c>
      <c r="E80" s="304">
        <v>421210</v>
      </c>
      <c r="F80" s="287">
        <f>47742+418</f>
        <v>48160</v>
      </c>
      <c r="G80" s="288">
        <f t="shared" si="178"/>
        <v>0.11433726644666556</v>
      </c>
      <c r="H80" s="289">
        <f>193067-41303+1221</f>
        <v>152985</v>
      </c>
      <c r="I80" s="290">
        <f t="shared" si="179"/>
        <v>0.36320362764416797</v>
      </c>
      <c r="J80" s="287">
        <f>42939+1653</f>
        <v>44592</v>
      </c>
      <c r="K80" s="288">
        <f t="shared" si="180"/>
        <v>0.1058664324208827</v>
      </c>
      <c r="L80" s="289">
        <f>39961+926</f>
        <v>40887</v>
      </c>
      <c r="M80" s="290">
        <f t="shared" si="181"/>
        <v>9.7070344958571739E-2</v>
      </c>
      <c r="N80" s="287">
        <v>26526</v>
      </c>
      <c r="O80" s="288">
        <f t="shared" si="182"/>
        <v>6.297571282733079E-2</v>
      </c>
      <c r="P80" s="289">
        <v>30901</v>
      </c>
      <c r="Q80" s="290">
        <f t="shared" si="183"/>
        <v>7.336245578215142E-2</v>
      </c>
      <c r="R80" s="287">
        <f>17745+724</f>
        <v>18469</v>
      </c>
      <c r="S80" s="313">
        <f t="shared" si="184"/>
        <v>4.3847487001733104E-2</v>
      </c>
      <c r="T80" s="287">
        <f>4512+202</f>
        <v>4714</v>
      </c>
      <c r="U80" s="313">
        <f t="shared" si="185"/>
        <v>1.1191567151777023E-2</v>
      </c>
      <c r="V80" s="287">
        <f>51989+1988</f>
        <v>53977</v>
      </c>
      <c r="W80" s="313">
        <f t="shared" si="58"/>
        <v>0.12814747987939507</v>
      </c>
      <c r="X80" s="323">
        <f t="shared" si="46"/>
        <v>1.0000023741126753</v>
      </c>
      <c r="Y80" s="195">
        <v>83174</v>
      </c>
      <c r="Z80" s="195">
        <v>83174.44</v>
      </c>
      <c r="AA80" s="230">
        <v>33460</v>
      </c>
      <c r="AB80" s="231">
        <v>33459.949999999997</v>
      </c>
      <c r="AC80" s="230">
        <v>50976</v>
      </c>
      <c r="AD80" s="195">
        <v>50976.05</v>
      </c>
      <c r="AE80" s="230">
        <v>17220</v>
      </c>
      <c r="AF80" s="231">
        <v>17220.45</v>
      </c>
      <c r="AG80" s="230">
        <v>40446</v>
      </c>
      <c r="AH80" s="195">
        <f>24456.11+15989.85</f>
        <v>40445.96</v>
      </c>
      <c r="AI80" s="230">
        <v>82718</v>
      </c>
      <c r="AJ80" s="231">
        <f>1530.71+81187.41</f>
        <v>82718.12000000001</v>
      </c>
      <c r="AK80" s="230">
        <f>AL80</f>
        <v>68034.149999999994</v>
      </c>
      <c r="AL80" s="231">
        <f>10395.69+56914.31+724.15</f>
        <v>68034.149999999994</v>
      </c>
      <c r="AM80" s="230">
        <v>19598</v>
      </c>
      <c r="AN80" s="231">
        <v>19598.240000000002</v>
      </c>
      <c r="AO80" s="84">
        <v>0</v>
      </c>
      <c r="AP80" s="85"/>
      <c r="AQ80" s="230">
        <v>11594</v>
      </c>
      <c r="AR80" s="231">
        <v>11594</v>
      </c>
      <c r="AS80" s="84">
        <v>0</v>
      </c>
      <c r="AT80" s="85"/>
      <c r="AU80" s="230">
        <v>2527</v>
      </c>
      <c r="AV80" s="195">
        <v>2526.8200000000002</v>
      </c>
      <c r="AW80" s="214">
        <f t="shared" si="175"/>
        <v>11462.850000000006</v>
      </c>
    </row>
    <row r="81" spans="1:49" ht="13.5" customHeight="1" x14ac:dyDescent="0.35">
      <c r="A81" s="159" t="s">
        <v>581</v>
      </c>
      <c r="B81" s="180"/>
      <c r="C81" s="83">
        <f>'2021-22'!AU53</f>
        <v>32916.639999999999</v>
      </c>
      <c r="D81" s="107">
        <f>C81</f>
        <v>32916.639999999999</v>
      </c>
      <c r="E81" s="304">
        <f>D81</f>
        <v>32916.639999999999</v>
      </c>
      <c r="F81" s="287">
        <f>6910.15-2072.84+200</f>
        <v>5037.3099999999995</v>
      </c>
      <c r="G81" s="288">
        <f>F81/E81</f>
        <v>0.15303232650720122</v>
      </c>
      <c r="H81" s="289">
        <v>4214.16</v>
      </c>
      <c r="I81" s="290">
        <f>H81/E81</f>
        <v>0.12802521764068264</v>
      </c>
      <c r="J81" s="287">
        <f>9670.67-2457.56+178</f>
        <v>7391.1100000000006</v>
      </c>
      <c r="K81" s="288">
        <f>J81/E81</f>
        <v>0.22454023253892258</v>
      </c>
      <c r="L81" s="289">
        <f>10770.55-1460.75+100</f>
        <v>9409.7999999999993</v>
      </c>
      <c r="M81" s="290">
        <f>L81/E81</f>
        <v>0.28586757336107205</v>
      </c>
      <c r="N81" s="287">
        <v>2583.9499999999998</v>
      </c>
      <c r="O81" s="288">
        <f>N81/E81</f>
        <v>7.8499810430226163E-2</v>
      </c>
      <c r="P81" s="289">
        <f>4272.69+8</f>
        <v>4280.6899999999996</v>
      </c>
      <c r="Q81" s="290">
        <f>P81/E81</f>
        <v>0.13004638383504513</v>
      </c>
      <c r="R81" s="287"/>
      <c r="S81" s="313">
        <f>R81/E81</f>
        <v>0</v>
      </c>
      <c r="T81" s="287"/>
      <c r="U81" s="313">
        <f t="shared" si="185"/>
        <v>0</v>
      </c>
      <c r="V81" s="287"/>
      <c r="W81" s="313">
        <f t="shared" si="58"/>
        <v>0</v>
      </c>
      <c r="X81" s="323">
        <f t="shared" si="46"/>
        <v>1.0000115443131499</v>
      </c>
      <c r="Y81" s="195">
        <v>26210.33</v>
      </c>
      <c r="Z81" s="195">
        <v>26210.33</v>
      </c>
      <c r="AA81" s="230">
        <v>5966</v>
      </c>
      <c r="AB81" s="231">
        <v>5965.98</v>
      </c>
      <c r="AC81" s="84">
        <v>0</v>
      </c>
      <c r="AD81" s="81"/>
      <c r="AE81" s="230">
        <f>D81-Y81-AA81-AC81</f>
        <v>740.30999999999767</v>
      </c>
      <c r="AF81" s="231">
        <f>11468.74-10728.56</f>
        <v>740.18000000000029</v>
      </c>
      <c r="AG81" s="84">
        <f>D81-Y81-AA81-AC81-AE81</f>
        <v>0</v>
      </c>
      <c r="AH81" s="81"/>
      <c r="AI81" s="84">
        <f>D81-Y81-AA81-AC81-AE81-AG81</f>
        <v>0</v>
      </c>
      <c r="AJ81" s="85"/>
      <c r="AK81" s="84">
        <f>D81-Y81-AA81-AC81-AE81-AG81-AI81</f>
        <v>0</v>
      </c>
      <c r="AL81" s="85"/>
      <c r="AM81" s="84">
        <f>D81-Y81-AA81-AC81-AE81-AG81-AI81-AK81</f>
        <v>0</v>
      </c>
      <c r="AN81" s="85"/>
      <c r="AO81" s="84">
        <f>D81-Y81-AA81-AC81-AE81-AG81-AI81-AK81-AM81</f>
        <v>0</v>
      </c>
      <c r="AP81" s="85"/>
      <c r="AQ81" s="84">
        <f t="shared" si="190"/>
        <v>0</v>
      </c>
      <c r="AR81" s="85"/>
      <c r="AS81" s="84">
        <f t="shared" si="188"/>
        <v>0</v>
      </c>
      <c r="AT81" s="85"/>
      <c r="AU81" s="84">
        <f t="shared" si="176"/>
        <v>0</v>
      </c>
      <c r="AV81" s="81"/>
      <c r="AW81" s="214">
        <f t="shared" si="175"/>
        <v>0</v>
      </c>
    </row>
    <row r="82" spans="1:49" s="350" customFormat="1" x14ac:dyDescent="0.35">
      <c r="A82" s="151" t="s">
        <v>578</v>
      </c>
      <c r="B82" s="167"/>
      <c r="C82" s="107">
        <v>57742</v>
      </c>
      <c r="D82" s="107">
        <v>57742</v>
      </c>
      <c r="E82" s="304">
        <f>54211+3530.5</f>
        <v>57741.5</v>
      </c>
      <c r="F82" s="291">
        <v>9362</v>
      </c>
      <c r="G82" s="292">
        <f t="shared" si="178"/>
        <v>0.1621364183472892</v>
      </c>
      <c r="H82" s="293">
        <v>5864</v>
      </c>
      <c r="I82" s="344">
        <f t="shared" si="179"/>
        <v>0.10155607318826147</v>
      </c>
      <c r="J82" s="291">
        <v>10609</v>
      </c>
      <c r="K82" s="292">
        <f t="shared" si="180"/>
        <v>0.18373267060952694</v>
      </c>
      <c r="L82" s="293">
        <v>15658</v>
      </c>
      <c r="M82" s="344">
        <f t="shared" si="181"/>
        <v>0.2711741122069915</v>
      </c>
      <c r="N82" s="291">
        <v>1836</v>
      </c>
      <c r="O82" s="292">
        <f t="shared" si="182"/>
        <v>3.179688785362348E-2</v>
      </c>
      <c r="P82" s="293">
        <f>5764+1248</f>
        <v>7012</v>
      </c>
      <c r="Q82" s="344">
        <f t="shared" si="183"/>
        <v>0.12143778737996069</v>
      </c>
      <c r="R82" s="291">
        <v>3531</v>
      </c>
      <c r="S82" s="345">
        <f t="shared" si="184"/>
        <v>6.1151857849207243E-2</v>
      </c>
      <c r="T82" s="291">
        <f>2640+1230</f>
        <v>3870</v>
      </c>
      <c r="U82" s="345">
        <f t="shared" si="185"/>
        <v>6.7022851848324003E-2</v>
      </c>
      <c r="V82" s="291"/>
      <c r="W82" s="313">
        <f t="shared" si="58"/>
        <v>0</v>
      </c>
      <c r="X82" s="323">
        <f t="shared" si="46"/>
        <v>1.0000086592831845</v>
      </c>
      <c r="Y82" s="347">
        <v>0</v>
      </c>
      <c r="Z82" s="347"/>
      <c r="AA82" s="281">
        <v>0</v>
      </c>
      <c r="AB82" s="348"/>
      <c r="AC82" s="343">
        <v>7957</v>
      </c>
      <c r="AD82" s="196">
        <v>7956.81</v>
      </c>
      <c r="AE82" s="281">
        <v>0</v>
      </c>
      <c r="AF82" s="348"/>
      <c r="AG82" s="343">
        <v>23212</v>
      </c>
      <c r="AH82" s="196">
        <v>23212.05</v>
      </c>
      <c r="AI82" s="343">
        <v>16062</v>
      </c>
      <c r="AJ82" s="351">
        <v>16062.09</v>
      </c>
      <c r="AK82" s="343">
        <v>4799</v>
      </c>
      <c r="AL82" s="351">
        <v>4799.16</v>
      </c>
      <c r="AM82" s="343">
        <v>1861.76</v>
      </c>
      <c r="AN82" s="351">
        <v>1861.76</v>
      </c>
      <c r="AO82" s="281">
        <v>0</v>
      </c>
      <c r="AP82" s="348"/>
      <c r="AQ82" s="343">
        <f t="shared" si="190"/>
        <v>3850.24</v>
      </c>
      <c r="AR82" s="351">
        <f>319.75+3530.5</f>
        <v>3850.25</v>
      </c>
      <c r="AS82" s="281">
        <f t="shared" si="188"/>
        <v>0</v>
      </c>
      <c r="AT82" s="348"/>
      <c r="AU82" s="281">
        <f t="shared" si="176"/>
        <v>0</v>
      </c>
      <c r="AV82" s="347"/>
      <c r="AW82" s="349">
        <f t="shared" si="175"/>
        <v>0</v>
      </c>
    </row>
    <row r="83" spans="1:49" ht="13.5" customHeight="1" x14ac:dyDescent="0.35">
      <c r="A83" s="150" t="s">
        <v>566</v>
      </c>
      <c r="B83" s="180"/>
      <c r="C83" s="83"/>
      <c r="D83" s="107"/>
      <c r="E83" s="304"/>
      <c r="F83" s="287"/>
      <c r="G83" s="288" t="e">
        <f>F83/E83</f>
        <v>#DIV/0!</v>
      </c>
      <c r="H83" s="289"/>
      <c r="I83" s="290" t="e">
        <f>H83/E83</f>
        <v>#DIV/0!</v>
      </c>
      <c r="J83" s="287"/>
      <c r="K83" s="288" t="e">
        <f>J83/E83</f>
        <v>#DIV/0!</v>
      </c>
      <c r="L83" s="289"/>
      <c r="M83" s="290" t="e">
        <f>L83/E83</f>
        <v>#DIV/0!</v>
      </c>
      <c r="N83" s="287"/>
      <c r="O83" s="288" t="e">
        <f>N83/E83</f>
        <v>#DIV/0!</v>
      </c>
      <c r="P83" s="289"/>
      <c r="Q83" s="290" t="e">
        <f>P83/E83</f>
        <v>#DIV/0!</v>
      </c>
      <c r="R83" s="287">
        <v>0</v>
      </c>
      <c r="S83" s="313" t="e">
        <f>R83/E83</f>
        <v>#DIV/0!</v>
      </c>
      <c r="T83" s="287"/>
      <c r="U83" s="313" t="e">
        <f t="shared" si="185"/>
        <v>#DIV/0!</v>
      </c>
      <c r="V83" s="287"/>
      <c r="W83" s="313" t="e">
        <f t="shared" si="58"/>
        <v>#DIV/0!</v>
      </c>
      <c r="X83" s="323" t="e">
        <f t="shared" si="46"/>
        <v>#DIV/0!</v>
      </c>
      <c r="Y83" s="81">
        <v>0</v>
      </c>
      <c r="Z83" s="81"/>
      <c r="AA83" s="84">
        <v>0</v>
      </c>
      <c r="AB83" s="85"/>
      <c r="AC83" s="84">
        <v>0</v>
      </c>
      <c r="AD83" s="81"/>
      <c r="AE83" s="84">
        <v>0</v>
      </c>
      <c r="AF83" s="85"/>
      <c r="AG83" s="84">
        <v>0</v>
      </c>
      <c r="AH83" s="81"/>
      <c r="AI83" s="84">
        <v>0</v>
      </c>
      <c r="AJ83" s="85"/>
      <c r="AK83" s="84">
        <f>D83-Y83-AA83-AC83-AE83-AG83-AI83</f>
        <v>0</v>
      </c>
      <c r="AL83" s="85"/>
      <c r="AM83" s="84">
        <f>D83-Y83-AA83-AC83-AE83-AG83-AI83-AK83</f>
        <v>0</v>
      </c>
      <c r="AN83" s="85"/>
      <c r="AO83" s="84">
        <f>D83-Y83-AA83-AC83-AE83-AG83-AI83-AK83-AM83</f>
        <v>0</v>
      </c>
      <c r="AP83" s="85"/>
      <c r="AQ83" s="84">
        <f t="shared" si="190"/>
        <v>0</v>
      </c>
      <c r="AR83" s="85"/>
      <c r="AS83" s="84">
        <f t="shared" si="188"/>
        <v>0</v>
      </c>
      <c r="AT83" s="85"/>
      <c r="AU83" s="84">
        <f t="shared" si="176"/>
        <v>0</v>
      </c>
      <c r="AV83" s="81"/>
      <c r="AW83" s="214">
        <f t="shared" si="175"/>
        <v>0</v>
      </c>
    </row>
    <row r="84" spans="1:49" x14ac:dyDescent="0.35">
      <c r="A84" s="159" t="s">
        <v>565</v>
      </c>
      <c r="B84" s="180"/>
      <c r="C84" s="83">
        <v>119404</v>
      </c>
      <c r="D84" s="107">
        <f xml:space="preserve"> 94162+22249.36+1871.61+1885.79</f>
        <v>120168.76</v>
      </c>
      <c r="E84" s="304">
        <f>D84</f>
        <v>120168.76</v>
      </c>
      <c r="F84" s="287">
        <v>37319.589999999997</v>
      </c>
      <c r="G84" s="288">
        <f t="shared" ref="G84:G111" si="192">F84/E84</f>
        <v>0.31055983268862886</v>
      </c>
      <c r="H84" s="289">
        <v>10313.42</v>
      </c>
      <c r="I84" s="290">
        <f t="shared" ref="I84:I111" si="193">H84/E84</f>
        <v>8.5824468855299832E-2</v>
      </c>
      <c r="J84" s="287">
        <v>9515.17</v>
      </c>
      <c r="K84" s="288">
        <f t="shared" ref="K84:K111" si="194">J84/E84</f>
        <v>7.9181727430656684E-2</v>
      </c>
      <c r="L84" s="289"/>
      <c r="M84" s="290">
        <f t="shared" ref="M84:M111" si="195">L84/E84</f>
        <v>0</v>
      </c>
      <c r="N84" s="287">
        <f>10208.07+5414.14</f>
        <v>15622.21</v>
      </c>
      <c r="O84" s="288">
        <f t="shared" ref="O84:O111" si="196">N84/E84</f>
        <v>0.13000225682615016</v>
      </c>
      <c r="P84" s="289"/>
      <c r="Q84" s="290">
        <f t="shared" ref="Q84:Q111" si="197">P84/E84</f>
        <v>0</v>
      </c>
      <c r="R84" s="287">
        <v>12972.4</v>
      </c>
      <c r="S84" s="313">
        <f t="shared" ref="S84:S111" si="198">R84/E84</f>
        <v>0.10795151751586686</v>
      </c>
      <c r="T84" s="287">
        <f>1200+7218.85+2500</f>
        <v>10918.85</v>
      </c>
      <c r="U84" s="313">
        <f t="shared" si="185"/>
        <v>9.0862633516398117E-2</v>
      </c>
      <c r="V84" s="287">
        <v>22742</v>
      </c>
      <c r="W84" s="313">
        <f t="shared" si="58"/>
        <v>0.18925051735575868</v>
      </c>
      <c r="X84" s="323">
        <f t="shared" si="46"/>
        <v>0.99363295418875919</v>
      </c>
      <c r="Y84" s="81">
        <v>0</v>
      </c>
      <c r="Z84" s="81"/>
      <c r="AA84" s="230">
        <v>23749</v>
      </c>
      <c r="AB84" s="231">
        <v>23748.71</v>
      </c>
      <c r="AC84" s="84">
        <v>0</v>
      </c>
      <c r="AD84" s="81"/>
      <c r="AE84" s="84">
        <v>0</v>
      </c>
      <c r="AF84" s="85"/>
      <c r="AG84" s="84">
        <v>0</v>
      </c>
      <c r="AH84" s="81"/>
      <c r="AI84" s="84">
        <v>0</v>
      </c>
      <c r="AJ84" s="85"/>
      <c r="AK84" s="84">
        <v>0</v>
      </c>
      <c r="AL84" s="85"/>
      <c r="AM84" s="84"/>
      <c r="AN84" s="357"/>
      <c r="AO84" s="230">
        <v>37529</v>
      </c>
      <c r="AP84" s="231">
        <v>37529.300000000003</v>
      </c>
      <c r="AQ84" s="230">
        <f>AR84</f>
        <v>50683.94</v>
      </c>
      <c r="AR84" s="231">
        <f>21506.44+29177.5</f>
        <v>50683.94</v>
      </c>
      <c r="AS84" s="84">
        <v>0</v>
      </c>
      <c r="AT84" s="85"/>
      <c r="AU84" s="230">
        <f t="shared" si="176"/>
        <v>8206.8199999999924</v>
      </c>
      <c r="AV84" s="195">
        <f>742.92+3706.13+1871.61+1885.79</f>
        <v>8206.4500000000007</v>
      </c>
      <c r="AW84" s="214">
        <f t="shared" si="175"/>
        <v>0</v>
      </c>
    </row>
    <row r="85" spans="1:49" x14ac:dyDescent="0.35">
      <c r="A85" s="149" t="s">
        <v>571</v>
      </c>
      <c r="B85" s="180"/>
      <c r="C85" s="83">
        <f>'2021-22'!AU72</f>
        <v>149437</v>
      </c>
      <c r="D85" s="142">
        <v>0</v>
      </c>
      <c r="E85" s="304"/>
      <c r="F85" s="287"/>
      <c r="G85" s="288" t="e">
        <f t="shared" si="192"/>
        <v>#DIV/0!</v>
      </c>
      <c r="H85" s="289"/>
      <c r="I85" s="290" t="e">
        <f t="shared" si="193"/>
        <v>#DIV/0!</v>
      </c>
      <c r="J85" s="287"/>
      <c r="K85" s="288" t="e">
        <f t="shared" si="194"/>
        <v>#DIV/0!</v>
      </c>
      <c r="L85" s="289"/>
      <c r="M85" s="290" t="e">
        <f t="shared" si="195"/>
        <v>#DIV/0!</v>
      </c>
      <c r="N85" s="287"/>
      <c r="O85" s="288" t="e">
        <f t="shared" si="196"/>
        <v>#DIV/0!</v>
      </c>
      <c r="P85" s="289"/>
      <c r="Q85" s="290" t="e">
        <f t="shared" si="197"/>
        <v>#DIV/0!</v>
      </c>
      <c r="R85" s="287"/>
      <c r="S85" s="313" t="e">
        <f t="shared" si="198"/>
        <v>#DIV/0!</v>
      </c>
      <c r="T85" s="287"/>
      <c r="U85" s="313" t="e">
        <f t="shared" si="185"/>
        <v>#DIV/0!</v>
      </c>
      <c r="V85" s="287"/>
      <c r="W85" s="313" t="e">
        <f t="shared" si="58"/>
        <v>#DIV/0!</v>
      </c>
      <c r="X85" s="323" t="e">
        <f t="shared" si="46"/>
        <v>#DIV/0!</v>
      </c>
      <c r="Y85" s="81">
        <v>0</v>
      </c>
      <c r="Z85" s="81"/>
      <c r="AA85" s="84">
        <v>0</v>
      </c>
      <c r="AB85" s="85"/>
      <c r="AC85" s="84">
        <v>0</v>
      </c>
      <c r="AD85" s="81"/>
      <c r="AE85" s="84">
        <f>D85-Y85-AA85-AC85</f>
        <v>0</v>
      </c>
      <c r="AF85" s="85"/>
      <c r="AG85" s="84">
        <f>D85-Y85-AA85-AC85-AE85</f>
        <v>0</v>
      </c>
      <c r="AH85" s="81"/>
      <c r="AI85" s="84">
        <f>D85-Y85-AA85-AC85-AE85-AG85</f>
        <v>0</v>
      </c>
      <c r="AJ85" s="85"/>
      <c r="AK85" s="84">
        <f>D85-Y85-AA85-AC85-AE85-AG85-AI85</f>
        <v>0</v>
      </c>
      <c r="AL85" s="85"/>
      <c r="AM85" s="84">
        <f>D85-Y85-AA85-AC85-AE85-AG85-AI85-AK85</f>
        <v>0</v>
      </c>
      <c r="AN85" s="85"/>
      <c r="AO85" s="84">
        <f>D85-Y85-AA85-AC85-AE85-AG85-AI85-AK85-AM85</f>
        <v>0</v>
      </c>
      <c r="AP85" s="85"/>
      <c r="AQ85" s="84">
        <f t="shared" si="190"/>
        <v>0</v>
      </c>
      <c r="AR85" s="85"/>
      <c r="AS85" s="84">
        <f t="shared" si="188"/>
        <v>0</v>
      </c>
      <c r="AT85" s="85"/>
      <c r="AU85" s="84">
        <f t="shared" si="176"/>
        <v>0</v>
      </c>
      <c r="AV85" s="81"/>
      <c r="AW85" s="214">
        <f t="shared" si="175"/>
        <v>0</v>
      </c>
    </row>
    <row r="86" spans="1:49" x14ac:dyDescent="0.35">
      <c r="A86" s="211" t="s">
        <v>407</v>
      </c>
      <c r="B86" s="180"/>
      <c r="C86" s="83">
        <f>'2021-22'!AU74</f>
        <v>117072</v>
      </c>
      <c r="D86" s="178">
        <f t="shared" ref="D86:D90" si="199">C86</f>
        <v>117072</v>
      </c>
      <c r="E86" s="304"/>
      <c r="F86" s="287"/>
      <c r="G86" s="288" t="e">
        <f t="shared" si="192"/>
        <v>#DIV/0!</v>
      </c>
      <c r="H86" s="289"/>
      <c r="I86" s="290" t="e">
        <f t="shared" si="193"/>
        <v>#DIV/0!</v>
      </c>
      <c r="J86" s="287"/>
      <c r="K86" s="288" t="e">
        <f t="shared" si="194"/>
        <v>#DIV/0!</v>
      </c>
      <c r="L86" s="289"/>
      <c r="M86" s="290" t="e">
        <f t="shared" si="195"/>
        <v>#DIV/0!</v>
      </c>
      <c r="N86" s="287"/>
      <c r="O86" s="288" t="e">
        <f t="shared" si="196"/>
        <v>#DIV/0!</v>
      </c>
      <c r="P86" s="289"/>
      <c r="Q86" s="290" t="e">
        <f t="shared" si="197"/>
        <v>#DIV/0!</v>
      </c>
      <c r="R86" s="287"/>
      <c r="S86" s="313" t="e">
        <f t="shared" si="198"/>
        <v>#DIV/0!</v>
      </c>
      <c r="T86" s="287"/>
      <c r="U86" s="313" t="e">
        <f t="shared" si="185"/>
        <v>#DIV/0!</v>
      </c>
      <c r="V86" s="287"/>
      <c r="W86" s="313" t="e">
        <f t="shared" si="58"/>
        <v>#DIV/0!</v>
      </c>
      <c r="X86" s="323" t="e">
        <f t="shared" si="46"/>
        <v>#DIV/0!</v>
      </c>
      <c r="Y86" s="81">
        <v>0</v>
      </c>
      <c r="Z86" s="81"/>
      <c r="AA86" s="84">
        <v>0</v>
      </c>
      <c r="AB86" s="85"/>
      <c r="AC86" s="84">
        <v>0</v>
      </c>
      <c r="AD86" s="81"/>
      <c r="AE86" s="84">
        <v>0</v>
      </c>
      <c r="AF86" s="85"/>
      <c r="AG86" s="84">
        <v>0</v>
      </c>
      <c r="AH86" s="81"/>
      <c r="AI86" s="84">
        <v>0</v>
      </c>
      <c r="AJ86" s="85"/>
      <c r="AK86" s="84">
        <v>0</v>
      </c>
      <c r="AL86" s="85"/>
      <c r="AM86" s="84">
        <v>0</v>
      </c>
      <c r="AN86" s="85"/>
      <c r="AO86" s="84">
        <v>0</v>
      </c>
      <c r="AP86" s="85"/>
      <c r="AQ86" s="84">
        <v>0</v>
      </c>
      <c r="AR86" s="85"/>
      <c r="AS86" s="84">
        <v>0</v>
      </c>
      <c r="AT86" s="85"/>
      <c r="AU86" s="84">
        <v>0</v>
      </c>
      <c r="AV86" s="81"/>
      <c r="AW86" s="214">
        <f t="shared" si="175"/>
        <v>117072</v>
      </c>
    </row>
    <row r="87" spans="1:49" x14ac:dyDescent="0.35">
      <c r="A87" s="353"/>
      <c r="B87" s="180"/>
      <c r="C87" s="83">
        <f>'2021-22'!AU77</f>
        <v>0</v>
      </c>
      <c r="D87" s="142">
        <f t="shared" si="199"/>
        <v>0</v>
      </c>
      <c r="E87" s="304"/>
      <c r="F87" s="287"/>
      <c r="G87" s="288" t="e">
        <f t="shared" si="192"/>
        <v>#DIV/0!</v>
      </c>
      <c r="H87" s="289"/>
      <c r="I87" s="290" t="e">
        <f t="shared" si="193"/>
        <v>#DIV/0!</v>
      </c>
      <c r="J87" s="287"/>
      <c r="K87" s="288" t="e">
        <f t="shared" si="194"/>
        <v>#DIV/0!</v>
      </c>
      <c r="L87" s="289"/>
      <c r="M87" s="290" t="e">
        <f t="shared" si="195"/>
        <v>#DIV/0!</v>
      </c>
      <c r="N87" s="287"/>
      <c r="O87" s="288" t="e">
        <f t="shared" si="196"/>
        <v>#DIV/0!</v>
      </c>
      <c r="P87" s="289"/>
      <c r="Q87" s="290" t="e">
        <f t="shared" si="197"/>
        <v>#DIV/0!</v>
      </c>
      <c r="R87" s="287"/>
      <c r="S87" s="313" t="e">
        <f t="shared" si="198"/>
        <v>#DIV/0!</v>
      </c>
      <c r="T87" s="287"/>
      <c r="U87" s="313" t="e">
        <f t="shared" si="185"/>
        <v>#DIV/0!</v>
      </c>
      <c r="V87" s="287"/>
      <c r="W87" s="313" t="e">
        <f t="shared" si="58"/>
        <v>#DIV/0!</v>
      </c>
      <c r="X87" s="323" t="e">
        <f t="shared" si="46"/>
        <v>#DIV/0!</v>
      </c>
      <c r="Y87" s="81">
        <v>0</v>
      </c>
      <c r="Z87" s="81"/>
      <c r="AA87" s="84">
        <f>D87-Y87</f>
        <v>0</v>
      </c>
      <c r="AB87" s="85"/>
      <c r="AC87" s="84">
        <f>D87-Y87-AA87</f>
        <v>0</v>
      </c>
      <c r="AD87" s="81"/>
      <c r="AE87" s="84">
        <f>D87-Y87-AA87-AC87</f>
        <v>0</v>
      </c>
      <c r="AF87" s="85"/>
      <c r="AG87" s="84">
        <f>D87-Y87-AA87-AC87-AE87</f>
        <v>0</v>
      </c>
      <c r="AH87" s="81"/>
      <c r="AI87" s="84">
        <f>D87-Y87-AA87-AC87-AE87-AG87</f>
        <v>0</v>
      </c>
      <c r="AJ87" s="85"/>
      <c r="AK87" s="84">
        <f>D87-Y87-AA87-AC87-AE87-AG87-AI87</f>
        <v>0</v>
      </c>
      <c r="AL87" s="85"/>
      <c r="AM87" s="84">
        <f>D87-Y87-AA87-AC87-AE87-AG87-AI87-AK87</f>
        <v>0</v>
      </c>
      <c r="AN87" s="85"/>
      <c r="AO87" s="84">
        <f>D87-Y87-AA87-AC87-AE87-AG87-AI87-AK87-AM87</f>
        <v>0</v>
      </c>
      <c r="AP87" s="85"/>
      <c r="AQ87" s="84">
        <f>D87-Y87-AA87-AC87-AE87-AG87-AI87-AK87-AM87-AO87</f>
        <v>0</v>
      </c>
      <c r="AR87" s="85"/>
      <c r="AS87" s="84">
        <f>D87-Y87-AA87-AC87-AE87-AG87-AI87-AK87-AM87-AO87-AQ87</f>
        <v>0</v>
      </c>
      <c r="AT87" s="85"/>
      <c r="AU87" s="84">
        <f t="shared" si="176"/>
        <v>0</v>
      </c>
      <c r="AV87" s="81"/>
      <c r="AW87" s="214">
        <f t="shared" si="175"/>
        <v>0</v>
      </c>
    </row>
    <row r="88" spans="1:49" x14ac:dyDescent="0.35">
      <c r="A88" s="149"/>
      <c r="B88" s="180"/>
      <c r="C88" s="83">
        <f>'2021-22'!AU78</f>
        <v>0</v>
      </c>
      <c r="D88" s="142">
        <f t="shared" si="199"/>
        <v>0</v>
      </c>
      <c r="E88" s="304"/>
      <c r="F88" s="287"/>
      <c r="G88" s="288" t="e">
        <f t="shared" si="192"/>
        <v>#DIV/0!</v>
      </c>
      <c r="H88" s="289"/>
      <c r="I88" s="290" t="e">
        <f t="shared" si="193"/>
        <v>#DIV/0!</v>
      </c>
      <c r="J88" s="287"/>
      <c r="K88" s="288" t="e">
        <f t="shared" si="194"/>
        <v>#DIV/0!</v>
      </c>
      <c r="L88" s="289"/>
      <c r="M88" s="290" t="e">
        <f t="shared" si="195"/>
        <v>#DIV/0!</v>
      </c>
      <c r="N88" s="287"/>
      <c r="O88" s="288" t="e">
        <f t="shared" si="196"/>
        <v>#DIV/0!</v>
      </c>
      <c r="P88" s="289"/>
      <c r="Q88" s="290" t="e">
        <f t="shared" si="197"/>
        <v>#DIV/0!</v>
      </c>
      <c r="R88" s="287"/>
      <c r="S88" s="313" t="e">
        <f t="shared" si="198"/>
        <v>#DIV/0!</v>
      </c>
      <c r="T88" s="287"/>
      <c r="U88" s="313" t="e">
        <f t="shared" ref="U88:U127" si="200">T88/E88</f>
        <v>#DIV/0!</v>
      </c>
      <c r="V88" s="287"/>
      <c r="W88" s="313" t="e">
        <f t="shared" si="58"/>
        <v>#DIV/0!</v>
      </c>
      <c r="X88" s="323" t="e">
        <f t="shared" si="46"/>
        <v>#DIV/0!</v>
      </c>
      <c r="Y88" s="81">
        <v>0</v>
      </c>
      <c r="Z88" s="81"/>
      <c r="AA88" s="84">
        <f>D88-Y88</f>
        <v>0</v>
      </c>
      <c r="AB88" s="85"/>
      <c r="AC88" s="84">
        <f>D88-Y88-AA88</f>
        <v>0</v>
      </c>
      <c r="AD88" s="81"/>
      <c r="AE88" s="84">
        <f>D88-Y88-AA88-AC88</f>
        <v>0</v>
      </c>
      <c r="AF88" s="85"/>
      <c r="AG88" s="84">
        <f>D88-Y88-AA88-AC88-AE88</f>
        <v>0</v>
      </c>
      <c r="AH88" s="81"/>
      <c r="AI88" s="84">
        <f>D88-Y88-AA88-AC88-AE88-AG88</f>
        <v>0</v>
      </c>
      <c r="AJ88" s="85"/>
      <c r="AK88" s="84">
        <f>D88-Y88-AA88-AC88-AE88-AG88-AI88</f>
        <v>0</v>
      </c>
      <c r="AL88" s="85"/>
      <c r="AM88" s="84">
        <f>D88-Y88-AA88-AC88-AE88-AG88-AI88-AK88</f>
        <v>0</v>
      </c>
      <c r="AN88" s="85"/>
      <c r="AO88" s="84">
        <f>D88-Y88-AA88-AC88-AE88-AG88-AI88-AK88-AM88</f>
        <v>0</v>
      </c>
      <c r="AP88" s="85"/>
      <c r="AQ88" s="84">
        <f>D88-Y88-AA88-AC88-AE88-AG88-AI88-AK88-AM88-AO88</f>
        <v>0</v>
      </c>
      <c r="AR88" s="85"/>
      <c r="AS88" s="84">
        <f>D88-Y88-AA88-AC88-AE88-AG88-AI88-AK88-AM88-AO88-AQ88</f>
        <v>0</v>
      </c>
      <c r="AT88" s="85"/>
      <c r="AU88" s="84">
        <f t="shared" si="176"/>
        <v>0</v>
      </c>
      <c r="AV88" s="81"/>
      <c r="AW88" s="214">
        <f t="shared" si="175"/>
        <v>0</v>
      </c>
    </row>
    <row r="89" spans="1:49" x14ac:dyDescent="0.35">
      <c r="A89" s="149"/>
      <c r="B89" s="180"/>
      <c r="C89" s="83">
        <f>'2021-22'!AU79</f>
        <v>0</v>
      </c>
      <c r="D89" s="142">
        <f t="shared" si="199"/>
        <v>0</v>
      </c>
      <c r="E89" s="304"/>
      <c r="F89" s="287"/>
      <c r="G89" s="288" t="e">
        <f t="shared" si="192"/>
        <v>#DIV/0!</v>
      </c>
      <c r="H89" s="289"/>
      <c r="I89" s="290" t="e">
        <f t="shared" si="193"/>
        <v>#DIV/0!</v>
      </c>
      <c r="J89" s="287"/>
      <c r="K89" s="288" t="e">
        <f t="shared" si="194"/>
        <v>#DIV/0!</v>
      </c>
      <c r="L89" s="289"/>
      <c r="M89" s="290" t="e">
        <f t="shared" si="195"/>
        <v>#DIV/0!</v>
      </c>
      <c r="N89" s="287"/>
      <c r="O89" s="288" t="e">
        <f t="shared" si="196"/>
        <v>#DIV/0!</v>
      </c>
      <c r="P89" s="289"/>
      <c r="Q89" s="290" t="e">
        <f t="shared" si="197"/>
        <v>#DIV/0!</v>
      </c>
      <c r="R89" s="287"/>
      <c r="S89" s="313" t="e">
        <f t="shared" si="198"/>
        <v>#DIV/0!</v>
      </c>
      <c r="T89" s="287"/>
      <c r="U89" s="313" t="e">
        <f t="shared" si="200"/>
        <v>#DIV/0!</v>
      </c>
      <c r="V89" s="287"/>
      <c r="W89" s="313" t="e">
        <f t="shared" si="58"/>
        <v>#DIV/0!</v>
      </c>
      <c r="X89" s="323" t="e">
        <f t="shared" si="46"/>
        <v>#DIV/0!</v>
      </c>
      <c r="Y89" s="81">
        <v>0</v>
      </c>
      <c r="Z89" s="81"/>
      <c r="AA89" s="84">
        <f>D89-Y89</f>
        <v>0</v>
      </c>
      <c r="AB89" s="85"/>
      <c r="AC89" s="84">
        <f>D89-Y89-AA89</f>
        <v>0</v>
      </c>
      <c r="AD89" s="81"/>
      <c r="AE89" s="84">
        <f>D89-Y89-AA89-AC89</f>
        <v>0</v>
      </c>
      <c r="AF89" s="85"/>
      <c r="AG89" s="84">
        <f>D89-Y89-AA89-AC89-AE89</f>
        <v>0</v>
      </c>
      <c r="AH89" s="81"/>
      <c r="AI89" s="84">
        <f>D89-Y89-AA89-AC89-AE89-AG89</f>
        <v>0</v>
      </c>
      <c r="AJ89" s="85"/>
      <c r="AK89" s="84">
        <f>D89-Y89-AA89-AC89-AE89-AG89-AI89</f>
        <v>0</v>
      </c>
      <c r="AL89" s="85"/>
      <c r="AM89" s="84">
        <f>D89-Y89-AA89-AC89-AE89-AG89-AI89-AK89</f>
        <v>0</v>
      </c>
      <c r="AN89" s="85"/>
      <c r="AO89" s="84">
        <f>D89-Y89-AA89-AC89-AE89-AG89-AI89-AK89-AM89</f>
        <v>0</v>
      </c>
      <c r="AP89" s="85"/>
      <c r="AQ89" s="84">
        <f>D89-Y89-AA89-AC89-AE89-AG89-AI89-AK89-AM89-AO89</f>
        <v>0</v>
      </c>
      <c r="AR89" s="85"/>
      <c r="AS89" s="84">
        <f>D89-Y89-AA89-AC89-AE89-AG89-AI89-AK89-AM89-AO89-AQ89</f>
        <v>0</v>
      </c>
      <c r="AT89" s="85"/>
      <c r="AU89" s="84">
        <f t="shared" si="176"/>
        <v>0</v>
      </c>
      <c r="AV89" s="81"/>
      <c r="AW89" s="214">
        <f t="shared" si="175"/>
        <v>0</v>
      </c>
    </row>
    <row r="90" spans="1:49" x14ac:dyDescent="0.35">
      <c r="A90" s="341" t="s">
        <v>570</v>
      </c>
      <c r="B90" s="180"/>
      <c r="C90" s="83">
        <f>'2021-22'!AU80</f>
        <v>0</v>
      </c>
      <c r="D90" s="142">
        <f t="shared" si="199"/>
        <v>0</v>
      </c>
      <c r="E90" s="304"/>
      <c r="F90" s="287"/>
      <c r="G90" s="288" t="e">
        <f t="shared" si="192"/>
        <v>#DIV/0!</v>
      </c>
      <c r="H90" s="289"/>
      <c r="I90" s="290" t="e">
        <f t="shared" si="193"/>
        <v>#DIV/0!</v>
      </c>
      <c r="J90" s="287"/>
      <c r="K90" s="288" t="e">
        <f t="shared" si="194"/>
        <v>#DIV/0!</v>
      </c>
      <c r="L90" s="289"/>
      <c r="M90" s="290" t="e">
        <f t="shared" si="195"/>
        <v>#DIV/0!</v>
      </c>
      <c r="N90" s="287"/>
      <c r="O90" s="288" t="e">
        <f t="shared" si="196"/>
        <v>#DIV/0!</v>
      </c>
      <c r="P90" s="289"/>
      <c r="Q90" s="290" t="e">
        <f t="shared" si="197"/>
        <v>#DIV/0!</v>
      </c>
      <c r="R90" s="287"/>
      <c r="S90" s="313" t="e">
        <f t="shared" si="198"/>
        <v>#DIV/0!</v>
      </c>
      <c r="T90" s="287"/>
      <c r="U90" s="313" t="e">
        <f t="shared" si="200"/>
        <v>#DIV/0!</v>
      </c>
      <c r="V90" s="287"/>
      <c r="W90" s="313" t="e">
        <f t="shared" si="58"/>
        <v>#DIV/0!</v>
      </c>
      <c r="X90" s="323" t="e">
        <f t="shared" si="46"/>
        <v>#DIV/0!</v>
      </c>
      <c r="Y90" s="81">
        <v>0</v>
      </c>
      <c r="Z90" s="81"/>
      <c r="AA90" s="84">
        <f>D90-Y90</f>
        <v>0</v>
      </c>
      <c r="AB90" s="85"/>
      <c r="AC90" s="84">
        <f>D90-Y90-AA90</f>
        <v>0</v>
      </c>
      <c r="AD90" s="81"/>
      <c r="AE90" s="84">
        <f>D90-Y90-AA90-AC90</f>
        <v>0</v>
      </c>
      <c r="AF90" s="85"/>
      <c r="AG90" s="84">
        <f>D90-Y90-AA90-AC90-AE90</f>
        <v>0</v>
      </c>
      <c r="AH90" s="81"/>
      <c r="AI90" s="84">
        <f>D90-Y90-AA90-AC90-AE90-AG90</f>
        <v>0</v>
      </c>
      <c r="AJ90" s="85"/>
      <c r="AK90" s="84">
        <f>D90-Y90-AA90-AC90-AE90-AG90-AI90</f>
        <v>0</v>
      </c>
      <c r="AL90" s="85"/>
      <c r="AM90" s="84">
        <f>D90-Y90-AA90-AC90-AE90-AG90-AI90-AK90</f>
        <v>0</v>
      </c>
      <c r="AN90" s="85"/>
      <c r="AO90" s="84">
        <f>D90-Y90-AA90-AC90-AE90-AG90-AI90-AK90-AM90</f>
        <v>0</v>
      </c>
      <c r="AP90" s="85"/>
      <c r="AQ90" s="84">
        <f>D90-Y90-AA90-AC90-AE90-AG90-AI90-AK90-AM90-AO90</f>
        <v>0</v>
      </c>
      <c r="AR90" s="85"/>
      <c r="AS90" s="84">
        <f>D90-Y90-AA90-AC90-AE90-AG90-AI90-AK90-AM90-AO90-AQ90</f>
        <v>0</v>
      </c>
      <c r="AT90" s="85"/>
      <c r="AU90" s="84">
        <f t="shared" si="176"/>
        <v>0</v>
      </c>
      <c r="AV90" s="81"/>
      <c r="AW90" s="214">
        <f t="shared" si="175"/>
        <v>0</v>
      </c>
    </row>
    <row r="91" spans="1:49" x14ac:dyDescent="0.35">
      <c r="A91" s="327"/>
      <c r="B91" s="328"/>
      <c r="C91" s="330"/>
      <c r="D91" s="330"/>
      <c r="E91" s="331"/>
      <c r="F91" s="332"/>
      <c r="G91" s="333"/>
      <c r="H91" s="332"/>
      <c r="I91" s="333"/>
      <c r="J91" s="332"/>
      <c r="K91" s="333"/>
      <c r="L91" s="332"/>
      <c r="M91" s="333"/>
      <c r="N91" s="332"/>
      <c r="O91" s="333"/>
      <c r="P91" s="332"/>
      <c r="Q91" s="333"/>
      <c r="R91" s="332"/>
      <c r="S91" s="334"/>
      <c r="T91" s="332"/>
      <c r="U91" s="313" t="e">
        <f t="shared" si="200"/>
        <v>#DIV/0!</v>
      </c>
      <c r="V91" s="332"/>
      <c r="W91" s="313" t="e">
        <f t="shared" si="58"/>
        <v>#DIV/0!</v>
      </c>
      <c r="X91" s="323" t="e">
        <f t="shared" si="46"/>
        <v>#DIV/0!</v>
      </c>
      <c r="Y91" s="329"/>
      <c r="Z91" s="329"/>
      <c r="AA91" s="336"/>
      <c r="AB91" s="337"/>
      <c r="AC91" s="338"/>
      <c r="AD91" s="329"/>
      <c r="AE91" s="336"/>
      <c r="AF91" s="337"/>
      <c r="AG91" s="336"/>
      <c r="AH91" s="329"/>
      <c r="AI91" s="336"/>
      <c r="AJ91" s="337"/>
      <c r="AK91" s="336"/>
      <c r="AL91" s="337"/>
      <c r="AM91" s="336"/>
      <c r="AN91" s="337"/>
      <c r="AO91" s="336"/>
      <c r="AP91" s="337"/>
      <c r="AQ91" s="336"/>
      <c r="AR91" s="337"/>
      <c r="AS91" s="336"/>
      <c r="AT91" s="337"/>
      <c r="AU91" s="336"/>
      <c r="AV91" s="329"/>
      <c r="AW91" s="339"/>
    </row>
    <row r="92" spans="1:49" x14ac:dyDescent="0.35">
      <c r="A92" s="159" t="s">
        <v>405</v>
      </c>
      <c r="B92" s="170"/>
      <c r="C92" s="83">
        <f>'2021-22'!AU82</f>
        <v>4421.5999999999922</v>
      </c>
      <c r="D92" s="107">
        <f>C92+911.67+1852.54+182.59-1250</f>
        <v>6118.3999999999924</v>
      </c>
      <c r="E92" s="304">
        <f>D92</f>
        <v>6118.3999999999924</v>
      </c>
      <c r="F92" s="287">
        <v>0</v>
      </c>
      <c r="G92" s="288">
        <f t="shared" si="192"/>
        <v>0</v>
      </c>
      <c r="H92" s="289">
        <v>0</v>
      </c>
      <c r="I92" s="290">
        <f t="shared" si="193"/>
        <v>0</v>
      </c>
      <c r="J92" s="287">
        <v>0</v>
      </c>
      <c r="K92" s="288">
        <f t="shared" si="194"/>
        <v>0</v>
      </c>
      <c r="L92" s="289">
        <v>0</v>
      </c>
      <c r="M92" s="290">
        <f t="shared" si="195"/>
        <v>0</v>
      </c>
      <c r="N92" s="287">
        <v>0</v>
      </c>
      <c r="O92" s="288">
        <f t="shared" si="196"/>
        <v>0</v>
      </c>
      <c r="P92" s="289">
        <v>0</v>
      </c>
      <c r="Q92" s="290">
        <f t="shared" si="197"/>
        <v>0</v>
      </c>
      <c r="R92" s="287">
        <v>0</v>
      </c>
      <c r="S92" s="313">
        <f t="shared" si="198"/>
        <v>0</v>
      </c>
      <c r="T92" s="287"/>
      <c r="U92" s="313">
        <f t="shared" si="200"/>
        <v>0</v>
      </c>
      <c r="V92" s="287"/>
      <c r="W92" s="313">
        <f t="shared" si="58"/>
        <v>0</v>
      </c>
      <c r="X92" s="323">
        <f t="shared" si="46"/>
        <v>0</v>
      </c>
      <c r="Y92" s="81">
        <v>0</v>
      </c>
      <c r="Z92" s="81"/>
      <c r="AA92" s="84">
        <v>0</v>
      </c>
      <c r="AB92" s="85"/>
      <c r="AC92" s="50">
        <v>0</v>
      </c>
      <c r="AD92" s="81"/>
      <c r="AE92" s="84">
        <v>0</v>
      </c>
      <c r="AF92" s="85"/>
      <c r="AG92" s="84">
        <v>0</v>
      </c>
      <c r="AH92" s="81"/>
      <c r="AI92" s="84">
        <v>0</v>
      </c>
      <c r="AJ92" s="85"/>
      <c r="AK92" s="84">
        <v>0</v>
      </c>
      <c r="AL92" s="85"/>
      <c r="AM92" s="230">
        <f>D92-Y92-AA92-AC92-AE92-AG92-AI92-AK92</f>
        <v>6118.3999999999924</v>
      </c>
      <c r="AN92" s="231">
        <v>6118</v>
      </c>
      <c r="AO92" s="84">
        <f t="shared" ref="AO92:AO126" si="201">D92-Y92-AA92-AC92-AE92-AG92-AI92-AK92-AM92</f>
        <v>0</v>
      </c>
      <c r="AP92" s="85"/>
      <c r="AQ92" s="84">
        <f t="shared" ref="AQ92:AQ126" si="202">D92-Y92-AA92-AC92-AE92-AG92-AI92-AK92-AM92-AO92</f>
        <v>0</v>
      </c>
      <c r="AR92" s="85"/>
      <c r="AS92" s="84">
        <f t="shared" ref="AS92:AS126" si="203">D92-Y92-AA92-AC92-AE92-AG92-AI92-AK92-AM92-AO92-AQ92</f>
        <v>0</v>
      </c>
      <c r="AT92" s="85"/>
      <c r="AU92" s="84">
        <f t="shared" ref="AU92:AU126" si="204">D92-Y92-AA92-AC92-AE92-AG92-AI92-AK92-AM92-AO92-AQ92-AS92</f>
        <v>0</v>
      </c>
      <c r="AV92" s="81"/>
      <c r="AW92" s="214">
        <f t="shared" ref="AW92:AW126" si="205">D92-Y92-AA92-AC92-AE92-AG92-AI92-AK92-AM92-AO92-AQ92-AS92-AU92</f>
        <v>0</v>
      </c>
    </row>
    <row r="93" spans="1:49" hidden="1" x14ac:dyDescent="0.35">
      <c r="A93" s="151" t="s">
        <v>534</v>
      </c>
      <c r="B93" s="180"/>
      <c r="C93" s="83">
        <f>'2020-21'!AS21</f>
        <v>0</v>
      </c>
      <c r="D93" s="107">
        <f t="shared" ref="D93:E126" si="206">C93</f>
        <v>0</v>
      </c>
      <c r="E93" s="304"/>
      <c r="F93" s="287"/>
      <c r="G93" s="288" t="e">
        <f t="shared" si="192"/>
        <v>#DIV/0!</v>
      </c>
      <c r="H93" s="289"/>
      <c r="I93" s="290" t="e">
        <f t="shared" si="193"/>
        <v>#DIV/0!</v>
      </c>
      <c r="J93" s="287"/>
      <c r="K93" s="288" t="e">
        <f t="shared" si="194"/>
        <v>#DIV/0!</v>
      </c>
      <c r="L93" s="289"/>
      <c r="M93" s="290" t="e">
        <f t="shared" si="195"/>
        <v>#DIV/0!</v>
      </c>
      <c r="N93" s="287"/>
      <c r="O93" s="288" t="e">
        <f t="shared" si="196"/>
        <v>#DIV/0!</v>
      </c>
      <c r="P93" s="289"/>
      <c r="Q93" s="290" t="e">
        <f t="shared" si="197"/>
        <v>#DIV/0!</v>
      </c>
      <c r="R93" s="287"/>
      <c r="S93" s="313" t="e">
        <f t="shared" si="198"/>
        <v>#DIV/0!</v>
      </c>
      <c r="T93" s="287"/>
      <c r="U93" s="313" t="e">
        <f t="shared" si="200"/>
        <v>#DIV/0!</v>
      </c>
      <c r="V93" s="287"/>
      <c r="W93" s="313" t="e">
        <f t="shared" si="58"/>
        <v>#DIV/0!</v>
      </c>
      <c r="X93" s="323" t="e">
        <f t="shared" si="46"/>
        <v>#DIV/0!</v>
      </c>
      <c r="Y93" s="81">
        <f t="shared" ref="Y93:Y126" si="207">D93</f>
        <v>0</v>
      </c>
      <c r="Z93" s="81"/>
      <c r="AA93" s="84">
        <f t="shared" ref="AA93:AA126" si="208">D93-Y93</f>
        <v>0</v>
      </c>
      <c r="AB93" s="85"/>
      <c r="AC93" s="48">
        <f t="shared" ref="AC93:AC126" si="209">D93-Y93-AA93</f>
        <v>0</v>
      </c>
      <c r="AD93" s="81"/>
      <c r="AE93" s="84">
        <f t="shared" ref="AE93:AE126" si="210">D93-Y93-AA93-AC93</f>
        <v>0</v>
      </c>
      <c r="AF93" s="85"/>
      <c r="AG93" s="84">
        <f t="shared" ref="AG93:AG126" si="211">D93-Y93-AA93-AC93-AE93</f>
        <v>0</v>
      </c>
      <c r="AH93" s="81"/>
      <c r="AI93" s="84">
        <f t="shared" ref="AI93:AI126" si="212">D93-Y93-AA93-AC93-AE93-AG93</f>
        <v>0</v>
      </c>
      <c r="AJ93" s="85"/>
      <c r="AK93" s="84">
        <f t="shared" ref="AK93:AK126" si="213">D93-Y93-AA93-AC93-AE93-AG93-AI93</f>
        <v>0</v>
      </c>
      <c r="AL93" s="85"/>
      <c r="AM93" s="84">
        <f t="shared" ref="AM93:AM126" si="214">D93-Y93-AA93-AC93-AE93-AG93-AI93-AK93</f>
        <v>0</v>
      </c>
      <c r="AN93" s="85"/>
      <c r="AO93" s="84">
        <f t="shared" si="201"/>
        <v>0</v>
      </c>
      <c r="AP93" s="85"/>
      <c r="AQ93" s="84">
        <f t="shared" si="202"/>
        <v>0</v>
      </c>
      <c r="AR93" s="85"/>
      <c r="AS93" s="84">
        <f t="shared" si="203"/>
        <v>0</v>
      </c>
      <c r="AT93" s="85"/>
      <c r="AU93" s="84">
        <f t="shared" si="204"/>
        <v>0</v>
      </c>
      <c r="AV93" s="81"/>
      <c r="AW93" s="214">
        <f t="shared" si="205"/>
        <v>0</v>
      </c>
    </row>
    <row r="94" spans="1:49" hidden="1" x14ac:dyDescent="0.35">
      <c r="A94" s="151" t="s">
        <v>362</v>
      </c>
      <c r="B94" s="180"/>
      <c r="C94" s="83">
        <f>'2020-21'!AS48</f>
        <v>0</v>
      </c>
      <c r="D94" s="107">
        <f t="shared" si="206"/>
        <v>0</v>
      </c>
      <c r="E94" s="304"/>
      <c r="F94" s="287"/>
      <c r="G94" s="288" t="e">
        <f t="shared" si="192"/>
        <v>#DIV/0!</v>
      </c>
      <c r="H94" s="289"/>
      <c r="I94" s="290" t="e">
        <f t="shared" si="193"/>
        <v>#DIV/0!</v>
      </c>
      <c r="J94" s="287"/>
      <c r="K94" s="288" t="e">
        <f t="shared" si="194"/>
        <v>#DIV/0!</v>
      </c>
      <c r="L94" s="289"/>
      <c r="M94" s="290" t="e">
        <f t="shared" si="195"/>
        <v>#DIV/0!</v>
      </c>
      <c r="N94" s="287"/>
      <c r="O94" s="288" t="e">
        <f t="shared" si="196"/>
        <v>#DIV/0!</v>
      </c>
      <c r="P94" s="289"/>
      <c r="Q94" s="290" t="e">
        <f t="shared" si="197"/>
        <v>#DIV/0!</v>
      </c>
      <c r="R94" s="287"/>
      <c r="S94" s="313" t="e">
        <f t="shared" si="198"/>
        <v>#DIV/0!</v>
      </c>
      <c r="T94" s="287"/>
      <c r="U94" s="313" t="e">
        <f t="shared" si="200"/>
        <v>#DIV/0!</v>
      </c>
      <c r="V94" s="287"/>
      <c r="W94" s="313" t="e">
        <f t="shared" si="58"/>
        <v>#DIV/0!</v>
      </c>
      <c r="X94" s="323" t="e">
        <f t="shared" si="46"/>
        <v>#DIV/0!</v>
      </c>
      <c r="Y94" s="81">
        <f t="shared" si="207"/>
        <v>0</v>
      </c>
      <c r="Z94" s="81"/>
      <c r="AA94" s="84">
        <f t="shared" si="208"/>
        <v>0</v>
      </c>
      <c r="AB94" s="85"/>
      <c r="AC94" s="48">
        <f t="shared" si="209"/>
        <v>0</v>
      </c>
      <c r="AD94" s="81"/>
      <c r="AE94" s="84">
        <f t="shared" si="210"/>
        <v>0</v>
      </c>
      <c r="AF94" s="85"/>
      <c r="AG94" s="84">
        <f t="shared" si="211"/>
        <v>0</v>
      </c>
      <c r="AH94" s="81"/>
      <c r="AI94" s="84">
        <f t="shared" si="212"/>
        <v>0</v>
      </c>
      <c r="AJ94" s="85"/>
      <c r="AK94" s="84">
        <f t="shared" si="213"/>
        <v>0</v>
      </c>
      <c r="AL94" s="85"/>
      <c r="AM94" s="84">
        <f t="shared" si="214"/>
        <v>0</v>
      </c>
      <c r="AN94" s="85"/>
      <c r="AO94" s="84">
        <f t="shared" si="201"/>
        <v>0</v>
      </c>
      <c r="AP94" s="85"/>
      <c r="AQ94" s="84">
        <f t="shared" si="202"/>
        <v>0</v>
      </c>
      <c r="AR94" s="85"/>
      <c r="AS94" s="84">
        <f t="shared" si="203"/>
        <v>0</v>
      </c>
      <c r="AT94" s="85"/>
      <c r="AU94" s="84">
        <f t="shared" si="204"/>
        <v>0</v>
      </c>
      <c r="AV94" s="81"/>
      <c r="AW94" s="214">
        <f t="shared" si="205"/>
        <v>0</v>
      </c>
    </row>
    <row r="95" spans="1:49" hidden="1" x14ac:dyDescent="0.35">
      <c r="A95" s="159" t="s">
        <v>432</v>
      </c>
      <c r="B95" s="180"/>
      <c r="C95" s="83">
        <f>'2020-21'!AS49</f>
        <v>0</v>
      </c>
      <c r="D95" s="107">
        <f t="shared" si="206"/>
        <v>0</v>
      </c>
      <c r="E95" s="304"/>
      <c r="F95" s="287"/>
      <c r="G95" s="288" t="e">
        <f t="shared" si="192"/>
        <v>#DIV/0!</v>
      </c>
      <c r="H95" s="289"/>
      <c r="I95" s="290" t="e">
        <f t="shared" si="193"/>
        <v>#DIV/0!</v>
      </c>
      <c r="J95" s="287"/>
      <c r="K95" s="288" t="e">
        <f t="shared" si="194"/>
        <v>#DIV/0!</v>
      </c>
      <c r="L95" s="289"/>
      <c r="M95" s="290" t="e">
        <f t="shared" si="195"/>
        <v>#DIV/0!</v>
      </c>
      <c r="N95" s="287"/>
      <c r="O95" s="288" t="e">
        <f t="shared" si="196"/>
        <v>#DIV/0!</v>
      </c>
      <c r="P95" s="289"/>
      <c r="Q95" s="290" t="e">
        <f t="shared" si="197"/>
        <v>#DIV/0!</v>
      </c>
      <c r="R95" s="287"/>
      <c r="S95" s="313" t="e">
        <f t="shared" si="198"/>
        <v>#DIV/0!</v>
      </c>
      <c r="T95" s="287"/>
      <c r="U95" s="313" t="e">
        <f t="shared" si="200"/>
        <v>#DIV/0!</v>
      </c>
      <c r="V95" s="287"/>
      <c r="W95" s="313" t="e">
        <f t="shared" si="58"/>
        <v>#DIV/0!</v>
      </c>
      <c r="X95" s="323" t="e">
        <f t="shared" ref="X95:X129" si="215">W95+U95+S95+Q95+O95+M95+K95+I95+G95</f>
        <v>#DIV/0!</v>
      </c>
      <c r="Y95" s="81">
        <f t="shared" si="207"/>
        <v>0</v>
      </c>
      <c r="Z95" s="81"/>
      <c r="AA95" s="84">
        <f t="shared" si="208"/>
        <v>0</v>
      </c>
      <c r="AB95" s="85"/>
      <c r="AC95" s="48">
        <f t="shared" si="209"/>
        <v>0</v>
      </c>
      <c r="AD95" s="81"/>
      <c r="AE95" s="84">
        <f t="shared" si="210"/>
        <v>0</v>
      </c>
      <c r="AF95" s="85"/>
      <c r="AG95" s="84">
        <f t="shared" si="211"/>
        <v>0</v>
      </c>
      <c r="AH95" s="81"/>
      <c r="AI95" s="84">
        <f t="shared" si="212"/>
        <v>0</v>
      </c>
      <c r="AJ95" s="85"/>
      <c r="AK95" s="84">
        <f t="shared" si="213"/>
        <v>0</v>
      </c>
      <c r="AL95" s="85"/>
      <c r="AM95" s="84">
        <f t="shared" si="214"/>
        <v>0</v>
      </c>
      <c r="AN95" s="85"/>
      <c r="AO95" s="84">
        <f t="shared" si="201"/>
        <v>0</v>
      </c>
      <c r="AP95" s="85"/>
      <c r="AQ95" s="84">
        <f t="shared" si="202"/>
        <v>0</v>
      </c>
      <c r="AR95" s="85"/>
      <c r="AS95" s="84">
        <f t="shared" si="203"/>
        <v>0</v>
      </c>
      <c r="AT95" s="85"/>
      <c r="AU95" s="84">
        <f t="shared" si="204"/>
        <v>0</v>
      </c>
      <c r="AV95" s="81"/>
      <c r="AW95" s="214">
        <f t="shared" si="205"/>
        <v>0</v>
      </c>
    </row>
    <row r="96" spans="1:49" hidden="1" x14ac:dyDescent="0.35">
      <c r="A96" s="211" t="s">
        <v>448</v>
      </c>
      <c r="B96" s="180"/>
      <c r="C96" s="83">
        <f>'2020-21'!AS50</f>
        <v>0</v>
      </c>
      <c r="D96" s="107">
        <f t="shared" si="206"/>
        <v>0</v>
      </c>
      <c r="E96" s="304"/>
      <c r="F96" s="287"/>
      <c r="G96" s="288" t="e">
        <f t="shared" si="192"/>
        <v>#DIV/0!</v>
      </c>
      <c r="H96" s="289"/>
      <c r="I96" s="290" t="e">
        <f t="shared" si="193"/>
        <v>#DIV/0!</v>
      </c>
      <c r="J96" s="287"/>
      <c r="K96" s="288" t="e">
        <f t="shared" si="194"/>
        <v>#DIV/0!</v>
      </c>
      <c r="L96" s="289"/>
      <c r="M96" s="290" t="e">
        <f t="shared" si="195"/>
        <v>#DIV/0!</v>
      </c>
      <c r="N96" s="287"/>
      <c r="O96" s="288" t="e">
        <f t="shared" si="196"/>
        <v>#DIV/0!</v>
      </c>
      <c r="P96" s="289"/>
      <c r="Q96" s="290" t="e">
        <f t="shared" si="197"/>
        <v>#DIV/0!</v>
      </c>
      <c r="R96" s="287"/>
      <c r="S96" s="313" t="e">
        <f t="shared" si="198"/>
        <v>#DIV/0!</v>
      </c>
      <c r="T96" s="287"/>
      <c r="U96" s="313" t="e">
        <f t="shared" si="200"/>
        <v>#DIV/0!</v>
      </c>
      <c r="V96" s="287"/>
      <c r="W96" s="313" t="e">
        <f t="shared" ref="W96:W128" si="216">V96/E96</f>
        <v>#DIV/0!</v>
      </c>
      <c r="X96" s="323" t="e">
        <f t="shared" si="215"/>
        <v>#DIV/0!</v>
      </c>
      <c r="Y96" s="81">
        <f t="shared" si="207"/>
        <v>0</v>
      </c>
      <c r="Z96" s="81"/>
      <c r="AA96" s="84">
        <f t="shared" si="208"/>
        <v>0</v>
      </c>
      <c r="AB96" s="85"/>
      <c r="AC96" s="48">
        <f t="shared" si="209"/>
        <v>0</v>
      </c>
      <c r="AD96" s="48"/>
      <c r="AE96" s="84">
        <f t="shared" si="210"/>
        <v>0</v>
      </c>
      <c r="AF96" s="85"/>
      <c r="AG96" s="84">
        <f t="shared" si="211"/>
        <v>0</v>
      </c>
      <c r="AH96" s="81"/>
      <c r="AI96" s="84">
        <f t="shared" si="212"/>
        <v>0</v>
      </c>
      <c r="AJ96" s="85"/>
      <c r="AK96" s="84">
        <f t="shared" si="213"/>
        <v>0</v>
      </c>
      <c r="AL96" s="85"/>
      <c r="AM96" s="84">
        <f t="shared" si="214"/>
        <v>0</v>
      </c>
      <c r="AN96" s="85"/>
      <c r="AO96" s="84">
        <f t="shared" si="201"/>
        <v>0</v>
      </c>
      <c r="AP96" s="85"/>
      <c r="AQ96" s="84">
        <f t="shared" si="202"/>
        <v>0</v>
      </c>
      <c r="AR96" s="85"/>
      <c r="AS96" s="84">
        <f t="shared" si="203"/>
        <v>0</v>
      </c>
      <c r="AT96" s="85"/>
      <c r="AU96" s="84">
        <f t="shared" si="204"/>
        <v>0</v>
      </c>
      <c r="AV96" s="81"/>
      <c r="AW96" s="214">
        <f t="shared" si="205"/>
        <v>0</v>
      </c>
    </row>
    <row r="97" spans="1:49" hidden="1" x14ac:dyDescent="0.35">
      <c r="A97" s="159" t="s">
        <v>404</v>
      </c>
      <c r="B97" s="180"/>
      <c r="C97" s="83">
        <f>'2020-21'!AS51</f>
        <v>0</v>
      </c>
      <c r="D97" s="107">
        <f t="shared" si="206"/>
        <v>0</v>
      </c>
      <c r="E97" s="304">
        <f t="shared" si="206"/>
        <v>0</v>
      </c>
      <c r="F97" s="287"/>
      <c r="G97" s="288" t="e">
        <f t="shared" si="192"/>
        <v>#DIV/0!</v>
      </c>
      <c r="H97" s="289"/>
      <c r="I97" s="290" t="e">
        <f t="shared" si="193"/>
        <v>#DIV/0!</v>
      </c>
      <c r="J97" s="287"/>
      <c r="K97" s="288" t="e">
        <f t="shared" si="194"/>
        <v>#DIV/0!</v>
      </c>
      <c r="L97" s="289"/>
      <c r="M97" s="290" t="e">
        <f t="shared" si="195"/>
        <v>#DIV/0!</v>
      </c>
      <c r="N97" s="287"/>
      <c r="O97" s="288" t="e">
        <f t="shared" si="196"/>
        <v>#DIV/0!</v>
      </c>
      <c r="P97" s="289"/>
      <c r="Q97" s="290" t="e">
        <f t="shared" si="197"/>
        <v>#DIV/0!</v>
      </c>
      <c r="R97" s="287"/>
      <c r="S97" s="313" t="e">
        <f t="shared" si="198"/>
        <v>#DIV/0!</v>
      </c>
      <c r="T97" s="287"/>
      <c r="U97" s="313" t="e">
        <f t="shared" si="200"/>
        <v>#DIV/0!</v>
      </c>
      <c r="V97" s="287"/>
      <c r="W97" s="313" t="e">
        <f t="shared" si="216"/>
        <v>#DIV/0!</v>
      </c>
      <c r="X97" s="323" t="e">
        <f t="shared" si="215"/>
        <v>#DIV/0!</v>
      </c>
      <c r="Y97" s="81">
        <f t="shared" si="207"/>
        <v>0</v>
      </c>
      <c r="Z97" s="81"/>
      <c r="AA97" s="84">
        <f t="shared" si="208"/>
        <v>0</v>
      </c>
      <c r="AB97" s="85"/>
      <c r="AC97" s="48">
        <f t="shared" si="209"/>
        <v>0</v>
      </c>
      <c r="AD97" s="81"/>
      <c r="AE97" s="84">
        <f t="shared" si="210"/>
        <v>0</v>
      </c>
      <c r="AF97" s="85"/>
      <c r="AG97" s="84">
        <f t="shared" si="211"/>
        <v>0</v>
      </c>
      <c r="AH97" s="81"/>
      <c r="AI97" s="84">
        <f t="shared" si="212"/>
        <v>0</v>
      </c>
      <c r="AJ97" s="326"/>
      <c r="AK97" s="84">
        <f t="shared" si="213"/>
        <v>0</v>
      </c>
      <c r="AL97" s="85"/>
      <c r="AM97" s="84">
        <f t="shared" si="214"/>
        <v>0</v>
      </c>
      <c r="AN97" s="85"/>
      <c r="AO97" s="84">
        <f t="shared" si="201"/>
        <v>0</v>
      </c>
      <c r="AP97" s="85"/>
      <c r="AQ97" s="84">
        <f t="shared" si="202"/>
        <v>0</v>
      </c>
      <c r="AR97" s="85"/>
      <c r="AS97" s="84">
        <f t="shared" si="203"/>
        <v>0</v>
      </c>
      <c r="AT97" s="85"/>
      <c r="AU97" s="84">
        <f t="shared" si="204"/>
        <v>0</v>
      </c>
      <c r="AV97" s="81"/>
      <c r="AW97" s="214">
        <f t="shared" si="205"/>
        <v>0</v>
      </c>
    </row>
    <row r="98" spans="1:49" hidden="1" x14ac:dyDescent="0.35">
      <c r="A98" s="159" t="s">
        <v>474</v>
      </c>
      <c r="B98" s="180"/>
      <c r="C98" s="83">
        <f>'2020-21'!AS52</f>
        <v>-0.31000000000130967</v>
      </c>
      <c r="D98" s="107">
        <f t="shared" si="206"/>
        <v>-0.31000000000130967</v>
      </c>
      <c r="E98" s="304">
        <f t="shared" si="206"/>
        <v>-0.31000000000130967</v>
      </c>
      <c r="F98" s="287"/>
      <c r="G98" s="288">
        <f t="shared" si="192"/>
        <v>0</v>
      </c>
      <c r="H98" s="289"/>
      <c r="I98" s="290">
        <f t="shared" si="193"/>
        <v>0</v>
      </c>
      <c r="J98" s="287"/>
      <c r="K98" s="288">
        <f t="shared" si="194"/>
        <v>0</v>
      </c>
      <c r="L98" s="289"/>
      <c r="M98" s="290">
        <f t="shared" si="195"/>
        <v>0</v>
      </c>
      <c r="N98" s="287"/>
      <c r="O98" s="288">
        <f t="shared" si="196"/>
        <v>0</v>
      </c>
      <c r="P98" s="289"/>
      <c r="Q98" s="290">
        <f t="shared" si="197"/>
        <v>0</v>
      </c>
      <c r="R98" s="287"/>
      <c r="S98" s="313">
        <f t="shared" si="198"/>
        <v>0</v>
      </c>
      <c r="T98" s="287"/>
      <c r="U98" s="313">
        <f t="shared" si="200"/>
        <v>0</v>
      </c>
      <c r="V98" s="287"/>
      <c r="W98" s="313">
        <f t="shared" si="216"/>
        <v>0</v>
      </c>
      <c r="X98" s="323">
        <f t="shared" si="215"/>
        <v>0</v>
      </c>
      <c r="Y98" s="81">
        <f t="shared" si="207"/>
        <v>-0.31000000000130967</v>
      </c>
      <c r="Z98" s="81"/>
      <c r="AA98" s="84">
        <f t="shared" si="208"/>
        <v>0</v>
      </c>
      <c r="AB98" s="85"/>
      <c r="AC98" s="48">
        <f t="shared" si="209"/>
        <v>0</v>
      </c>
      <c r="AD98" s="81"/>
      <c r="AE98" s="84">
        <f t="shared" si="210"/>
        <v>0</v>
      </c>
      <c r="AF98" s="85"/>
      <c r="AG98" s="84">
        <f t="shared" si="211"/>
        <v>0</v>
      </c>
      <c r="AH98" s="81"/>
      <c r="AI98" s="84">
        <f t="shared" si="212"/>
        <v>0</v>
      </c>
      <c r="AJ98" s="85"/>
      <c r="AK98" s="84">
        <f t="shared" si="213"/>
        <v>0</v>
      </c>
      <c r="AL98" s="85"/>
      <c r="AM98" s="84">
        <f t="shared" si="214"/>
        <v>0</v>
      </c>
      <c r="AN98" s="85"/>
      <c r="AO98" s="84">
        <f t="shared" si="201"/>
        <v>0</v>
      </c>
      <c r="AP98" s="85"/>
      <c r="AQ98" s="84">
        <f t="shared" si="202"/>
        <v>0</v>
      </c>
      <c r="AR98" s="85"/>
      <c r="AS98" s="84">
        <f t="shared" si="203"/>
        <v>0</v>
      </c>
      <c r="AT98" s="85"/>
      <c r="AU98" s="84">
        <f t="shared" si="204"/>
        <v>0</v>
      </c>
      <c r="AV98" s="81"/>
      <c r="AW98" s="214">
        <f t="shared" si="205"/>
        <v>0</v>
      </c>
    </row>
    <row r="99" spans="1:49" hidden="1" x14ac:dyDescent="0.35">
      <c r="A99" s="159" t="s">
        <v>473</v>
      </c>
      <c r="B99" s="180"/>
      <c r="C99" s="83">
        <f>'2020-21'!AS53</f>
        <v>0</v>
      </c>
      <c r="D99" s="107">
        <f t="shared" si="206"/>
        <v>0</v>
      </c>
      <c r="E99" s="304">
        <f t="shared" si="206"/>
        <v>0</v>
      </c>
      <c r="F99" s="287"/>
      <c r="G99" s="288" t="e">
        <f t="shared" si="192"/>
        <v>#DIV/0!</v>
      </c>
      <c r="H99" s="289"/>
      <c r="I99" s="290" t="e">
        <f t="shared" si="193"/>
        <v>#DIV/0!</v>
      </c>
      <c r="J99" s="287"/>
      <c r="K99" s="288" t="e">
        <f t="shared" si="194"/>
        <v>#DIV/0!</v>
      </c>
      <c r="L99" s="289"/>
      <c r="M99" s="290" t="e">
        <f t="shared" si="195"/>
        <v>#DIV/0!</v>
      </c>
      <c r="N99" s="287"/>
      <c r="O99" s="288" t="e">
        <f t="shared" si="196"/>
        <v>#DIV/0!</v>
      </c>
      <c r="P99" s="289"/>
      <c r="Q99" s="290" t="e">
        <f t="shared" si="197"/>
        <v>#DIV/0!</v>
      </c>
      <c r="R99" s="287"/>
      <c r="S99" s="313" t="e">
        <f t="shared" si="198"/>
        <v>#DIV/0!</v>
      </c>
      <c r="T99" s="287"/>
      <c r="U99" s="313" t="e">
        <f t="shared" si="200"/>
        <v>#DIV/0!</v>
      </c>
      <c r="V99" s="287"/>
      <c r="W99" s="313" t="e">
        <f t="shared" si="216"/>
        <v>#DIV/0!</v>
      </c>
      <c r="X99" s="323" t="e">
        <f t="shared" si="215"/>
        <v>#DIV/0!</v>
      </c>
      <c r="Y99" s="81">
        <f t="shared" si="207"/>
        <v>0</v>
      </c>
      <c r="Z99" s="81"/>
      <c r="AA99" s="84">
        <f t="shared" si="208"/>
        <v>0</v>
      </c>
      <c r="AB99" s="85"/>
      <c r="AC99" s="48">
        <f t="shared" si="209"/>
        <v>0</v>
      </c>
      <c r="AD99" s="81"/>
      <c r="AE99" s="84">
        <f t="shared" si="210"/>
        <v>0</v>
      </c>
      <c r="AF99" s="85"/>
      <c r="AG99" s="84">
        <f t="shared" si="211"/>
        <v>0</v>
      </c>
      <c r="AH99" s="81"/>
      <c r="AI99" s="84">
        <f t="shared" si="212"/>
        <v>0</v>
      </c>
      <c r="AJ99" s="85"/>
      <c r="AK99" s="84">
        <f t="shared" si="213"/>
        <v>0</v>
      </c>
      <c r="AL99" s="85"/>
      <c r="AM99" s="84">
        <f t="shared" si="214"/>
        <v>0</v>
      </c>
      <c r="AN99" s="85"/>
      <c r="AO99" s="84">
        <f t="shared" si="201"/>
        <v>0</v>
      </c>
      <c r="AP99" s="85"/>
      <c r="AQ99" s="84">
        <f t="shared" si="202"/>
        <v>0</v>
      </c>
      <c r="AR99" s="85"/>
      <c r="AS99" s="84">
        <f t="shared" si="203"/>
        <v>0</v>
      </c>
      <c r="AT99" s="85"/>
      <c r="AU99" s="84">
        <f t="shared" si="204"/>
        <v>0</v>
      </c>
      <c r="AV99" s="81"/>
      <c r="AW99" s="214">
        <f t="shared" si="205"/>
        <v>0</v>
      </c>
    </row>
    <row r="100" spans="1:49" hidden="1" x14ac:dyDescent="0.35">
      <c r="A100" s="211" t="s">
        <v>445</v>
      </c>
      <c r="B100" s="180"/>
      <c r="C100" s="83">
        <f>'2020-21'!AS54</f>
        <v>0</v>
      </c>
      <c r="D100" s="107">
        <f t="shared" si="206"/>
        <v>0</v>
      </c>
      <c r="E100" s="304">
        <f t="shared" si="206"/>
        <v>0</v>
      </c>
      <c r="F100" s="287"/>
      <c r="G100" s="288" t="e">
        <f t="shared" si="192"/>
        <v>#DIV/0!</v>
      </c>
      <c r="H100" s="289"/>
      <c r="I100" s="290" t="e">
        <f t="shared" si="193"/>
        <v>#DIV/0!</v>
      </c>
      <c r="J100" s="287"/>
      <c r="K100" s="288" t="e">
        <f t="shared" si="194"/>
        <v>#DIV/0!</v>
      </c>
      <c r="L100" s="289"/>
      <c r="M100" s="290" t="e">
        <f t="shared" si="195"/>
        <v>#DIV/0!</v>
      </c>
      <c r="N100" s="287"/>
      <c r="O100" s="288" t="e">
        <f t="shared" si="196"/>
        <v>#DIV/0!</v>
      </c>
      <c r="P100" s="289"/>
      <c r="Q100" s="290" t="e">
        <f t="shared" si="197"/>
        <v>#DIV/0!</v>
      </c>
      <c r="R100" s="287"/>
      <c r="S100" s="313" t="e">
        <f t="shared" si="198"/>
        <v>#DIV/0!</v>
      </c>
      <c r="T100" s="287"/>
      <c r="U100" s="313" t="e">
        <f t="shared" si="200"/>
        <v>#DIV/0!</v>
      </c>
      <c r="V100" s="287"/>
      <c r="W100" s="313" t="e">
        <f t="shared" si="216"/>
        <v>#DIV/0!</v>
      </c>
      <c r="X100" s="323" t="e">
        <f t="shared" si="215"/>
        <v>#DIV/0!</v>
      </c>
      <c r="Y100" s="81">
        <f t="shared" si="207"/>
        <v>0</v>
      </c>
      <c r="Z100" s="81"/>
      <c r="AA100" s="84">
        <f t="shared" si="208"/>
        <v>0</v>
      </c>
      <c r="AB100" s="85"/>
      <c r="AC100" s="48">
        <f t="shared" si="209"/>
        <v>0</v>
      </c>
      <c r="AD100" s="81"/>
      <c r="AE100" s="84">
        <f t="shared" si="210"/>
        <v>0</v>
      </c>
      <c r="AF100" s="85"/>
      <c r="AG100" s="84">
        <f t="shared" si="211"/>
        <v>0</v>
      </c>
      <c r="AH100" s="81"/>
      <c r="AI100" s="84">
        <f t="shared" si="212"/>
        <v>0</v>
      </c>
      <c r="AJ100" s="85"/>
      <c r="AK100" s="84">
        <f t="shared" si="213"/>
        <v>0</v>
      </c>
      <c r="AL100" s="85"/>
      <c r="AM100" s="84">
        <f t="shared" si="214"/>
        <v>0</v>
      </c>
      <c r="AN100" s="85"/>
      <c r="AO100" s="84">
        <f t="shared" si="201"/>
        <v>0</v>
      </c>
      <c r="AP100" s="85"/>
      <c r="AQ100" s="84">
        <f t="shared" si="202"/>
        <v>0</v>
      </c>
      <c r="AR100" s="85"/>
      <c r="AS100" s="84">
        <f t="shared" si="203"/>
        <v>0</v>
      </c>
      <c r="AT100" s="85"/>
      <c r="AU100" s="84">
        <f t="shared" si="204"/>
        <v>0</v>
      </c>
      <c r="AV100" s="81"/>
      <c r="AW100" s="214">
        <f t="shared" si="205"/>
        <v>0</v>
      </c>
    </row>
    <row r="101" spans="1:49" hidden="1" x14ac:dyDescent="0.35">
      <c r="A101" s="41" t="s">
        <v>349</v>
      </c>
      <c r="B101" s="174"/>
      <c r="C101" s="83">
        <f>'2020-21'!AS55</f>
        <v>0</v>
      </c>
      <c r="D101" s="107">
        <f t="shared" si="206"/>
        <v>0</v>
      </c>
      <c r="E101" s="304">
        <f t="shared" si="206"/>
        <v>0</v>
      </c>
      <c r="F101" s="287"/>
      <c r="G101" s="288" t="e">
        <f t="shared" si="192"/>
        <v>#DIV/0!</v>
      </c>
      <c r="H101" s="289"/>
      <c r="I101" s="290" t="e">
        <f t="shared" si="193"/>
        <v>#DIV/0!</v>
      </c>
      <c r="J101" s="287"/>
      <c r="K101" s="288" t="e">
        <f t="shared" si="194"/>
        <v>#DIV/0!</v>
      </c>
      <c r="L101" s="289"/>
      <c r="M101" s="290" t="e">
        <f t="shared" si="195"/>
        <v>#DIV/0!</v>
      </c>
      <c r="N101" s="287"/>
      <c r="O101" s="288" t="e">
        <f t="shared" si="196"/>
        <v>#DIV/0!</v>
      </c>
      <c r="P101" s="289"/>
      <c r="Q101" s="290" t="e">
        <f t="shared" si="197"/>
        <v>#DIV/0!</v>
      </c>
      <c r="R101" s="287"/>
      <c r="S101" s="313" t="e">
        <f t="shared" si="198"/>
        <v>#DIV/0!</v>
      </c>
      <c r="T101" s="287"/>
      <c r="U101" s="313" t="e">
        <f t="shared" si="200"/>
        <v>#DIV/0!</v>
      </c>
      <c r="V101" s="287"/>
      <c r="W101" s="313" t="e">
        <f t="shared" si="216"/>
        <v>#DIV/0!</v>
      </c>
      <c r="X101" s="323" t="e">
        <f t="shared" si="215"/>
        <v>#DIV/0!</v>
      </c>
      <c r="Y101" s="81">
        <f t="shared" si="207"/>
        <v>0</v>
      </c>
      <c r="Z101" s="81"/>
      <c r="AA101" s="84">
        <f t="shared" si="208"/>
        <v>0</v>
      </c>
      <c r="AB101" s="85"/>
      <c r="AC101" s="48">
        <f t="shared" si="209"/>
        <v>0</v>
      </c>
      <c r="AD101" s="81"/>
      <c r="AE101" s="84">
        <f t="shared" si="210"/>
        <v>0</v>
      </c>
      <c r="AF101" s="85"/>
      <c r="AG101" s="84">
        <f t="shared" si="211"/>
        <v>0</v>
      </c>
      <c r="AH101" s="81"/>
      <c r="AI101" s="84">
        <f t="shared" si="212"/>
        <v>0</v>
      </c>
      <c r="AJ101" s="85"/>
      <c r="AK101" s="84">
        <f t="shared" si="213"/>
        <v>0</v>
      </c>
      <c r="AL101" s="85"/>
      <c r="AM101" s="84">
        <f t="shared" si="214"/>
        <v>0</v>
      </c>
      <c r="AN101" s="85"/>
      <c r="AO101" s="84">
        <f t="shared" si="201"/>
        <v>0</v>
      </c>
      <c r="AP101" s="85"/>
      <c r="AQ101" s="84">
        <f t="shared" si="202"/>
        <v>0</v>
      </c>
      <c r="AR101" s="85"/>
      <c r="AS101" s="84">
        <f t="shared" si="203"/>
        <v>0</v>
      </c>
      <c r="AT101" s="85"/>
      <c r="AU101" s="84">
        <f t="shared" si="204"/>
        <v>0</v>
      </c>
      <c r="AV101" s="81"/>
      <c r="AW101" s="214">
        <f t="shared" si="205"/>
        <v>0</v>
      </c>
    </row>
    <row r="102" spans="1:49" hidden="1" x14ac:dyDescent="0.35">
      <c r="A102" s="149" t="s">
        <v>395</v>
      </c>
      <c r="B102" s="180"/>
      <c r="C102" s="83">
        <f>'2020-21'!AS56</f>
        <v>0</v>
      </c>
      <c r="D102" s="107">
        <f t="shared" si="206"/>
        <v>0</v>
      </c>
      <c r="E102" s="304">
        <f t="shared" si="206"/>
        <v>0</v>
      </c>
      <c r="F102" s="287"/>
      <c r="G102" s="288" t="e">
        <f t="shared" si="192"/>
        <v>#DIV/0!</v>
      </c>
      <c r="H102" s="289"/>
      <c r="I102" s="290" t="e">
        <f t="shared" si="193"/>
        <v>#DIV/0!</v>
      </c>
      <c r="J102" s="287"/>
      <c r="K102" s="288" t="e">
        <f t="shared" si="194"/>
        <v>#DIV/0!</v>
      </c>
      <c r="L102" s="289"/>
      <c r="M102" s="290" t="e">
        <f t="shared" si="195"/>
        <v>#DIV/0!</v>
      </c>
      <c r="N102" s="287"/>
      <c r="O102" s="288" t="e">
        <f t="shared" si="196"/>
        <v>#DIV/0!</v>
      </c>
      <c r="P102" s="289"/>
      <c r="Q102" s="290" t="e">
        <f t="shared" si="197"/>
        <v>#DIV/0!</v>
      </c>
      <c r="R102" s="287"/>
      <c r="S102" s="313" t="e">
        <f t="shared" si="198"/>
        <v>#DIV/0!</v>
      </c>
      <c r="T102" s="287"/>
      <c r="U102" s="313" t="e">
        <f t="shared" si="200"/>
        <v>#DIV/0!</v>
      </c>
      <c r="V102" s="287"/>
      <c r="W102" s="313" t="e">
        <f t="shared" si="216"/>
        <v>#DIV/0!</v>
      </c>
      <c r="X102" s="323" t="e">
        <f t="shared" si="215"/>
        <v>#DIV/0!</v>
      </c>
      <c r="Y102" s="81">
        <f t="shared" si="207"/>
        <v>0</v>
      </c>
      <c r="Z102" s="81"/>
      <c r="AA102" s="84">
        <f t="shared" si="208"/>
        <v>0</v>
      </c>
      <c r="AB102" s="85"/>
      <c r="AC102" s="48">
        <f t="shared" si="209"/>
        <v>0</v>
      </c>
      <c r="AD102" s="81"/>
      <c r="AE102" s="84">
        <f t="shared" si="210"/>
        <v>0</v>
      </c>
      <c r="AF102" s="85"/>
      <c r="AG102" s="84">
        <f t="shared" si="211"/>
        <v>0</v>
      </c>
      <c r="AH102" s="81"/>
      <c r="AI102" s="84">
        <f t="shared" si="212"/>
        <v>0</v>
      </c>
      <c r="AJ102" s="85"/>
      <c r="AK102" s="84">
        <f t="shared" si="213"/>
        <v>0</v>
      </c>
      <c r="AL102" s="85"/>
      <c r="AM102" s="84">
        <f t="shared" si="214"/>
        <v>0</v>
      </c>
      <c r="AN102" s="85"/>
      <c r="AO102" s="84">
        <f t="shared" si="201"/>
        <v>0</v>
      </c>
      <c r="AP102" s="85"/>
      <c r="AQ102" s="84">
        <f t="shared" si="202"/>
        <v>0</v>
      </c>
      <c r="AR102" s="85"/>
      <c r="AS102" s="84">
        <f t="shared" si="203"/>
        <v>0</v>
      </c>
      <c r="AT102" s="85"/>
      <c r="AU102" s="84">
        <f t="shared" si="204"/>
        <v>0</v>
      </c>
      <c r="AV102" s="81"/>
      <c r="AW102" s="214">
        <f t="shared" si="205"/>
        <v>0</v>
      </c>
    </row>
    <row r="103" spans="1:49" hidden="1" x14ac:dyDescent="0.35">
      <c r="A103" s="159" t="s">
        <v>430</v>
      </c>
      <c r="B103" s="180"/>
      <c r="C103" s="83">
        <f>'2020-21'!AS57</f>
        <v>0</v>
      </c>
      <c r="D103" s="107">
        <f t="shared" si="206"/>
        <v>0</v>
      </c>
      <c r="E103" s="304">
        <f t="shared" si="206"/>
        <v>0</v>
      </c>
      <c r="F103" s="287"/>
      <c r="G103" s="288" t="e">
        <f t="shared" si="192"/>
        <v>#DIV/0!</v>
      </c>
      <c r="H103" s="289"/>
      <c r="I103" s="290" t="e">
        <f t="shared" si="193"/>
        <v>#DIV/0!</v>
      </c>
      <c r="J103" s="287"/>
      <c r="K103" s="288" t="e">
        <f t="shared" si="194"/>
        <v>#DIV/0!</v>
      </c>
      <c r="L103" s="289"/>
      <c r="M103" s="290" t="e">
        <f t="shared" si="195"/>
        <v>#DIV/0!</v>
      </c>
      <c r="N103" s="287"/>
      <c r="O103" s="288" t="e">
        <f t="shared" si="196"/>
        <v>#DIV/0!</v>
      </c>
      <c r="P103" s="289"/>
      <c r="Q103" s="290" t="e">
        <f t="shared" si="197"/>
        <v>#DIV/0!</v>
      </c>
      <c r="R103" s="287"/>
      <c r="S103" s="313" t="e">
        <f t="shared" si="198"/>
        <v>#DIV/0!</v>
      </c>
      <c r="T103" s="287"/>
      <c r="U103" s="313" t="e">
        <f t="shared" si="200"/>
        <v>#DIV/0!</v>
      </c>
      <c r="V103" s="287"/>
      <c r="W103" s="313" t="e">
        <f t="shared" si="216"/>
        <v>#DIV/0!</v>
      </c>
      <c r="X103" s="323" t="e">
        <f t="shared" si="215"/>
        <v>#DIV/0!</v>
      </c>
      <c r="Y103" s="81">
        <f t="shared" si="207"/>
        <v>0</v>
      </c>
      <c r="Z103" s="81"/>
      <c r="AA103" s="84">
        <f t="shared" si="208"/>
        <v>0</v>
      </c>
      <c r="AB103" s="85"/>
      <c r="AC103" s="48">
        <f t="shared" si="209"/>
        <v>0</v>
      </c>
      <c r="AD103" s="81"/>
      <c r="AE103" s="84">
        <f t="shared" si="210"/>
        <v>0</v>
      </c>
      <c r="AF103" s="85"/>
      <c r="AG103" s="84">
        <f t="shared" si="211"/>
        <v>0</v>
      </c>
      <c r="AH103" s="81"/>
      <c r="AI103" s="84">
        <f t="shared" si="212"/>
        <v>0</v>
      </c>
      <c r="AJ103" s="85"/>
      <c r="AK103" s="84">
        <f t="shared" si="213"/>
        <v>0</v>
      </c>
      <c r="AL103" s="85"/>
      <c r="AM103" s="84">
        <f t="shared" si="214"/>
        <v>0</v>
      </c>
      <c r="AN103" s="85"/>
      <c r="AO103" s="84">
        <f t="shared" si="201"/>
        <v>0</v>
      </c>
      <c r="AP103" s="85"/>
      <c r="AQ103" s="84">
        <f t="shared" si="202"/>
        <v>0</v>
      </c>
      <c r="AR103" s="85"/>
      <c r="AS103" s="84">
        <f t="shared" si="203"/>
        <v>0</v>
      </c>
      <c r="AT103" s="85"/>
      <c r="AU103" s="84">
        <f t="shared" si="204"/>
        <v>0</v>
      </c>
      <c r="AV103" s="81"/>
      <c r="AW103" s="214">
        <f t="shared" si="205"/>
        <v>0</v>
      </c>
    </row>
    <row r="104" spans="1:49" hidden="1" x14ac:dyDescent="0.35">
      <c r="A104" s="159" t="s">
        <v>429</v>
      </c>
      <c r="B104" s="180"/>
      <c r="C104" s="83">
        <f>'2020-21'!AS58</f>
        <v>0</v>
      </c>
      <c r="D104" s="107">
        <f t="shared" si="206"/>
        <v>0</v>
      </c>
      <c r="E104" s="304">
        <f t="shared" si="206"/>
        <v>0</v>
      </c>
      <c r="F104" s="287"/>
      <c r="G104" s="288" t="e">
        <f t="shared" si="192"/>
        <v>#DIV/0!</v>
      </c>
      <c r="H104" s="289"/>
      <c r="I104" s="290" t="e">
        <f t="shared" si="193"/>
        <v>#DIV/0!</v>
      </c>
      <c r="J104" s="287"/>
      <c r="K104" s="288" t="e">
        <f t="shared" si="194"/>
        <v>#DIV/0!</v>
      </c>
      <c r="L104" s="289"/>
      <c r="M104" s="290" t="e">
        <f t="shared" si="195"/>
        <v>#DIV/0!</v>
      </c>
      <c r="N104" s="287"/>
      <c r="O104" s="288" t="e">
        <f t="shared" si="196"/>
        <v>#DIV/0!</v>
      </c>
      <c r="P104" s="289"/>
      <c r="Q104" s="290" t="e">
        <f t="shared" si="197"/>
        <v>#DIV/0!</v>
      </c>
      <c r="R104" s="287"/>
      <c r="S104" s="313" t="e">
        <f t="shared" si="198"/>
        <v>#DIV/0!</v>
      </c>
      <c r="T104" s="287"/>
      <c r="U104" s="313" t="e">
        <f t="shared" si="200"/>
        <v>#DIV/0!</v>
      </c>
      <c r="V104" s="287"/>
      <c r="W104" s="313" t="e">
        <f t="shared" si="216"/>
        <v>#DIV/0!</v>
      </c>
      <c r="X104" s="323" t="e">
        <f t="shared" si="215"/>
        <v>#DIV/0!</v>
      </c>
      <c r="Y104" s="81">
        <f t="shared" si="207"/>
        <v>0</v>
      </c>
      <c r="Z104" s="81"/>
      <c r="AA104" s="84">
        <f t="shared" si="208"/>
        <v>0</v>
      </c>
      <c r="AB104" s="85"/>
      <c r="AC104" s="48">
        <f t="shared" si="209"/>
        <v>0</v>
      </c>
      <c r="AD104" s="81"/>
      <c r="AE104" s="84">
        <f t="shared" si="210"/>
        <v>0</v>
      </c>
      <c r="AF104" s="85"/>
      <c r="AG104" s="84">
        <f t="shared" si="211"/>
        <v>0</v>
      </c>
      <c r="AH104" s="81"/>
      <c r="AI104" s="84">
        <f t="shared" si="212"/>
        <v>0</v>
      </c>
      <c r="AJ104" s="85"/>
      <c r="AK104" s="84">
        <f t="shared" si="213"/>
        <v>0</v>
      </c>
      <c r="AL104" s="85"/>
      <c r="AM104" s="84">
        <f t="shared" si="214"/>
        <v>0</v>
      </c>
      <c r="AN104" s="85"/>
      <c r="AO104" s="84">
        <f t="shared" si="201"/>
        <v>0</v>
      </c>
      <c r="AP104" s="85"/>
      <c r="AQ104" s="84">
        <f t="shared" si="202"/>
        <v>0</v>
      </c>
      <c r="AR104" s="85"/>
      <c r="AS104" s="84">
        <f t="shared" si="203"/>
        <v>0</v>
      </c>
      <c r="AT104" s="85"/>
      <c r="AU104" s="84">
        <f t="shared" si="204"/>
        <v>0</v>
      </c>
      <c r="AV104" s="81"/>
      <c r="AW104" s="214">
        <f t="shared" si="205"/>
        <v>0</v>
      </c>
    </row>
    <row r="105" spans="1:49" hidden="1" x14ac:dyDescent="0.35">
      <c r="A105" s="159" t="s">
        <v>416</v>
      </c>
      <c r="B105" s="170"/>
      <c r="C105" s="83">
        <f>'2020-21'!AS59</f>
        <v>0</v>
      </c>
      <c r="D105" s="107">
        <f t="shared" si="206"/>
        <v>0</v>
      </c>
      <c r="E105" s="304">
        <f t="shared" si="206"/>
        <v>0</v>
      </c>
      <c r="F105" s="287"/>
      <c r="G105" s="288" t="e">
        <f t="shared" si="192"/>
        <v>#DIV/0!</v>
      </c>
      <c r="H105" s="289"/>
      <c r="I105" s="290" t="e">
        <f t="shared" si="193"/>
        <v>#DIV/0!</v>
      </c>
      <c r="J105" s="287"/>
      <c r="K105" s="288" t="e">
        <f t="shared" si="194"/>
        <v>#DIV/0!</v>
      </c>
      <c r="L105" s="289"/>
      <c r="M105" s="290" t="e">
        <f t="shared" si="195"/>
        <v>#DIV/0!</v>
      </c>
      <c r="N105" s="287"/>
      <c r="O105" s="288" t="e">
        <f t="shared" si="196"/>
        <v>#DIV/0!</v>
      </c>
      <c r="P105" s="289"/>
      <c r="Q105" s="290" t="e">
        <f t="shared" si="197"/>
        <v>#DIV/0!</v>
      </c>
      <c r="R105" s="287"/>
      <c r="S105" s="313" t="e">
        <f t="shared" si="198"/>
        <v>#DIV/0!</v>
      </c>
      <c r="T105" s="287"/>
      <c r="U105" s="313" t="e">
        <f t="shared" si="200"/>
        <v>#DIV/0!</v>
      </c>
      <c r="V105" s="287"/>
      <c r="W105" s="313" t="e">
        <f t="shared" si="216"/>
        <v>#DIV/0!</v>
      </c>
      <c r="X105" s="323" t="e">
        <f t="shared" si="215"/>
        <v>#DIV/0!</v>
      </c>
      <c r="Y105" s="81">
        <f t="shared" si="207"/>
        <v>0</v>
      </c>
      <c r="Z105" s="81"/>
      <c r="AA105" s="84">
        <f t="shared" si="208"/>
        <v>0</v>
      </c>
      <c r="AB105" s="85"/>
      <c r="AC105" s="48">
        <f t="shared" si="209"/>
        <v>0</v>
      </c>
      <c r="AD105" s="81"/>
      <c r="AE105" s="84">
        <f t="shared" si="210"/>
        <v>0</v>
      </c>
      <c r="AF105" s="85"/>
      <c r="AG105" s="84">
        <f t="shared" si="211"/>
        <v>0</v>
      </c>
      <c r="AH105" s="81"/>
      <c r="AI105" s="84">
        <f t="shared" si="212"/>
        <v>0</v>
      </c>
      <c r="AJ105" s="85"/>
      <c r="AK105" s="84">
        <f t="shared" si="213"/>
        <v>0</v>
      </c>
      <c r="AL105" s="85"/>
      <c r="AM105" s="84">
        <f t="shared" si="214"/>
        <v>0</v>
      </c>
      <c r="AN105" s="85"/>
      <c r="AO105" s="84">
        <f t="shared" si="201"/>
        <v>0</v>
      </c>
      <c r="AP105" s="85"/>
      <c r="AQ105" s="84">
        <f t="shared" si="202"/>
        <v>0</v>
      </c>
      <c r="AR105" s="85"/>
      <c r="AS105" s="84">
        <f t="shared" si="203"/>
        <v>0</v>
      </c>
      <c r="AT105" s="85"/>
      <c r="AU105" s="84">
        <f t="shared" si="204"/>
        <v>0</v>
      </c>
      <c r="AV105" s="81"/>
      <c r="AW105" s="214">
        <f t="shared" si="205"/>
        <v>0</v>
      </c>
    </row>
    <row r="106" spans="1:49" hidden="1" x14ac:dyDescent="0.35">
      <c r="A106" s="149" t="s">
        <v>396</v>
      </c>
      <c r="B106" s="170"/>
      <c r="C106" s="83">
        <f>'2020-21'!AS60</f>
        <v>0</v>
      </c>
      <c r="D106" s="107">
        <f t="shared" si="206"/>
        <v>0</v>
      </c>
      <c r="E106" s="304">
        <f t="shared" si="206"/>
        <v>0</v>
      </c>
      <c r="F106" s="287"/>
      <c r="G106" s="288" t="e">
        <f t="shared" si="192"/>
        <v>#DIV/0!</v>
      </c>
      <c r="H106" s="289"/>
      <c r="I106" s="290" t="e">
        <f t="shared" si="193"/>
        <v>#DIV/0!</v>
      </c>
      <c r="J106" s="287"/>
      <c r="K106" s="288" t="e">
        <f t="shared" si="194"/>
        <v>#DIV/0!</v>
      </c>
      <c r="L106" s="289"/>
      <c r="M106" s="290" t="e">
        <f t="shared" si="195"/>
        <v>#DIV/0!</v>
      </c>
      <c r="N106" s="287"/>
      <c r="O106" s="288" t="e">
        <f t="shared" si="196"/>
        <v>#DIV/0!</v>
      </c>
      <c r="P106" s="289"/>
      <c r="Q106" s="290" t="e">
        <f t="shared" si="197"/>
        <v>#DIV/0!</v>
      </c>
      <c r="R106" s="287"/>
      <c r="S106" s="313" t="e">
        <f t="shared" si="198"/>
        <v>#DIV/0!</v>
      </c>
      <c r="T106" s="287"/>
      <c r="U106" s="313" t="e">
        <f t="shared" si="200"/>
        <v>#DIV/0!</v>
      </c>
      <c r="V106" s="287"/>
      <c r="W106" s="313" t="e">
        <f t="shared" si="216"/>
        <v>#DIV/0!</v>
      </c>
      <c r="X106" s="323" t="e">
        <f t="shared" si="215"/>
        <v>#DIV/0!</v>
      </c>
      <c r="Y106" s="81">
        <f t="shared" si="207"/>
        <v>0</v>
      </c>
      <c r="Z106" s="81"/>
      <c r="AA106" s="84">
        <f t="shared" si="208"/>
        <v>0</v>
      </c>
      <c r="AB106" s="85"/>
      <c r="AC106" s="48">
        <f t="shared" si="209"/>
        <v>0</v>
      </c>
      <c r="AD106" s="81"/>
      <c r="AE106" s="84">
        <f t="shared" si="210"/>
        <v>0</v>
      </c>
      <c r="AF106" s="85"/>
      <c r="AG106" s="84">
        <f t="shared" si="211"/>
        <v>0</v>
      </c>
      <c r="AH106" s="81"/>
      <c r="AI106" s="84">
        <f t="shared" si="212"/>
        <v>0</v>
      </c>
      <c r="AJ106" s="85"/>
      <c r="AK106" s="84">
        <f t="shared" si="213"/>
        <v>0</v>
      </c>
      <c r="AL106" s="85"/>
      <c r="AM106" s="84">
        <f t="shared" si="214"/>
        <v>0</v>
      </c>
      <c r="AN106" s="85"/>
      <c r="AO106" s="84">
        <f t="shared" si="201"/>
        <v>0</v>
      </c>
      <c r="AP106" s="85"/>
      <c r="AQ106" s="84">
        <f t="shared" si="202"/>
        <v>0</v>
      </c>
      <c r="AR106" s="85"/>
      <c r="AS106" s="84">
        <f t="shared" si="203"/>
        <v>0</v>
      </c>
      <c r="AT106" s="85"/>
      <c r="AU106" s="84">
        <f t="shared" si="204"/>
        <v>0</v>
      </c>
      <c r="AV106" s="81"/>
      <c r="AW106" s="214">
        <f t="shared" si="205"/>
        <v>0</v>
      </c>
    </row>
    <row r="107" spans="1:49" hidden="1" x14ac:dyDescent="0.35">
      <c r="A107" s="159" t="s">
        <v>382</v>
      </c>
      <c r="B107" s="170"/>
      <c r="C107" s="83">
        <f>'2020-21'!AS61</f>
        <v>0</v>
      </c>
      <c r="D107" s="107">
        <f t="shared" si="206"/>
        <v>0</v>
      </c>
      <c r="E107" s="304">
        <f t="shared" si="206"/>
        <v>0</v>
      </c>
      <c r="F107" s="287"/>
      <c r="G107" s="288" t="e">
        <f t="shared" si="192"/>
        <v>#DIV/0!</v>
      </c>
      <c r="H107" s="289"/>
      <c r="I107" s="290" t="e">
        <f t="shared" si="193"/>
        <v>#DIV/0!</v>
      </c>
      <c r="J107" s="287"/>
      <c r="K107" s="288" t="e">
        <f t="shared" si="194"/>
        <v>#DIV/0!</v>
      </c>
      <c r="L107" s="289"/>
      <c r="M107" s="290" t="e">
        <f t="shared" si="195"/>
        <v>#DIV/0!</v>
      </c>
      <c r="N107" s="287"/>
      <c r="O107" s="288" t="e">
        <f t="shared" si="196"/>
        <v>#DIV/0!</v>
      </c>
      <c r="P107" s="289"/>
      <c r="Q107" s="290" t="e">
        <f t="shared" si="197"/>
        <v>#DIV/0!</v>
      </c>
      <c r="R107" s="287"/>
      <c r="S107" s="313" t="e">
        <f t="shared" si="198"/>
        <v>#DIV/0!</v>
      </c>
      <c r="T107" s="287"/>
      <c r="U107" s="313" t="e">
        <f t="shared" si="200"/>
        <v>#DIV/0!</v>
      </c>
      <c r="V107" s="287"/>
      <c r="W107" s="313" t="e">
        <f t="shared" si="216"/>
        <v>#DIV/0!</v>
      </c>
      <c r="X107" s="323" t="e">
        <f t="shared" si="215"/>
        <v>#DIV/0!</v>
      </c>
      <c r="Y107" s="81">
        <f t="shared" si="207"/>
        <v>0</v>
      </c>
      <c r="Z107" s="81"/>
      <c r="AA107" s="84">
        <f t="shared" si="208"/>
        <v>0</v>
      </c>
      <c r="AB107" s="85"/>
      <c r="AC107" s="48">
        <f t="shared" si="209"/>
        <v>0</v>
      </c>
      <c r="AD107" s="81"/>
      <c r="AE107" s="84">
        <f t="shared" si="210"/>
        <v>0</v>
      </c>
      <c r="AF107" s="85"/>
      <c r="AG107" s="84">
        <f t="shared" si="211"/>
        <v>0</v>
      </c>
      <c r="AH107" s="81"/>
      <c r="AI107" s="84">
        <f t="shared" si="212"/>
        <v>0</v>
      </c>
      <c r="AJ107" s="85"/>
      <c r="AK107" s="84">
        <f t="shared" si="213"/>
        <v>0</v>
      </c>
      <c r="AL107" s="85"/>
      <c r="AM107" s="84">
        <f t="shared" si="214"/>
        <v>0</v>
      </c>
      <c r="AN107" s="85"/>
      <c r="AO107" s="84">
        <f t="shared" si="201"/>
        <v>0</v>
      </c>
      <c r="AP107" s="85"/>
      <c r="AQ107" s="84">
        <f t="shared" si="202"/>
        <v>0</v>
      </c>
      <c r="AR107" s="85"/>
      <c r="AS107" s="84">
        <f t="shared" si="203"/>
        <v>0</v>
      </c>
      <c r="AT107" s="85"/>
      <c r="AU107" s="84">
        <f t="shared" si="204"/>
        <v>0</v>
      </c>
      <c r="AV107" s="81"/>
      <c r="AW107" s="214">
        <f t="shared" si="205"/>
        <v>0</v>
      </c>
    </row>
    <row r="108" spans="1:49" hidden="1" x14ac:dyDescent="0.35">
      <c r="A108" s="160" t="s">
        <v>433</v>
      </c>
      <c r="B108" s="170"/>
      <c r="C108" s="83">
        <f>'2020-21'!AS62</f>
        <v>0</v>
      </c>
      <c r="D108" s="107">
        <f t="shared" si="206"/>
        <v>0</v>
      </c>
      <c r="E108" s="304">
        <f t="shared" si="206"/>
        <v>0</v>
      </c>
      <c r="F108" s="287"/>
      <c r="G108" s="288" t="e">
        <f t="shared" si="192"/>
        <v>#DIV/0!</v>
      </c>
      <c r="H108" s="289"/>
      <c r="I108" s="290" t="e">
        <f t="shared" si="193"/>
        <v>#DIV/0!</v>
      </c>
      <c r="J108" s="287"/>
      <c r="K108" s="288" t="e">
        <f t="shared" si="194"/>
        <v>#DIV/0!</v>
      </c>
      <c r="L108" s="289"/>
      <c r="M108" s="290" t="e">
        <f t="shared" si="195"/>
        <v>#DIV/0!</v>
      </c>
      <c r="N108" s="287"/>
      <c r="O108" s="288" t="e">
        <f t="shared" si="196"/>
        <v>#DIV/0!</v>
      </c>
      <c r="P108" s="289"/>
      <c r="Q108" s="290" t="e">
        <f t="shared" si="197"/>
        <v>#DIV/0!</v>
      </c>
      <c r="R108" s="287"/>
      <c r="S108" s="313" t="e">
        <f t="shared" si="198"/>
        <v>#DIV/0!</v>
      </c>
      <c r="T108" s="287"/>
      <c r="U108" s="313" t="e">
        <f t="shared" si="200"/>
        <v>#DIV/0!</v>
      </c>
      <c r="V108" s="287"/>
      <c r="W108" s="313" t="e">
        <f t="shared" si="216"/>
        <v>#DIV/0!</v>
      </c>
      <c r="X108" s="323" t="e">
        <f t="shared" si="215"/>
        <v>#DIV/0!</v>
      </c>
      <c r="Y108" s="81">
        <f t="shared" si="207"/>
        <v>0</v>
      </c>
      <c r="Z108" s="81"/>
      <c r="AA108" s="84">
        <f t="shared" si="208"/>
        <v>0</v>
      </c>
      <c r="AB108" s="85"/>
      <c r="AC108" s="48">
        <f t="shared" si="209"/>
        <v>0</v>
      </c>
      <c r="AD108" s="81"/>
      <c r="AE108" s="84">
        <f t="shared" si="210"/>
        <v>0</v>
      </c>
      <c r="AF108" s="85"/>
      <c r="AG108" s="84">
        <f t="shared" si="211"/>
        <v>0</v>
      </c>
      <c r="AH108" s="81"/>
      <c r="AI108" s="84">
        <f t="shared" si="212"/>
        <v>0</v>
      </c>
      <c r="AJ108" s="85"/>
      <c r="AK108" s="84">
        <f t="shared" si="213"/>
        <v>0</v>
      </c>
      <c r="AL108" s="85"/>
      <c r="AM108" s="84">
        <f t="shared" si="214"/>
        <v>0</v>
      </c>
      <c r="AN108" s="85"/>
      <c r="AO108" s="84">
        <f t="shared" si="201"/>
        <v>0</v>
      </c>
      <c r="AP108" s="85"/>
      <c r="AQ108" s="84">
        <f t="shared" si="202"/>
        <v>0</v>
      </c>
      <c r="AR108" s="85"/>
      <c r="AS108" s="84">
        <f t="shared" si="203"/>
        <v>0</v>
      </c>
      <c r="AT108" s="85"/>
      <c r="AU108" s="84">
        <f t="shared" si="204"/>
        <v>0</v>
      </c>
      <c r="AV108" s="81"/>
      <c r="AW108" s="214">
        <f t="shared" si="205"/>
        <v>0</v>
      </c>
    </row>
    <row r="109" spans="1:49" hidden="1" x14ac:dyDescent="0.35">
      <c r="A109" s="100" t="s">
        <v>356</v>
      </c>
      <c r="B109" s="172"/>
      <c r="C109" s="83">
        <f>'2020-21'!AS63</f>
        <v>0</v>
      </c>
      <c r="D109" s="107">
        <f t="shared" si="206"/>
        <v>0</v>
      </c>
      <c r="E109" s="304">
        <f t="shared" si="206"/>
        <v>0</v>
      </c>
      <c r="F109" s="287"/>
      <c r="G109" s="288" t="e">
        <f t="shared" si="192"/>
        <v>#DIV/0!</v>
      </c>
      <c r="H109" s="289"/>
      <c r="I109" s="290" t="e">
        <f t="shared" si="193"/>
        <v>#DIV/0!</v>
      </c>
      <c r="J109" s="287"/>
      <c r="K109" s="288" t="e">
        <f t="shared" si="194"/>
        <v>#DIV/0!</v>
      </c>
      <c r="L109" s="289"/>
      <c r="M109" s="290" t="e">
        <f t="shared" si="195"/>
        <v>#DIV/0!</v>
      </c>
      <c r="N109" s="287"/>
      <c r="O109" s="288" t="e">
        <f t="shared" si="196"/>
        <v>#DIV/0!</v>
      </c>
      <c r="P109" s="289"/>
      <c r="Q109" s="290" t="e">
        <f t="shared" si="197"/>
        <v>#DIV/0!</v>
      </c>
      <c r="R109" s="287"/>
      <c r="S109" s="313" t="e">
        <f t="shared" si="198"/>
        <v>#DIV/0!</v>
      </c>
      <c r="T109" s="287"/>
      <c r="U109" s="313" t="e">
        <f t="shared" si="200"/>
        <v>#DIV/0!</v>
      </c>
      <c r="V109" s="287"/>
      <c r="W109" s="313" t="e">
        <f t="shared" si="216"/>
        <v>#DIV/0!</v>
      </c>
      <c r="X109" s="323" t="e">
        <f t="shared" si="215"/>
        <v>#DIV/0!</v>
      </c>
      <c r="Y109" s="81">
        <f t="shared" si="207"/>
        <v>0</v>
      </c>
      <c r="Z109" s="81"/>
      <c r="AA109" s="84">
        <f t="shared" si="208"/>
        <v>0</v>
      </c>
      <c r="AB109" s="85"/>
      <c r="AC109" s="48">
        <f t="shared" si="209"/>
        <v>0</v>
      </c>
      <c r="AD109" s="81"/>
      <c r="AE109" s="84">
        <f t="shared" si="210"/>
        <v>0</v>
      </c>
      <c r="AF109" s="85"/>
      <c r="AG109" s="84">
        <f t="shared" si="211"/>
        <v>0</v>
      </c>
      <c r="AH109" s="81"/>
      <c r="AI109" s="84">
        <f t="shared" si="212"/>
        <v>0</v>
      </c>
      <c r="AJ109" s="85"/>
      <c r="AK109" s="84">
        <f t="shared" si="213"/>
        <v>0</v>
      </c>
      <c r="AL109" s="85"/>
      <c r="AM109" s="84">
        <f t="shared" si="214"/>
        <v>0</v>
      </c>
      <c r="AN109" s="85"/>
      <c r="AO109" s="84">
        <f t="shared" si="201"/>
        <v>0</v>
      </c>
      <c r="AP109" s="85"/>
      <c r="AQ109" s="84">
        <f t="shared" si="202"/>
        <v>0</v>
      </c>
      <c r="AR109" s="85"/>
      <c r="AS109" s="84">
        <f t="shared" si="203"/>
        <v>0</v>
      </c>
      <c r="AT109" s="85"/>
      <c r="AU109" s="84">
        <f t="shared" si="204"/>
        <v>0</v>
      </c>
      <c r="AV109" s="81"/>
      <c r="AW109" s="214">
        <f t="shared" si="205"/>
        <v>0</v>
      </c>
    </row>
    <row r="110" spans="1:49" hidden="1" x14ac:dyDescent="0.35">
      <c r="A110" s="160" t="s">
        <v>423</v>
      </c>
      <c r="B110" s="170"/>
      <c r="C110" s="83">
        <f>'2020-21'!AS64</f>
        <v>0</v>
      </c>
      <c r="D110" s="107">
        <f t="shared" si="206"/>
        <v>0</v>
      </c>
      <c r="E110" s="304">
        <f t="shared" si="206"/>
        <v>0</v>
      </c>
      <c r="F110" s="287"/>
      <c r="G110" s="288" t="e">
        <f t="shared" si="192"/>
        <v>#DIV/0!</v>
      </c>
      <c r="H110" s="289"/>
      <c r="I110" s="290" t="e">
        <f t="shared" si="193"/>
        <v>#DIV/0!</v>
      </c>
      <c r="J110" s="287"/>
      <c r="K110" s="288" t="e">
        <f t="shared" si="194"/>
        <v>#DIV/0!</v>
      </c>
      <c r="L110" s="289"/>
      <c r="M110" s="290" t="e">
        <f t="shared" si="195"/>
        <v>#DIV/0!</v>
      </c>
      <c r="N110" s="287"/>
      <c r="O110" s="288" t="e">
        <f t="shared" si="196"/>
        <v>#DIV/0!</v>
      </c>
      <c r="P110" s="289"/>
      <c r="Q110" s="290" t="e">
        <f t="shared" si="197"/>
        <v>#DIV/0!</v>
      </c>
      <c r="R110" s="287"/>
      <c r="S110" s="313" t="e">
        <f t="shared" si="198"/>
        <v>#DIV/0!</v>
      </c>
      <c r="T110" s="287"/>
      <c r="U110" s="313" t="e">
        <f t="shared" si="200"/>
        <v>#DIV/0!</v>
      </c>
      <c r="V110" s="287"/>
      <c r="W110" s="313" t="e">
        <f t="shared" si="216"/>
        <v>#DIV/0!</v>
      </c>
      <c r="X110" s="323" t="e">
        <f t="shared" si="215"/>
        <v>#DIV/0!</v>
      </c>
      <c r="Y110" s="81">
        <f t="shared" si="207"/>
        <v>0</v>
      </c>
      <c r="Z110" s="81"/>
      <c r="AA110" s="84">
        <f t="shared" si="208"/>
        <v>0</v>
      </c>
      <c r="AB110" s="85"/>
      <c r="AC110" s="48">
        <f t="shared" si="209"/>
        <v>0</v>
      </c>
      <c r="AD110" s="81"/>
      <c r="AE110" s="84">
        <f t="shared" si="210"/>
        <v>0</v>
      </c>
      <c r="AF110" s="85"/>
      <c r="AG110" s="84">
        <f t="shared" si="211"/>
        <v>0</v>
      </c>
      <c r="AH110" s="81"/>
      <c r="AI110" s="84">
        <f t="shared" si="212"/>
        <v>0</v>
      </c>
      <c r="AJ110" s="85"/>
      <c r="AK110" s="84">
        <f t="shared" si="213"/>
        <v>0</v>
      </c>
      <c r="AL110" s="85"/>
      <c r="AM110" s="84">
        <f t="shared" si="214"/>
        <v>0</v>
      </c>
      <c r="AN110" s="85"/>
      <c r="AO110" s="84">
        <f t="shared" si="201"/>
        <v>0</v>
      </c>
      <c r="AP110" s="85"/>
      <c r="AQ110" s="84">
        <f t="shared" si="202"/>
        <v>0</v>
      </c>
      <c r="AR110" s="85"/>
      <c r="AS110" s="84">
        <f t="shared" si="203"/>
        <v>0</v>
      </c>
      <c r="AT110" s="85"/>
      <c r="AU110" s="84">
        <f t="shared" si="204"/>
        <v>0</v>
      </c>
      <c r="AV110" s="81"/>
      <c r="AW110" s="214">
        <f t="shared" si="205"/>
        <v>0</v>
      </c>
    </row>
    <row r="111" spans="1:49" hidden="1" x14ac:dyDescent="0.35">
      <c r="A111" s="151" t="s">
        <v>421</v>
      </c>
      <c r="B111" s="170"/>
      <c r="C111" s="83">
        <f>'2020-21'!AS65</f>
        <v>0</v>
      </c>
      <c r="D111" s="107">
        <f t="shared" si="206"/>
        <v>0</v>
      </c>
      <c r="E111" s="304">
        <f t="shared" si="206"/>
        <v>0</v>
      </c>
      <c r="F111" s="287"/>
      <c r="G111" s="288" t="e">
        <f t="shared" si="192"/>
        <v>#DIV/0!</v>
      </c>
      <c r="H111" s="289"/>
      <c r="I111" s="290" t="e">
        <f t="shared" si="193"/>
        <v>#DIV/0!</v>
      </c>
      <c r="J111" s="287"/>
      <c r="K111" s="288" t="e">
        <f t="shared" si="194"/>
        <v>#DIV/0!</v>
      </c>
      <c r="L111" s="289"/>
      <c r="M111" s="290" t="e">
        <f t="shared" si="195"/>
        <v>#DIV/0!</v>
      </c>
      <c r="N111" s="287"/>
      <c r="O111" s="288" t="e">
        <f t="shared" si="196"/>
        <v>#DIV/0!</v>
      </c>
      <c r="P111" s="289"/>
      <c r="Q111" s="290" t="e">
        <f t="shared" si="197"/>
        <v>#DIV/0!</v>
      </c>
      <c r="R111" s="287"/>
      <c r="S111" s="313" t="e">
        <f t="shared" si="198"/>
        <v>#DIV/0!</v>
      </c>
      <c r="T111" s="287"/>
      <c r="U111" s="313" t="e">
        <f t="shared" si="200"/>
        <v>#DIV/0!</v>
      </c>
      <c r="V111" s="287"/>
      <c r="W111" s="313" t="e">
        <f t="shared" si="216"/>
        <v>#DIV/0!</v>
      </c>
      <c r="X111" s="323" t="e">
        <f t="shared" si="215"/>
        <v>#DIV/0!</v>
      </c>
      <c r="Y111" s="81">
        <f t="shared" si="207"/>
        <v>0</v>
      </c>
      <c r="Z111" s="81"/>
      <c r="AA111" s="84">
        <f t="shared" si="208"/>
        <v>0</v>
      </c>
      <c r="AB111" s="51"/>
      <c r="AC111" s="48">
        <f t="shared" si="209"/>
        <v>0</v>
      </c>
      <c r="AD111" s="81"/>
      <c r="AE111" s="84">
        <f t="shared" si="210"/>
        <v>0</v>
      </c>
      <c r="AF111" s="85"/>
      <c r="AG111" s="84">
        <f t="shared" si="211"/>
        <v>0</v>
      </c>
      <c r="AH111" s="81"/>
      <c r="AI111" s="84">
        <f t="shared" si="212"/>
        <v>0</v>
      </c>
      <c r="AJ111" s="85"/>
      <c r="AK111" s="84">
        <f t="shared" si="213"/>
        <v>0</v>
      </c>
      <c r="AL111" s="85"/>
      <c r="AM111" s="84">
        <f t="shared" si="214"/>
        <v>0</v>
      </c>
      <c r="AN111" s="85"/>
      <c r="AO111" s="84">
        <f t="shared" si="201"/>
        <v>0</v>
      </c>
      <c r="AP111" s="85"/>
      <c r="AQ111" s="84">
        <f t="shared" si="202"/>
        <v>0</v>
      </c>
      <c r="AR111" s="85"/>
      <c r="AS111" s="84">
        <f t="shared" si="203"/>
        <v>0</v>
      </c>
      <c r="AT111" s="85"/>
      <c r="AU111" s="84">
        <f t="shared" si="204"/>
        <v>0</v>
      </c>
      <c r="AV111" s="81"/>
      <c r="AW111" s="214">
        <f t="shared" si="205"/>
        <v>0</v>
      </c>
    </row>
    <row r="112" spans="1:49" hidden="1" x14ac:dyDescent="0.35">
      <c r="A112" s="160" t="s">
        <v>422</v>
      </c>
      <c r="B112" s="170"/>
      <c r="C112" s="83">
        <f>'2020-21'!AS66</f>
        <v>0</v>
      </c>
      <c r="D112" s="107">
        <f t="shared" si="206"/>
        <v>0</v>
      </c>
      <c r="E112" s="304">
        <f t="shared" si="206"/>
        <v>0</v>
      </c>
      <c r="F112" s="287"/>
      <c r="G112" s="288" t="e">
        <f t="shared" ref="G112:G126" si="217">F112/E112</f>
        <v>#DIV/0!</v>
      </c>
      <c r="H112" s="289"/>
      <c r="I112" s="290" t="e">
        <f t="shared" ref="I112:I126" si="218">H112/E112</f>
        <v>#DIV/0!</v>
      </c>
      <c r="J112" s="287"/>
      <c r="K112" s="288" t="e">
        <f t="shared" ref="K112:K126" si="219">J112/E112</f>
        <v>#DIV/0!</v>
      </c>
      <c r="L112" s="289"/>
      <c r="M112" s="290" t="e">
        <f t="shared" ref="M112:M126" si="220">L112/E112</f>
        <v>#DIV/0!</v>
      </c>
      <c r="N112" s="287"/>
      <c r="O112" s="288" t="e">
        <f t="shared" ref="O112:O126" si="221">N112/E112</f>
        <v>#DIV/0!</v>
      </c>
      <c r="P112" s="289"/>
      <c r="Q112" s="290" t="e">
        <f t="shared" ref="Q112:Q126" si="222">P112/E112</f>
        <v>#DIV/0!</v>
      </c>
      <c r="R112" s="287"/>
      <c r="S112" s="313" t="e">
        <f t="shared" ref="S112:S126" si="223">R112/E112</f>
        <v>#DIV/0!</v>
      </c>
      <c r="T112" s="287"/>
      <c r="U112" s="313" t="e">
        <f t="shared" si="200"/>
        <v>#DIV/0!</v>
      </c>
      <c r="V112" s="287"/>
      <c r="W112" s="313" t="e">
        <f t="shared" si="216"/>
        <v>#DIV/0!</v>
      </c>
      <c r="X112" s="323" t="e">
        <f t="shared" si="215"/>
        <v>#DIV/0!</v>
      </c>
      <c r="Y112" s="81">
        <f t="shared" si="207"/>
        <v>0</v>
      </c>
      <c r="Z112" s="81"/>
      <c r="AA112" s="84">
        <f t="shared" si="208"/>
        <v>0</v>
      </c>
      <c r="AB112" s="85"/>
      <c r="AC112" s="48">
        <f t="shared" si="209"/>
        <v>0</v>
      </c>
      <c r="AD112" s="81"/>
      <c r="AE112" s="84">
        <f t="shared" si="210"/>
        <v>0</v>
      </c>
      <c r="AF112" s="85"/>
      <c r="AG112" s="84">
        <f t="shared" si="211"/>
        <v>0</v>
      </c>
      <c r="AH112" s="81"/>
      <c r="AI112" s="84">
        <f t="shared" si="212"/>
        <v>0</v>
      </c>
      <c r="AJ112" s="85"/>
      <c r="AK112" s="84">
        <f t="shared" si="213"/>
        <v>0</v>
      </c>
      <c r="AL112" s="85"/>
      <c r="AM112" s="84">
        <f t="shared" si="214"/>
        <v>0</v>
      </c>
      <c r="AN112" s="85"/>
      <c r="AO112" s="84">
        <f t="shared" si="201"/>
        <v>0</v>
      </c>
      <c r="AP112" s="85"/>
      <c r="AQ112" s="84">
        <f t="shared" si="202"/>
        <v>0</v>
      </c>
      <c r="AR112" s="85"/>
      <c r="AS112" s="84">
        <f t="shared" si="203"/>
        <v>0</v>
      </c>
      <c r="AT112" s="85"/>
      <c r="AU112" s="84">
        <f t="shared" si="204"/>
        <v>0</v>
      </c>
      <c r="AV112" s="81"/>
      <c r="AW112" s="214">
        <f t="shared" si="205"/>
        <v>0</v>
      </c>
    </row>
    <row r="113" spans="1:49" hidden="1" x14ac:dyDescent="0.35">
      <c r="A113" s="151" t="s">
        <v>467</v>
      </c>
      <c r="B113" s="180"/>
      <c r="C113" s="83">
        <f>'2020-21'!AS67</f>
        <v>0</v>
      </c>
      <c r="D113" s="107">
        <f t="shared" si="206"/>
        <v>0</v>
      </c>
      <c r="E113" s="304">
        <f t="shared" si="206"/>
        <v>0</v>
      </c>
      <c r="F113" s="287"/>
      <c r="G113" s="288" t="e">
        <f t="shared" si="217"/>
        <v>#DIV/0!</v>
      </c>
      <c r="H113" s="289"/>
      <c r="I113" s="290" t="e">
        <f t="shared" si="218"/>
        <v>#DIV/0!</v>
      </c>
      <c r="J113" s="287"/>
      <c r="K113" s="288" t="e">
        <f t="shared" si="219"/>
        <v>#DIV/0!</v>
      </c>
      <c r="L113" s="289"/>
      <c r="M113" s="290" t="e">
        <f t="shared" si="220"/>
        <v>#DIV/0!</v>
      </c>
      <c r="N113" s="287"/>
      <c r="O113" s="288" t="e">
        <f t="shared" si="221"/>
        <v>#DIV/0!</v>
      </c>
      <c r="P113" s="289"/>
      <c r="Q113" s="290" t="e">
        <f t="shared" si="222"/>
        <v>#DIV/0!</v>
      </c>
      <c r="R113" s="287"/>
      <c r="S113" s="313" t="e">
        <f t="shared" si="223"/>
        <v>#DIV/0!</v>
      </c>
      <c r="T113" s="287"/>
      <c r="U113" s="313" t="e">
        <f t="shared" si="200"/>
        <v>#DIV/0!</v>
      </c>
      <c r="V113" s="287"/>
      <c r="W113" s="313" t="e">
        <f t="shared" si="216"/>
        <v>#DIV/0!</v>
      </c>
      <c r="X113" s="323" t="e">
        <f t="shared" si="215"/>
        <v>#DIV/0!</v>
      </c>
      <c r="Y113" s="81">
        <f t="shared" si="207"/>
        <v>0</v>
      </c>
      <c r="Z113" s="81"/>
      <c r="AA113" s="84">
        <f t="shared" si="208"/>
        <v>0</v>
      </c>
      <c r="AB113" s="85"/>
      <c r="AC113" s="48">
        <f t="shared" si="209"/>
        <v>0</v>
      </c>
      <c r="AD113" s="81"/>
      <c r="AE113" s="84">
        <f t="shared" si="210"/>
        <v>0</v>
      </c>
      <c r="AF113" s="85"/>
      <c r="AG113" s="84">
        <f t="shared" si="211"/>
        <v>0</v>
      </c>
      <c r="AH113" s="81"/>
      <c r="AI113" s="84">
        <f t="shared" si="212"/>
        <v>0</v>
      </c>
      <c r="AJ113" s="85"/>
      <c r="AK113" s="84">
        <f t="shared" si="213"/>
        <v>0</v>
      </c>
      <c r="AL113" s="85"/>
      <c r="AM113" s="84">
        <f t="shared" si="214"/>
        <v>0</v>
      </c>
      <c r="AN113" s="85"/>
      <c r="AO113" s="84">
        <f t="shared" si="201"/>
        <v>0</v>
      </c>
      <c r="AP113" s="85"/>
      <c r="AQ113" s="84">
        <f t="shared" si="202"/>
        <v>0</v>
      </c>
      <c r="AR113" s="85"/>
      <c r="AS113" s="84">
        <f t="shared" si="203"/>
        <v>0</v>
      </c>
      <c r="AT113" s="85"/>
      <c r="AU113" s="84">
        <f t="shared" si="204"/>
        <v>0</v>
      </c>
      <c r="AV113" s="81"/>
      <c r="AW113" s="214">
        <f t="shared" si="205"/>
        <v>0</v>
      </c>
    </row>
    <row r="114" spans="1:49" hidden="1" x14ac:dyDescent="0.35">
      <c r="A114" s="151" t="s">
        <v>308</v>
      </c>
      <c r="B114" s="180"/>
      <c r="C114" s="83">
        <f>'2020-21'!AS68</f>
        <v>0</v>
      </c>
      <c r="D114" s="107">
        <f t="shared" si="206"/>
        <v>0</v>
      </c>
      <c r="E114" s="304">
        <f t="shared" si="206"/>
        <v>0</v>
      </c>
      <c r="F114" s="287"/>
      <c r="G114" s="288" t="e">
        <f t="shared" si="217"/>
        <v>#DIV/0!</v>
      </c>
      <c r="H114" s="289"/>
      <c r="I114" s="290" t="e">
        <f t="shared" si="218"/>
        <v>#DIV/0!</v>
      </c>
      <c r="J114" s="287"/>
      <c r="K114" s="288" t="e">
        <f t="shared" si="219"/>
        <v>#DIV/0!</v>
      </c>
      <c r="L114" s="289"/>
      <c r="M114" s="290" t="e">
        <f t="shared" si="220"/>
        <v>#DIV/0!</v>
      </c>
      <c r="N114" s="287"/>
      <c r="O114" s="288" t="e">
        <f t="shared" si="221"/>
        <v>#DIV/0!</v>
      </c>
      <c r="P114" s="289"/>
      <c r="Q114" s="290" t="e">
        <f t="shared" si="222"/>
        <v>#DIV/0!</v>
      </c>
      <c r="R114" s="287"/>
      <c r="S114" s="313" t="e">
        <f t="shared" si="223"/>
        <v>#DIV/0!</v>
      </c>
      <c r="T114" s="287"/>
      <c r="U114" s="313" t="e">
        <f t="shared" si="200"/>
        <v>#DIV/0!</v>
      </c>
      <c r="V114" s="287"/>
      <c r="W114" s="313" t="e">
        <f t="shared" si="216"/>
        <v>#DIV/0!</v>
      </c>
      <c r="X114" s="323" t="e">
        <f t="shared" si="215"/>
        <v>#DIV/0!</v>
      </c>
      <c r="Y114" s="81">
        <f t="shared" si="207"/>
        <v>0</v>
      </c>
      <c r="Z114" s="81"/>
      <c r="AA114" s="84">
        <f t="shared" si="208"/>
        <v>0</v>
      </c>
      <c r="AB114" s="85"/>
      <c r="AC114" s="48">
        <f t="shared" si="209"/>
        <v>0</v>
      </c>
      <c r="AD114" s="81"/>
      <c r="AE114" s="84">
        <f t="shared" si="210"/>
        <v>0</v>
      </c>
      <c r="AF114" s="85"/>
      <c r="AG114" s="84">
        <f t="shared" si="211"/>
        <v>0</v>
      </c>
      <c r="AH114" s="81"/>
      <c r="AI114" s="84">
        <f t="shared" si="212"/>
        <v>0</v>
      </c>
      <c r="AJ114" s="85"/>
      <c r="AK114" s="84">
        <f t="shared" si="213"/>
        <v>0</v>
      </c>
      <c r="AL114" s="85"/>
      <c r="AM114" s="84">
        <f t="shared" si="214"/>
        <v>0</v>
      </c>
      <c r="AN114" s="85"/>
      <c r="AO114" s="84">
        <f t="shared" si="201"/>
        <v>0</v>
      </c>
      <c r="AP114" s="85"/>
      <c r="AQ114" s="84">
        <f t="shared" si="202"/>
        <v>0</v>
      </c>
      <c r="AR114" s="85"/>
      <c r="AS114" s="84">
        <f t="shared" si="203"/>
        <v>0</v>
      </c>
      <c r="AT114" s="85"/>
      <c r="AU114" s="84">
        <f t="shared" si="204"/>
        <v>0</v>
      </c>
      <c r="AV114" s="81"/>
      <c r="AW114" s="214">
        <f t="shared" si="205"/>
        <v>0</v>
      </c>
    </row>
    <row r="115" spans="1:49" hidden="1" x14ac:dyDescent="0.35">
      <c r="A115" s="187" t="s">
        <v>381</v>
      </c>
      <c r="B115" s="170"/>
      <c r="C115" s="83">
        <f>'2020-21'!AS69</f>
        <v>0</v>
      </c>
      <c r="D115" s="107">
        <f t="shared" si="206"/>
        <v>0</v>
      </c>
      <c r="E115" s="304">
        <f t="shared" si="206"/>
        <v>0</v>
      </c>
      <c r="F115" s="287"/>
      <c r="G115" s="288" t="e">
        <f t="shared" si="217"/>
        <v>#DIV/0!</v>
      </c>
      <c r="H115" s="289"/>
      <c r="I115" s="290" t="e">
        <f t="shared" si="218"/>
        <v>#DIV/0!</v>
      </c>
      <c r="J115" s="287"/>
      <c r="K115" s="288" t="e">
        <f t="shared" si="219"/>
        <v>#DIV/0!</v>
      </c>
      <c r="L115" s="289"/>
      <c r="M115" s="290" t="e">
        <f t="shared" si="220"/>
        <v>#DIV/0!</v>
      </c>
      <c r="N115" s="287"/>
      <c r="O115" s="288" t="e">
        <f t="shared" si="221"/>
        <v>#DIV/0!</v>
      </c>
      <c r="P115" s="289"/>
      <c r="Q115" s="290" t="e">
        <f t="shared" si="222"/>
        <v>#DIV/0!</v>
      </c>
      <c r="R115" s="287"/>
      <c r="S115" s="313" t="e">
        <f t="shared" si="223"/>
        <v>#DIV/0!</v>
      </c>
      <c r="T115" s="287"/>
      <c r="U115" s="313" t="e">
        <f t="shared" si="200"/>
        <v>#DIV/0!</v>
      </c>
      <c r="V115" s="287"/>
      <c r="W115" s="313" t="e">
        <f t="shared" si="216"/>
        <v>#DIV/0!</v>
      </c>
      <c r="X115" s="323" t="e">
        <f t="shared" si="215"/>
        <v>#DIV/0!</v>
      </c>
      <c r="Y115" s="81">
        <f t="shared" si="207"/>
        <v>0</v>
      </c>
      <c r="Z115" s="81"/>
      <c r="AA115" s="84">
        <f t="shared" si="208"/>
        <v>0</v>
      </c>
      <c r="AB115" s="85"/>
      <c r="AC115" s="48">
        <f t="shared" si="209"/>
        <v>0</v>
      </c>
      <c r="AD115" s="81"/>
      <c r="AE115" s="84">
        <f t="shared" si="210"/>
        <v>0</v>
      </c>
      <c r="AF115" s="85"/>
      <c r="AG115" s="84">
        <f t="shared" si="211"/>
        <v>0</v>
      </c>
      <c r="AH115" s="81"/>
      <c r="AI115" s="84">
        <f t="shared" si="212"/>
        <v>0</v>
      </c>
      <c r="AJ115" s="85"/>
      <c r="AK115" s="84">
        <f t="shared" si="213"/>
        <v>0</v>
      </c>
      <c r="AL115" s="85"/>
      <c r="AM115" s="84">
        <f t="shared" si="214"/>
        <v>0</v>
      </c>
      <c r="AN115" s="85"/>
      <c r="AO115" s="84">
        <f t="shared" si="201"/>
        <v>0</v>
      </c>
      <c r="AP115" s="85"/>
      <c r="AQ115" s="84">
        <f t="shared" si="202"/>
        <v>0</v>
      </c>
      <c r="AR115" s="85"/>
      <c r="AS115" s="84">
        <f t="shared" si="203"/>
        <v>0</v>
      </c>
      <c r="AT115" s="85"/>
      <c r="AU115" s="84">
        <f t="shared" si="204"/>
        <v>0</v>
      </c>
      <c r="AV115" s="81"/>
      <c r="AW115" s="214">
        <f t="shared" si="205"/>
        <v>0</v>
      </c>
    </row>
    <row r="116" spans="1:49" hidden="1" x14ac:dyDescent="0.35">
      <c r="A116" s="159" t="s">
        <v>399</v>
      </c>
      <c r="B116" s="170"/>
      <c r="C116" s="83">
        <f>'2020-21'!AS70</f>
        <v>0</v>
      </c>
      <c r="D116" s="107">
        <f t="shared" si="206"/>
        <v>0</v>
      </c>
      <c r="E116" s="304">
        <f t="shared" si="206"/>
        <v>0</v>
      </c>
      <c r="F116" s="287"/>
      <c r="G116" s="288" t="e">
        <f t="shared" si="217"/>
        <v>#DIV/0!</v>
      </c>
      <c r="H116" s="289"/>
      <c r="I116" s="290" t="e">
        <f t="shared" si="218"/>
        <v>#DIV/0!</v>
      </c>
      <c r="J116" s="287"/>
      <c r="K116" s="288" t="e">
        <f t="shared" si="219"/>
        <v>#DIV/0!</v>
      </c>
      <c r="L116" s="289"/>
      <c r="M116" s="290" t="e">
        <f t="shared" si="220"/>
        <v>#DIV/0!</v>
      </c>
      <c r="N116" s="287"/>
      <c r="O116" s="288" t="e">
        <f t="shared" si="221"/>
        <v>#DIV/0!</v>
      </c>
      <c r="P116" s="289"/>
      <c r="Q116" s="290" t="e">
        <f t="shared" si="222"/>
        <v>#DIV/0!</v>
      </c>
      <c r="R116" s="287"/>
      <c r="S116" s="313" t="e">
        <f t="shared" si="223"/>
        <v>#DIV/0!</v>
      </c>
      <c r="T116" s="287"/>
      <c r="U116" s="313" t="e">
        <f t="shared" si="200"/>
        <v>#DIV/0!</v>
      </c>
      <c r="V116" s="287"/>
      <c r="W116" s="313" t="e">
        <f t="shared" si="216"/>
        <v>#DIV/0!</v>
      </c>
      <c r="X116" s="323" t="e">
        <f t="shared" si="215"/>
        <v>#DIV/0!</v>
      </c>
      <c r="Y116" s="81">
        <f t="shared" si="207"/>
        <v>0</v>
      </c>
      <c r="Z116" s="81"/>
      <c r="AA116" s="84">
        <f t="shared" si="208"/>
        <v>0</v>
      </c>
      <c r="AB116" s="85"/>
      <c r="AC116" s="48">
        <f t="shared" si="209"/>
        <v>0</v>
      </c>
      <c r="AD116" s="81"/>
      <c r="AE116" s="84">
        <f t="shared" si="210"/>
        <v>0</v>
      </c>
      <c r="AF116" s="85"/>
      <c r="AG116" s="84">
        <f t="shared" si="211"/>
        <v>0</v>
      </c>
      <c r="AH116" s="81"/>
      <c r="AI116" s="84">
        <f t="shared" si="212"/>
        <v>0</v>
      </c>
      <c r="AJ116" s="85"/>
      <c r="AK116" s="84">
        <f t="shared" si="213"/>
        <v>0</v>
      </c>
      <c r="AL116" s="85"/>
      <c r="AM116" s="84">
        <f t="shared" si="214"/>
        <v>0</v>
      </c>
      <c r="AN116" s="85"/>
      <c r="AO116" s="84">
        <f t="shared" si="201"/>
        <v>0</v>
      </c>
      <c r="AP116" s="85"/>
      <c r="AQ116" s="84">
        <f t="shared" si="202"/>
        <v>0</v>
      </c>
      <c r="AR116" s="85"/>
      <c r="AS116" s="84">
        <f t="shared" si="203"/>
        <v>0</v>
      </c>
      <c r="AT116" s="85"/>
      <c r="AU116" s="84">
        <f t="shared" si="204"/>
        <v>0</v>
      </c>
      <c r="AV116" s="81"/>
      <c r="AW116" s="214">
        <f t="shared" si="205"/>
        <v>0</v>
      </c>
    </row>
    <row r="117" spans="1:49" hidden="1" x14ac:dyDescent="0.35">
      <c r="A117" s="161" t="s">
        <v>397</v>
      </c>
      <c r="B117" s="170"/>
      <c r="C117" s="83">
        <f>'2020-21'!AS71</f>
        <v>0</v>
      </c>
      <c r="D117" s="107">
        <f t="shared" si="206"/>
        <v>0</v>
      </c>
      <c r="E117" s="304">
        <f t="shared" si="206"/>
        <v>0</v>
      </c>
      <c r="F117" s="287"/>
      <c r="G117" s="288" t="e">
        <f t="shared" si="217"/>
        <v>#DIV/0!</v>
      </c>
      <c r="H117" s="289"/>
      <c r="I117" s="290" t="e">
        <f t="shared" si="218"/>
        <v>#DIV/0!</v>
      </c>
      <c r="J117" s="287"/>
      <c r="K117" s="288" t="e">
        <f t="shared" si="219"/>
        <v>#DIV/0!</v>
      </c>
      <c r="L117" s="289"/>
      <c r="M117" s="290" t="e">
        <f t="shared" si="220"/>
        <v>#DIV/0!</v>
      </c>
      <c r="N117" s="287"/>
      <c r="O117" s="288" t="e">
        <f t="shared" si="221"/>
        <v>#DIV/0!</v>
      </c>
      <c r="P117" s="289"/>
      <c r="Q117" s="290" t="e">
        <f t="shared" si="222"/>
        <v>#DIV/0!</v>
      </c>
      <c r="R117" s="287"/>
      <c r="S117" s="313" t="e">
        <f t="shared" si="223"/>
        <v>#DIV/0!</v>
      </c>
      <c r="T117" s="287"/>
      <c r="U117" s="313" t="e">
        <f t="shared" si="200"/>
        <v>#DIV/0!</v>
      </c>
      <c r="V117" s="287"/>
      <c r="W117" s="313" t="e">
        <f t="shared" si="216"/>
        <v>#DIV/0!</v>
      </c>
      <c r="X117" s="323" t="e">
        <f t="shared" si="215"/>
        <v>#DIV/0!</v>
      </c>
      <c r="Y117" s="81">
        <f t="shared" si="207"/>
        <v>0</v>
      </c>
      <c r="Z117" s="81"/>
      <c r="AA117" s="84">
        <f t="shared" si="208"/>
        <v>0</v>
      </c>
      <c r="AB117" s="85"/>
      <c r="AC117" s="48">
        <f t="shared" si="209"/>
        <v>0</v>
      </c>
      <c r="AD117" s="81"/>
      <c r="AE117" s="84">
        <f t="shared" si="210"/>
        <v>0</v>
      </c>
      <c r="AF117" s="85"/>
      <c r="AG117" s="84">
        <f t="shared" si="211"/>
        <v>0</v>
      </c>
      <c r="AH117" s="81"/>
      <c r="AI117" s="84">
        <f t="shared" si="212"/>
        <v>0</v>
      </c>
      <c r="AJ117" s="85"/>
      <c r="AK117" s="84">
        <f t="shared" si="213"/>
        <v>0</v>
      </c>
      <c r="AL117" s="85"/>
      <c r="AM117" s="84">
        <f t="shared" si="214"/>
        <v>0</v>
      </c>
      <c r="AN117" s="85"/>
      <c r="AO117" s="84">
        <f t="shared" si="201"/>
        <v>0</v>
      </c>
      <c r="AP117" s="85"/>
      <c r="AQ117" s="84">
        <f t="shared" si="202"/>
        <v>0</v>
      </c>
      <c r="AR117" s="85"/>
      <c r="AS117" s="84">
        <f t="shared" si="203"/>
        <v>0</v>
      </c>
      <c r="AT117" s="85"/>
      <c r="AU117" s="84">
        <f t="shared" si="204"/>
        <v>0</v>
      </c>
      <c r="AV117" s="81"/>
      <c r="AW117" s="214">
        <f t="shared" si="205"/>
        <v>0</v>
      </c>
    </row>
    <row r="118" spans="1:49" hidden="1" x14ac:dyDescent="0.35">
      <c r="A118" s="159" t="s">
        <v>428</v>
      </c>
      <c r="B118" s="180"/>
      <c r="C118" s="83">
        <f>'2020-21'!AS72</f>
        <v>0</v>
      </c>
      <c r="D118" s="107">
        <f t="shared" si="206"/>
        <v>0</v>
      </c>
      <c r="E118" s="304">
        <f t="shared" si="206"/>
        <v>0</v>
      </c>
      <c r="F118" s="287"/>
      <c r="G118" s="288" t="e">
        <f t="shared" si="217"/>
        <v>#DIV/0!</v>
      </c>
      <c r="H118" s="289"/>
      <c r="I118" s="290" t="e">
        <f t="shared" si="218"/>
        <v>#DIV/0!</v>
      </c>
      <c r="J118" s="287"/>
      <c r="K118" s="288" t="e">
        <f t="shared" si="219"/>
        <v>#DIV/0!</v>
      </c>
      <c r="L118" s="289"/>
      <c r="M118" s="290" t="e">
        <f t="shared" si="220"/>
        <v>#DIV/0!</v>
      </c>
      <c r="N118" s="287"/>
      <c r="O118" s="288" t="e">
        <f t="shared" si="221"/>
        <v>#DIV/0!</v>
      </c>
      <c r="P118" s="289"/>
      <c r="Q118" s="290" t="e">
        <f t="shared" si="222"/>
        <v>#DIV/0!</v>
      </c>
      <c r="R118" s="287"/>
      <c r="S118" s="313" t="e">
        <f t="shared" si="223"/>
        <v>#DIV/0!</v>
      </c>
      <c r="T118" s="287"/>
      <c r="U118" s="313" t="e">
        <f t="shared" si="200"/>
        <v>#DIV/0!</v>
      </c>
      <c r="V118" s="287"/>
      <c r="W118" s="313" t="e">
        <f t="shared" si="216"/>
        <v>#DIV/0!</v>
      </c>
      <c r="X118" s="323" t="e">
        <f t="shared" si="215"/>
        <v>#DIV/0!</v>
      </c>
      <c r="Y118" s="81">
        <f t="shared" si="207"/>
        <v>0</v>
      </c>
      <c r="Z118" s="81"/>
      <c r="AA118" s="84">
        <f t="shared" si="208"/>
        <v>0</v>
      </c>
      <c r="AB118" s="85"/>
      <c r="AC118" s="48">
        <f t="shared" si="209"/>
        <v>0</v>
      </c>
      <c r="AD118" s="81"/>
      <c r="AE118" s="84">
        <f t="shared" si="210"/>
        <v>0</v>
      </c>
      <c r="AF118" s="85"/>
      <c r="AG118" s="84">
        <f t="shared" si="211"/>
        <v>0</v>
      </c>
      <c r="AH118" s="81"/>
      <c r="AI118" s="84">
        <f t="shared" si="212"/>
        <v>0</v>
      </c>
      <c r="AJ118" s="85"/>
      <c r="AK118" s="84">
        <f t="shared" si="213"/>
        <v>0</v>
      </c>
      <c r="AL118" s="85"/>
      <c r="AM118" s="84">
        <f t="shared" si="214"/>
        <v>0</v>
      </c>
      <c r="AN118" s="85"/>
      <c r="AO118" s="84">
        <f t="shared" si="201"/>
        <v>0</v>
      </c>
      <c r="AP118" s="85"/>
      <c r="AQ118" s="84">
        <f t="shared" si="202"/>
        <v>0</v>
      </c>
      <c r="AR118" s="85"/>
      <c r="AS118" s="84">
        <f t="shared" si="203"/>
        <v>0</v>
      </c>
      <c r="AT118" s="85"/>
      <c r="AU118" s="84">
        <f t="shared" si="204"/>
        <v>0</v>
      </c>
      <c r="AV118" s="81"/>
      <c r="AW118" s="214">
        <f t="shared" si="205"/>
        <v>0</v>
      </c>
    </row>
    <row r="119" spans="1:49" hidden="1" x14ac:dyDescent="0.35">
      <c r="A119" s="159" t="s">
        <v>410</v>
      </c>
      <c r="B119" s="172"/>
      <c r="C119" s="83">
        <f>'2020-21'!AS73</f>
        <v>0</v>
      </c>
      <c r="D119" s="107">
        <f t="shared" si="206"/>
        <v>0</v>
      </c>
      <c r="E119" s="304">
        <f t="shared" si="206"/>
        <v>0</v>
      </c>
      <c r="F119" s="287"/>
      <c r="G119" s="288" t="e">
        <f t="shared" si="217"/>
        <v>#DIV/0!</v>
      </c>
      <c r="H119" s="289"/>
      <c r="I119" s="290" t="e">
        <f t="shared" si="218"/>
        <v>#DIV/0!</v>
      </c>
      <c r="J119" s="287"/>
      <c r="K119" s="288" t="e">
        <f t="shared" si="219"/>
        <v>#DIV/0!</v>
      </c>
      <c r="L119" s="289"/>
      <c r="M119" s="290" t="e">
        <f t="shared" si="220"/>
        <v>#DIV/0!</v>
      </c>
      <c r="N119" s="287"/>
      <c r="O119" s="288" t="e">
        <f t="shared" si="221"/>
        <v>#DIV/0!</v>
      </c>
      <c r="P119" s="289"/>
      <c r="Q119" s="290" t="e">
        <f t="shared" si="222"/>
        <v>#DIV/0!</v>
      </c>
      <c r="R119" s="287"/>
      <c r="S119" s="313" t="e">
        <f t="shared" si="223"/>
        <v>#DIV/0!</v>
      </c>
      <c r="T119" s="287"/>
      <c r="U119" s="313" t="e">
        <f t="shared" si="200"/>
        <v>#DIV/0!</v>
      </c>
      <c r="V119" s="287"/>
      <c r="W119" s="313" t="e">
        <f t="shared" si="216"/>
        <v>#DIV/0!</v>
      </c>
      <c r="X119" s="323" t="e">
        <f t="shared" si="215"/>
        <v>#DIV/0!</v>
      </c>
      <c r="Y119" s="81">
        <f t="shared" si="207"/>
        <v>0</v>
      </c>
      <c r="Z119" s="81"/>
      <c r="AA119" s="84">
        <f t="shared" si="208"/>
        <v>0</v>
      </c>
      <c r="AB119" s="85"/>
      <c r="AC119" s="48">
        <f t="shared" si="209"/>
        <v>0</v>
      </c>
      <c r="AD119" s="81"/>
      <c r="AE119" s="84">
        <f t="shared" si="210"/>
        <v>0</v>
      </c>
      <c r="AF119" s="85"/>
      <c r="AG119" s="84">
        <f t="shared" si="211"/>
        <v>0</v>
      </c>
      <c r="AH119" s="81"/>
      <c r="AI119" s="84">
        <f t="shared" si="212"/>
        <v>0</v>
      </c>
      <c r="AJ119" s="85"/>
      <c r="AK119" s="84">
        <f t="shared" si="213"/>
        <v>0</v>
      </c>
      <c r="AL119" s="85"/>
      <c r="AM119" s="84">
        <f t="shared" si="214"/>
        <v>0</v>
      </c>
      <c r="AN119" s="85"/>
      <c r="AO119" s="84">
        <f t="shared" si="201"/>
        <v>0</v>
      </c>
      <c r="AP119" s="85"/>
      <c r="AQ119" s="84">
        <f t="shared" si="202"/>
        <v>0</v>
      </c>
      <c r="AR119" s="85"/>
      <c r="AS119" s="84">
        <f t="shared" si="203"/>
        <v>0</v>
      </c>
      <c r="AT119" s="85"/>
      <c r="AU119" s="84">
        <f t="shared" si="204"/>
        <v>0</v>
      </c>
      <c r="AV119" s="81"/>
      <c r="AW119" s="214">
        <f t="shared" si="205"/>
        <v>0</v>
      </c>
    </row>
    <row r="120" spans="1:49" hidden="1" x14ac:dyDescent="0.35">
      <c r="A120" s="100" t="s">
        <v>363</v>
      </c>
      <c r="B120" s="172"/>
      <c r="C120" s="83">
        <f>'2020-21'!AS74</f>
        <v>0</v>
      </c>
      <c r="D120" s="107">
        <f t="shared" si="206"/>
        <v>0</v>
      </c>
      <c r="E120" s="304">
        <f t="shared" si="206"/>
        <v>0</v>
      </c>
      <c r="F120" s="287"/>
      <c r="G120" s="288" t="e">
        <f t="shared" si="217"/>
        <v>#DIV/0!</v>
      </c>
      <c r="H120" s="289"/>
      <c r="I120" s="290" t="e">
        <f t="shared" si="218"/>
        <v>#DIV/0!</v>
      </c>
      <c r="J120" s="287"/>
      <c r="K120" s="288" t="e">
        <f t="shared" si="219"/>
        <v>#DIV/0!</v>
      </c>
      <c r="L120" s="289"/>
      <c r="M120" s="290" t="e">
        <f t="shared" si="220"/>
        <v>#DIV/0!</v>
      </c>
      <c r="N120" s="287"/>
      <c r="O120" s="288" t="e">
        <f t="shared" si="221"/>
        <v>#DIV/0!</v>
      </c>
      <c r="P120" s="289"/>
      <c r="Q120" s="290" t="e">
        <f t="shared" si="222"/>
        <v>#DIV/0!</v>
      </c>
      <c r="R120" s="287"/>
      <c r="S120" s="313" t="e">
        <f t="shared" si="223"/>
        <v>#DIV/0!</v>
      </c>
      <c r="T120" s="287"/>
      <c r="U120" s="313" t="e">
        <f t="shared" si="200"/>
        <v>#DIV/0!</v>
      </c>
      <c r="V120" s="287"/>
      <c r="W120" s="313" t="e">
        <f t="shared" si="216"/>
        <v>#DIV/0!</v>
      </c>
      <c r="X120" s="323" t="e">
        <f t="shared" si="215"/>
        <v>#DIV/0!</v>
      </c>
      <c r="Y120" s="81">
        <f t="shared" si="207"/>
        <v>0</v>
      </c>
      <c r="Z120" s="81"/>
      <c r="AA120" s="84">
        <f t="shared" si="208"/>
        <v>0</v>
      </c>
      <c r="AB120" s="85"/>
      <c r="AC120" s="48">
        <f t="shared" si="209"/>
        <v>0</v>
      </c>
      <c r="AD120" s="81"/>
      <c r="AE120" s="84">
        <f t="shared" si="210"/>
        <v>0</v>
      </c>
      <c r="AF120" s="85"/>
      <c r="AG120" s="84">
        <f t="shared" si="211"/>
        <v>0</v>
      </c>
      <c r="AH120" s="81"/>
      <c r="AI120" s="84">
        <f t="shared" si="212"/>
        <v>0</v>
      </c>
      <c r="AJ120" s="85"/>
      <c r="AK120" s="84">
        <f t="shared" si="213"/>
        <v>0</v>
      </c>
      <c r="AL120" s="85"/>
      <c r="AM120" s="84">
        <f t="shared" si="214"/>
        <v>0</v>
      </c>
      <c r="AN120" s="85"/>
      <c r="AO120" s="84">
        <f t="shared" si="201"/>
        <v>0</v>
      </c>
      <c r="AP120" s="85"/>
      <c r="AQ120" s="84">
        <f t="shared" si="202"/>
        <v>0</v>
      </c>
      <c r="AR120" s="85"/>
      <c r="AS120" s="84">
        <f t="shared" si="203"/>
        <v>0</v>
      </c>
      <c r="AT120" s="85"/>
      <c r="AU120" s="84">
        <f t="shared" si="204"/>
        <v>0</v>
      </c>
      <c r="AV120" s="81"/>
      <c r="AW120" s="214">
        <f t="shared" si="205"/>
        <v>0</v>
      </c>
    </row>
    <row r="121" spans="1:49" hidden="1" x14ac:dyDescent="0.35">
      <c r="A121" s="159" t="s">
        <v>402</v>
      </c>
      <c r="B121" s="170"/>
      <c r="C121" s="83">
        <f>'2020-21'!AS75</f>
        <v>0</v>
      </c>
      <c r="D121" s="107">
        <f t="shared" si="206"/>
        <v>0</v>
      </c>
      <c r="E121" s="304">
        <f t="shared" si="206"/>
        <v>0</v>
      </c>
      <c r="F121" s="287"/>
      <c r="G121" s="288" t="e">
        <f t="shared" si="217"/>
        <v>#DIV/0!</v>
      </c>
      <c r="H121" s="289"/>
      <c r="I121" s="290" t="e">
        <f t="shared" si="218"/>
        <v>#DIV/0!</v>
      </c>
      <c r="J121" s="287"/>
      <c r="K121" s="288" t="e">
        <f t="shared" si="219"/>
        <v>#DIV/0!</v>
      </c>
      <c r="L121" s="289"/>
      <c r="M121" s="290" t="e">
        <f t="shared" si="220"/>
        <v>#DIV/0!</v>
      </c>
      <c r="N121" s="287"/>
      <c r="O121" s="288" t="e">
        <f t="shared" si="221"/>
        <v>#DIV/0!</v>
      </c>
      <c r="P121" s="289"/>
      <c r="Q121" s="290" t="e">
        <f t="shared" si="222"/>
        <v>#DIV/0!</v>
      </c>
      <c r="R121" s="287"/>
      <c r="S121" s="313" t="e">
        <f t="shared" si="223"/>
        <v>#DIV/0!</v>
      </c>
      <c r="T121" s="287"/>
      <c r="U121" s="313" t="e">
        <f t="shared" si="200"/>
        <v>#DIV/0!</v>
      </c>
      <c r="V121" s="287"/>
      <c r="W121" s="313" t="e">
        <f t="shared" si="216"/>
        <v>#DIV/0!</v>
      </c>
      <c r="X121" s="323" t="e">
        <f t="shared" si="215"/>
        <v>#DIV/0!</v>
      </c>
      <c r="Y121" s="81">
        <f t="shared" si="207"/>
        <v>0</v>
      </c>
      <c r="Z121" s="81"/>
      <c r="AA121" s="84">
        <f t="shared" si="208"/>
        <v>0</v>
      </c>
      <c r="AB121" s="85"/>
      <c r="AC121" s="48">
        <f t="shared" si="209"/>
        <v>0</v>
      </c>
      <c r="AD121" s="81"/>
      <c r="AE121" s="84">
        <f t="shared" si="210"/>
        <v>0</v>
      </c>
      <c r="AF121" s="85"/>
      <c r="AG121" s="84">
        <f t="shared" si="211"/>
        <v>0</v>
      </c>
      <c r="AH121" s="81"/>
      <c r="AI121" s="84">
        <f t="shared" si="212"/>
        <v>0</v>
      </c>
      <c r="AJ121" s="85"/>
      <c r="AK121" s="84">
        <f t="shared" si="213"/>
        <v>0</v>
      </c>
      <c r="AL121" s="85"/>
      <c r="AM121" s="84">
        <f t="shared" si="214"/>
        <v>0</v>
      </c>
      <c r="AN121" s="85"/>
      <c r="AO121" s="84">
        <f t="shared" si="201"/>
        <v>0</v>
      </c>
      <c r="AP121" s="85"/>
      <c r="AQ121" s="84">
        <f t="shared" si="202"/>
        <v>0</v>
      </c>
      <c r="AR121" s="85"/>
      <c r="AS121" s="84">
        <f t="shared" si="203"/>
        <v>0</v>
      </c>
      <c r="AT121" s="85"/>
      <c r="AU121" s="84">
        <f t="shared" si="204"/>
        <v>0</v>
      </c>
      <c r="AV121" s="81"/>
      <c r="AW121" s="214">
        <f t="shared" si="205"/>
        <v>0</v>
      </c>
    </row>
    <row r="122" spans="1:49" hidden="1" x14ac:dyDescent="0.35">
      <c r="A122" s="41" t="s">
        <v>221</v>
      </c>
      <c r="B122" s="172"/>
      <c r="C122" s="83">
        <f>'2020-21'!AS76</f>
        <v>0</v>
      </c>
      <c r="D122" s="107">
        <f t="shared" si="206"/>
        <v>0</v>
      </c>
      <c r="E122" s="304">
        <f t="shared" si="206"/>
        <v>0</v>
      </c>
      <c r="F122" s="287"/>
      <c r="G122" s="288" t="e">
        <f t="shared" si="217"/>
        <v>#DIV/0!</v>
      </c>
      <c r="H122" s="289"/>
      <c r="I122" s="290" t="e">
        <f t="shared" si="218"/>
        <v>#DIV/0!</v>
      </c>
      <c r="J122" s="287"/>
      <c r="K122" s="288" t="e">
        <f t="shared" si="219"/>
        <v>#DIV/0!</v>
      </c>
      <c r="L122" s="289"/>
      <c r="M122" s="290" t="e">
        <f t="shared" si="220"/>
        <v>#DIV/0!</v>
      </c>
      <c r="N122" s="287"/>
      <c r="O122" s="288" t="e">
        <f t="shared" si="221"/>
        <v>#DIV/0!</v>
      </c>
      <c r="P122" s="289"/>
      <c r="Q122" s="290" t="e">
        <f t="shared" si="222"/>
        <v>#DIV/0!</v>
      </c>
      <c r="R122" s="287"/>
      <c r="S122" s="313" t="e">
        <f t="shared" si="223"/>
        <v>#DIV/0!</v>
      </c>
      <c r="T122" s="287"/>
      <c r="U122" s="313" t="e">
        <f t="shared" si="200"/>
        <v>#DIV/0!</v>
      </c>
      <c r="V122" s="287"/>
      <c r="W122" s="313" t="e">
        <f t="shared" si="216"/>
        <v>#DIV/0!</v>
      </c>
      <c r="X122" s="323" t="e">
        <f t="shared" si="215"/>
        <v>#DIV/0!</v>
      </c>
      <c r="Y122" s="81">
        <f t="shared" si="207"/>
        <v>0</v>
      </c>
      <c r="Z122" s="81"/>
      <c r="AA122" s="84">
        <f t="shared" si="208"/>
        <v>0</v>
      </c>
      <c r="AB122" s="85"/>
      <c r="AC122" s="48">
        <f t="shared" si="209"/>
        <v>0</v>
      </c>
      <c r="AD122" s="81"/>
      <c r="AE122" s="84">
        <f t="shared" si="210"/>
        <v>0</v>
      </c>
      <c r="AF122" s="85"/>
      <c r="AG122" s="84">
        <f t="shared" si="211"/>
        <v>0</v>
      </c>
      <c r="AH122" s="81"/>
      <c r="AI122" s="84">
        <f t="shared" si="212"/>
        <v>0</v>
      </c>
      <c r="AJ122" s="85"/>
      <c r="AK122" s="84">
        <f t="shared" si="213"/>
        <v>0</v>
      </c>
      <c r="AL122" s="85"/>
      <c r="AM122" s="84">
        <f t="shared" si="214"/>
        <v>0</v>
      </c>
      <c r="AN122" s="85"/>
      <c r="AO122" s="84">
        <f t="shared" si="201"/>
        <v>0</v>
      </c>
      <c r="AP122" s="85"/>
      <c r="AQ122" s="84">
        <f t="shared" si="202"/>
        <v>0</v>
      </c>
      <c r="AR122" s="85"/>
      <c r="AS122" s="84">
        <f t="shared" si="203"/>
        <v>0</v>
      </c>
      <c r="AT122" s="85"/>
      <c r="AU122" s="84">
        <f t="shared" si="204"/>
        <v>0</v>
      </c>
      <c r="AV122" s="81"/>
      <c r="AW122" s="214">
        <f t="shared" si="205"/>
        <v>0</v>
      </c>
    </row>
    <row r="123" spans="1:49" hidden="1" x14ac:dyDescent="0.35">
      <c r="A123" s="66" t="s">
        <v>434</v>
      </c>
      <c r="B123" s="174"/>
      <c r="C123" s="83">
        <f>'2020-21'!AS77</f>
        <v>0</v>
      </c>
      <c r="D123" s="107">
        <f t="shared" si="206"/>
        <v>0</v>
      </c>
      <c r="E123" s="304">
        <f t="shared" si="206"/>
        <v>0</v>
      </c>
      <c r="F123" s="287"/>
      <c r="G123" s="288" t="e">
        <f t="shared" si="217"/>
        <v>#DIV/0!</v>
      </c>
      <c r="H123" s="289"/>
      <c r="I123" s="290" t="e">
        <f t="shared" si="218"/>
        <v>#DIV/0!</v>
      </c>
      <c r="J123" s="287"/>
      <c r="K123" s="288" t="e">
        <f t="shared" si="219"/>
        <v>#DIV/0!</v>
      </c>
      <c r="L123" s="289"/>
      <c r="M123" s="290" t="e">
        <f t="shared" si="220"/>
        <v>#DIV/0!</v>
      </c>
      <c r="N123" s="287"/>
      <c r="O123" s="288" t="e">
        <f t="shared" si="221"/>
        <v>#DIV/0!</v>
      </c>
      <c r="P123" s="289"/>
      <c r="Q123" s="290" t="e">
        <f t="shared" si="222"/>
        <v>#DIV/0!</v>
      </c>
      <c r="R123" s="287"/>
      <c r="S123" s="313" t="e">
        <f t="shared" si="223"/>
        <v>#DIV/0!</v>
      </c>
      <c r="T123" s="287"/>
      <c r="U123" s="313" t="e">
        <f t="shared" si="200"/>
        <v>#DIV/0!</v>
      </c>
      <c r="V123" s="287"/>
      <c r="W123" s="313" t="e">
        <f t="shared" si="216"/>
        <v>#DIV/0!</v>
      </c>
      <c r="X123" s="323" t="e">
        <f t="shared" si="215"/>
        <v>#DIV/0!</v>
      </c>
      <c r="Y123" s="81">
        <f t="shared" si="207"/>
        <v>0</v>
      </c>
      <c r="Z123" s="81"/>
      <c r="AA123" s="84">
        <f t="shared" si="208"/>
        <v>0</v>
      </c>
      <c r="AB123" s="85"/>
      <c r="AC123" s="48">
        <f t="shared" si="209"/>
        <v>0</v>
      </c>
      <c r="AD123" s="81"/>
      <c r="AE123" s="84">
        <f t="shared" si="210"/>
        <v>0</v>
      </c>
      <c r="AF123" s="85"/>
      <c r="AG123" s="84">
        <f t="shared" si="211"/>
        <v>0</v>
      </c>
      <c r="AH123" s="81"/>
      <c r="AI123" s="84">
        <f t="shared" si="212"/>
        <v>0</v>
      </c>
      <c r="AJ123" s="85"/>
      <c r="AK123" s="84">
        <f t="shared" si="213"/>
        <v>0</v>
      </c>
      <c r="AL123" s="85"/>
      <c r="AM123" s="84">
        <f t="shared" si="214"/>
        <v>0</v>
      </c>
      <c r="AN123" s="85"/>
      <c r="AO123" s="84">
        <f t="shared" si="201"/>
        <v>0</v>
      </c>
      <c r="AP123" s="85"/>
      <c r="AQ123" s="84">
        <f t="shared" si="202"/>
        <v>0</v>
      </c>
      <c r="AR123" s="85"/>
      <c r="AS123" s="84">
        <f t="shared" si="203"/>
        <v>0</v>
      </c>
      <c r="AT123" s="85"/>
      <c r="AU123" s="84">
        <f t="shared" si="204"/>
        <v>0</v>
      </c>
      <c r="AV123" s="81"/>
      <c r="AW123" s="214">
        <f t="shared" si="205"/>
        <v>0</v>
      </c>
    </row>
    <row r="124" spans="1:49" hidden="1" x14ac:dyDescent="0.35">
      <c r="A124" s="161" t="s">
        <v>414</v>
      </c>
      <c r="B124" s="177"/>
      <c r="C124" s="83">
        <f>'2020-21'!AS78</f>
        <v>0</v>
      </c>
      <c r="D124" s="107">
        <f t="shared" si="206"/>
        <v>0</v>
      </c>
      <c r="E124" s="304">
        <f t="shared" si="206"/>
        <v>0</v>
      </c>
      <c r="F124" s="287"/>
      <c r="G124" s="288" t="e">
        <f t="shared" si="217"/>
        <v>#DIV/0!</v>
      </c>
      <c r="H124" s="289"/>
      <c r="I124" s="290" t="e">
        <f t="shared" si="218"/>
        <v>#DIV/0!</v>
      </c>
      <c r="J124" s="287"/>
      <c r="K124" s="288" t="e">
        <f t="shared" si="219"/>
        <v>#DIV/0!</v>
      </c>
      <c r="L124" s="289"/>
      <c r="M124" s="290" t="e">
        <f t="shared" si="220"/>
        <v>#DIV/0!</v>
      </c>
      <c r="N124" s="287"/>
      <c r="O124" s="288" t="e">
        <f t="shared" si="221"/>
        <v>#DIV/0!</v>
      </c>
      <c r="P124" s="289"/>
      <c r="Q124" s="290" t="e">
        <f t="shared" si="222"/>
        <v>#DIV/0!</v>
      </c>
      <c r="R124" s="287"/>
      <c r="S124" s="313" t="e">
        <f t="shared" si="223"/>
        <v>#DIV/0!</v>
      </c>
      <c r="T124" s="287"/>
      <c r="U124" s="313" t="e">
        <f t="shared" si="200"/>
        <v>#DIV/0!</v>
      </c>
      <c r="V124" s="287"/>
      <c r="W124" s="313" t="e">
        <f t="shared" si="216"/>
        <v>#DIV/0!</v>
      </c>
      <c r="X124" s="323" t="e">
        <f t="shared" si="215"/>
        <v>#DIV/0!</v>
      </c>
      <c r="Y124" s="81">
        <f t="shared" si="207"/>
        <v>0</v>
      </c>
      <c r="Z124" s="81"/>
      <c r="AA124" s="84">
        <f t="shared" si="208"/>
        <v>0</v>
      </c>
      <c r="AB124" s="85"/>
      <c r="AC124" s="48">
        <f t="shared" si="209"/>
        <v>0</v>
      </c>
      <c r="AD124" s="81"/>
      <c r="AE124" s="84">
        <f t="shared" si="210"/>
        <v>0</v>
      </c>
      <c r="AF124" s="85"/>
      <c r="AG124" s="84">
        <f t="shared" si="211"/>
        <v>0</v>
      </c>
      <c r="AH124" s="81"/>
      <c r="AI124" s="84">
        <f t="shared" si="212"/>
        <v>0</v>
      </c>
      <c r="AJ124" s="85"/>
      <c r="AK124" s="84">
        <f t="shared" si="213"/>
        <v>0</v>
      </c>
      <c r="AL124" s="85"/>
      <c r="AM124" s="84">
        <f t="shared" si="214"/>
        <v>0</v>
      </c>
      <c r="AN124" s="85"/>
      <c r="AO124" s="84">
        <f t="shared" si="201"/>
        <v>0</v>
      </c>
      <c r="AP124" s="85"/>
      <c r="AQ124" s="84">
        <f t="shared" si="202"/>
        <v>0</v>
      </c>
      <c r="AR124" s="85"/>
      <c r="AS124" s="84">
        <f t="shared" si="203"/>
        <v>0</v>
      </c>
      <c r="AT124" s="85"/>
      <c r="AU124" s="84">
        <f t="shared" si="204"/>
        <v>0</v>
      </c>
      <c r="AV124" s="81"/>
      <c r="AW124" s="214">
        <f t="shared" si="205"/>
        <v>0</v>
      </c>
    </row>
    <row r="125" spans="1:49" hidden="1" x14ac:dyDescent="0.35">
      <c r="A125" s="159" t="s">
        <v>387</v>
      </c>
      <c r="B125" s="174"/>
      <c r="C125" s="83">
        <f>'2020-21'!AS79</f>
        <v>0</v>
      </c>
      <c r="D125" s="107">
        <f t="shared" si="206"/>
        <v>0</v>
      </c>
      <c r="E125" s="304">
        <f t="shared" si="206"/>
        <v>0</v>
      </c>
      <c r="F125" s="287"/>
      <c r="G125" s="288" t="e">
        <f t="shared" si="217"/>
        <v>#DIV/0!</v>
      </c>
      <c r="H125" s="289"/>
      <c r="I125" s="290" t="e">
        <f t="shared" si="218"/>
        <v>#DIV/0!</v>
      </c>
      <c r="J125" s="287"/>
      <c r="K125" s="288" t="e">
        <f t="shared" si="219"/>
        <v>#DIV/0!</v>
      </c>
      <c r="L125" s="289"/>
      <c r="M125" s="290" t="e">
        <f t="shared" si="220"/>
        <v>#DIV/0!</v>
      </c>
      <c r="N125" s="287"/>
      <c r="O125" s="288" t="e">
        <f t="shared" si="221"/>
        <v>#DIV/0!</v>
      </c>
      <c r="P125" s="289"/>
      <c r="Q125" s="290" t="e">
        <f t="shared" si="222"/>
        <v>#DIV/0!</v>
      </c>
      <c r="R125" s="287"/>
      <c r="S125" s="313" t="e">
        <f t="shared" si="223"/>
        <v>#DIV/0!</v>
      </c>
      <c r="T125" s="287"/>
      <c r="U125" s="313" t="e">
        <f t="shared" si="200"/>
        <v>#DIV/0!</v>
      </c>
      <c r="V125" s="287"/>
      <c r="W125" s="313" t="e">
        <f t="shared" si="216"/>
        <v>#DIV/0!</v>
      </c>
      <c r="X125" s="323" t="e">
        <f t="shared" si="215"/>
        <v>#DIV/0!</v>
      </c>
      <c r="Y125" s="81">
        <f t="shared" si="207"/>
        <v>0</v>
      </c>
      <c r="Z125" s="81"/>
      <c r="AA125" s="84">
        <f t="shared" si="208"/>
        <v>0</v>
      </c>
      <c r="AB125" s="85"/>
      <c r="AC125" s="48">
        <f t="shared" si="209"/>
        <v>0</v>
      </c>
      <c r="AD125" s="81"/>
      <c r="AE125" s="84">
        <f t="shared" si="210"/>
        <v>0</v>
      </c>
      <c r="AF125" s="85"/>
      <c r="AG125" s="84">
        <f t="shared" si="211"/>
        <v>0</v>
      </c>
      <c r="AH125" s="81"/>
      <c r="AI125" s="84">
        <f t="shared" si="212"/>
        <v>0</v>
      </c>
      <c r="AJ125" s="85"/>
      <c r="AK125" s="84">
        <f t="shared" si="213"/>
        <v>0</v>
      </c>
      <c r="AL125" s="85"/>
      <c r="AM125" s="84">
        <f t="shared" si="214"/>
        <v>0</v>
      </c>
      <c r="AN125" s="85"/>
      <c r="AO125" s="84">
        <f t="shared" si="201"/>
        <v>0</v>
      </c>
      <c r="AP125" s="85"/>
      <c r="AQ125" s="84">
        <f t="shared" si="202"/>
        <v>0</v>
      </c>
      <c r="AR125" s="85"/>
      <c r="AS125" s="84">
        <f t="shared" si="203"/>
        <v>0</v>
      </c>
      <c r="AT125" s="85"/>
      <c r="AU125" s="84">
        <f t="shared" si="204"/>
        <v>0</v>
      </c>
      <c r="AV125" s="81"/>
      <c r="AW125" s="214">
        <f t="shared" si="205"/>
        <v>0</v>
      </c>
    </row>
    <row r="126" spans="1:49" hidden="1" x14ac:dyDescent="0.35">
      <c r="A126" s="187" t="s">
        <v>408</v>
      </c>
      <c r="B126" s="173"/>
      <c r="C126" s="83">
        <f>'2020-21'!AS80</f>
        <v>0</v>
      </c>
      <c r="D126" s="107">
        <f t="shared" si="206"/>
        <v>0</v>
      </c>
      <c r="E126" s="304">
        <f t="shared" si="206"/>
        <v>0</v>
      </c>
      <c r="F126" s="287"/>
      <c r="G126" s="288" t="e">
        <f t="shared" si="217"/>
        <v>#DIV/0!</v>
      </c>
      <c r="H126" s="289"/>
      <c r="I126" s="290" t="e">
        <f t="shared" si="218"/>
        <v>#DIV/0!</v>
      </c>
      <c r="J126" s="287"/>
      <c r="K126" s="288" t="e">
        <f t="shared" si="219"/>
        <v>#DIV/0!</v>
      </c>
      <c r="L126" s="289"/>
      <c r="M126" s="290" t="e">
        <f t="shared" si="220"/>
        <v>#DIV/0!</v>
      </c>
      <c r="N126" s="287"/>
      <c r="O126" s="288" t="e">
        <f t="shared" si="221"/>
        <v>#DIV/0!</v>
      </c>
      <c r="P126" s="289"/>
      <c r="Q126" s="290" t="e">
        <f t="shared" si="222"/>
        <v>#DIV/0!</v>
      </c>
      <c r="R126" s="287"/>
      <c r="S126" s="313" t="e">
        <f t="shared" si="223"/>
        <v>#DIV/0!</v>
      </c>
      <c r="T126" s="287"/>
      <c r="U126" s="313" t="e">
        <f t="shared" si="200"/>
        <v>#DIV/0!</v>
      </c>
      <c r="V126" s="287"/>
      <c r="W126" s="313" t="e">
        <f t="shared" si="216"/>
        <v>#DIV/0!</v>
      </c>
      <c r="X126" s="323" t="e">
        <f t="shared" si="215"/>
        <v>#DIV/0!</v>
      </c>
      <c r="Y126" s="81">
        <f t="shared" si="207"/>
        <v>0</v>
      </c>
      <c r="Z126" s="81"/>
      <c r="AA126" s="84">
        <f t="shared" si="208"/>
        <v>0</v>
      </c>
      <c r="AB126" s="85"/>
      <c r="AC126" s="48">
        <f t="shared" si="209"/>
        <v>0</v>
      </c>
      <c r="AD126" s="81"/>
      <c r="AE126" s="84">
        <f t="shared" si="210"/>
        <v>0</v>
      </c>
      <c r="AF126" s="85"/>
      <c r="AG126" s="84">
        <f t="shared" si="211"/>
        <v>0</v>
      </c>
      <c r="AH126" s="81"/>
      <c r="AI126" s="84">
        <f t="shared" si="212"/>
        <v>0</v>
      </c>
      <c r="AJ126" s="85"/>
      <c r="AK126" s="84">
        <f t="shared" si="213"/>
        <v>0</v>
      </c>
      <c r="AL126" s="85"/>
      <c r="AM126" s="84">
        <f t="shared" si="214"/>
        <v>0</v>
      </c>
      <c r="AN126" s="85"/>
      <c r="AO126" s="84">
        <f t="shared" si="201"/>
        <v>0</v>
      </c>
      <c r="AP126" s="85"/>
      <c r="AQ126" s="84">
        <f t="shared" si="202"/>
        <v>0</v>
      </c>
      <c r="AR126" s="85"/>
      <c r="AS126" s="84">
        <f t="shared" si="203"/>
        <v>0</v>
      </c>
      <c r="AT126" s="85"/>
      <c r="AU126" s="84">
        <f t="shared" si="204"/>
        <v>0</v>
      </c>
      <c r="AV126" s="81"/>
      <c r="AW126" s="214">
        <f t="shared" si="205"/>
        <v>0</v>
      </c>
    </row>
    <row r="127" spans="1:49" hidden="1" x14ac:dyDescent="0.35">
      <c r="A127" s="100"/>
      <c r="B127" s="172"/>
      <c r="C127" s="107"/>
      <c r="D127" s="107"/>
      <c r="E127" s="304"/>
      <c r="F127" s="287"/>
      <c r="G127" s="288"/>
      <c r="H127" s="289"/>
      <c r="I127" s="289"/>
      <c r="J127" s="287"/>
      <c r="K127" s="287"/>
      <c r="L127" s="289"/>
      <c r="M127" s="289"/>
      <c r="N127" s="287"/>
      <c r="O127" s="287"/>
      <c r="P127" s="289"/>
      <c r="Q127" s="289"/>
      <c r="R127" s="287"/>
      <c r="S127" s="314"/>
      <c r="T127" s="287"/>
      <c r="U127" s="313" t="e">
        <f t="shared" si="200"/>
        <v>#DIV/0!</v>
      </c>
      <c r="V127" s="287"/>
      <c r="W127" s="313" t="e">
        <f t="shared" si="216"/>
        <v>#DIV/0!</v>
      </c>
      <c r="X127" s="323" t="e">
        <f t="shared" si="215"/>
        <v>#DIV/0!</v>
      </c>
      <c r="Y127" s="81"/>
      <c r="Z127" s="81"/>
      <c r="AA127" s="84"/>
      <c r="AB127" s="85"/>
      <c r="AC127" s="81"/>
      <c r="AD127" s="81"/>
      <c r="AE127" s="84"/>
      <c r="AF127" s="85"/>
      <c r="AG127" s="84"/>
      <c r="AH127" s="81"/>
      <c r="AI127" s="84"/>
      <c r="AJ127" s="85"/>
      <c r="AK127" s="84"/>
      <c r="AL127" s="85"/>
      <c r="AM127" s="84"/>
      <c r="AN127" s="85"/>
      <c r="AO127" s="84"/>
      <c r="AP127" s="85"/>
      <c r="AQ127" s="84"/>
      <c r="AR127" s="85"/>
      <c r="AS127" s="84"/>
      <c r="AT127" s="85"/>
      <c r="AU127" s="84"/>
      <c r="AV127" s="81"/>
      <c r="AW127" s="214"/>
    </row>
    <row r="128" spans="1:49" x14ac:dyDescent="0.35">
      <c r="A128" s="159"/>
      <c r="B128" s="172"/>
      <c r="C128" s="107"/>
      <c r="D128" s="107"/>
      <c r="E128" s="304"/>
      <c r="F128" s="291"/>
      <c r="G128" s="292"/>
      <c r="H128" s="293"/>
      <c r="I128" s="293"/>
      <c r="J128" s="291"/>
      <c r="K128" s="291"/>
      <c r="L128" s="293"/>
      <c r="M128" s="293"/>
      <c r="N128" s="291"/>
      <c r="O128" s="291"/>
      <c r="P128" s="293"/>
      <c r="Q128" s="293"/>
      <c r="R128" s="291"/>
      <c r="S128" s="315"/>
      <c r="T128" s="291"/>
      <c r="U128" s="315"/>
      <c r="V128" s="291"/>
      <c r="W128" s="313" t="e">
        <f t="shared" si="216"/>
        <v>#DIV/0!</v>
      </c>
      <c r="X128" s="323" t="e">
        <f t="shared" si="215"/>
        <v>#DIV/0!</v>
      </c>
      <c r="Y128" s="81"/>
      <c r="Z128" s="81"/>
      <c r="AA128" s="84"/>
      <c r="AB128" s="85"/>
      <c r="AC128" s="81"/>
      <c r="AD128" s="81"/>
      <c r="AE128" s="84"/>
      <c r="AF128" s="85"/>
      <c r="AG128" s="84"/>
      <c r="AH128" s="81"/>
      <c r="AI128" s="84"/>
      <c r="AJ128" s="85"/>
      <c r="AK128" s="84"/>
      <c r="AL128" s="85"/>
      <c r="AM128" s="84"/>
      <c r="AN128" s="85"/>
      <c r="AO128" s="84"/>
      <c r="AP128" s="85"/>
      <c r="AQ128" s="84"/>
      <c r="AR128" s="85"/>
      <c r="AS128" s="84"/>
      <c r="AT128" s="85"/>
      <c r="AU128" s="84"/>
      <c r="AV128" s="81"/>
      <c r="AW128" s="214"/>
    </row>
    <row r="129" spans="1:49" x14ac:dyDescent="0.35">
      <c r="A129" s="159"/>
      <c r="B129" s="173"/>
      <c r="C129" s="83"/>
      <c r="D129" s="83"/>
      <c r="E129" s="301"/>
      <c r="F129" s="285"/>
      <c r="G129" s="294"/>
      <c r="H129" s="286"/>
      <c r="I129" s="286"/>
      <c r="J129" s="285"/>
      <c r="K129" s="285"/>
      <c r="L129" s="286"/>
      <c r="M129" s="286"/>
      <c r="N129" s="285"/>
      <c r="O129" s="285"/>
      <c r="P129" s="286"/>
      <c r="Q129" s="286"/>
      <c r="R129" s="285"/>
      <c r="S129" s="312"/>
      <c r="T129" s="285"/>
      <c r="U129" s="312"/>
      <c r="V129" s="285"/>
      <c r="W129" s="312"/>
      <c r="X129" s="323">
        <f t="shared" si="215"/>
        <v>0</v>
      </c>
      <c r="Z129" s="81"/>
      <c r="AA129" s="84"/>
      <c r="AB129" s="85"/>
      <c r="AC129" s="81"/>
      <c r="AD129" s="81"/>
      <c r="AE129" s="84"/>
      <c r="AF129" s="85"/>
      <c r="AG129" s="84"/>
      <c r="AH129" s="81"/>
      <c r="AI129" s="84"/>
      <c r="AJ129" s="85"/>
      <c r="AK129" s="84"/>
      <c r="AL129" s="85"/>
      <c r="AM129" s="84"/>
      <c r="AN129" s="85"/>
      <c r="AO129" s="84"/>
      <c r="AP129" s="85"/>
      <c r="AQ129" s="84"/>
      <c r="AR129" s="85"/>
      <c r="AS129" s="84"/>
      <c r="AT129" s="85"/>
      <c r="AU129" s="84"/>
      <c r="AV129" s="81"/>
      <c r="AW129" s="214"/>
    </row>
    <row r="130" spans="1:49" ht="13.9" thickBot="1" x14ac:dyDescent="0.4">
      <c r="A130" s="159"/>
      <c r="B130" s="206"/>
      <c r="C130" s="207">
        <f>SUM(C7:C129)</f>
        <v>4048408.03</v>
      </c>
      <c r="D130" s="207">
        <f>SUM(D7:D129)</f>
        <v>3902987.82</v>
      </c>
      <c r="E130" s="310">
        <f>SUM(E7:E127)</f>
        <v>2415225.7099999995</v>
      </c>
      <c r="F130" s="306">
        <f>SUM(F7:F127)</f>
        <v>374019.79000000004</v>
      </c>
      <c r="G130" s="307">
        <f>F130/E130</f>
        <v>0.15485914564895889</v>
      </c>
      <c r="H130" s="308">
        <f>SUM(H7:H127)</f>
        <v>423207.78999999992</v>
      </c>
      <c r="I130" s="309">
        <f>H130/E130</f>
        <v>0.17522494409021508</v>
      </c>
      <c r="J130" s="306">
        <f>SUM(J7:J127)</f>
        <v>314729.44</v>
      </c>
      <c r="K130" s="307">
        <f>J130/E130</f>
        <v>0.13031057043525762</v>
      </c>
      <c r="L130" s="308">
        <f>SUM(L7:L127)</f>
        <v>295953.5</v>
      </c>
      <c r="M130" s="309">
        <f>L130/E130</f>
        <v>0.1225365806494334</v>
      </c>
      <c r="N130" s="306">
        <f>SUM(L7:L127)</f>
        <v>295953.5</v>
      </c>
      <c r="O130" s="307">
        <f>N130/E130</f>
        <v>0.1225365806494334</v>
      </c>
      <c r="P130" s="308">
        <f>SUM(P7:P127)</f>
        <v>222922.31</v>
      </c>
      <c r="Q130" s="309">
        <f>P130/E130</f>
        <v>9.2298748343482992E-2</v>
      </c>
      <c r="R130" s="306">
        <f>SUM(R7:R127)</f>
        <v>126335.88999999998</v>
      </c>
      <c r="S130" s="316">
        <f>R130/E130</f>
        <v>5.2308109124923161E-2</v>
      </c>
      <c r="T130" s="306">
        <f>SUM(T7:T127)</f>
        <v>77668.3</v>
      </c>
      <c r="U130" s="316">
        <f>T130/E130</f>
        <v>3.2157781228653787E-2</v>
      </c>
      <c r="V130" s="306">
        <f>SUM(V7:V127)</f>
        <v>139709.71</v>
      </c>
      <c r="W130" s="316">
        <f>V130/E130</f>
        <v>5.7845405264421446E-2</v>
      </c>
      <c r="X130" s="324">
        <f>W130+U130+S130+Q130+O130+M130+K130+I130+G130</f>
        <v>0.94007786543477967</v>
      </c>
      <c r="Y130" s="76"/>
      <c r="Z130" s="220"/>
      <c r="AA130" s="153"/>
      <c r="AB130" s="144"/>
      <c r="AC130" s="147"/>
      <c r="AD130" s="147"/>
      <c r="AE130" s="153"/>
      <c r="AF130" s="144"/>
      <c r="AG130" s="153"/>
      <c r="AH130" s="147"/>
      <c r="AI130" s="153"/>
      <c r="AJ130" s="144"/>
      <c r="AK130" s="153"/>
      <c r="AL130" s="144"/>
      <c r="AM130" s="153"/>
      <c r="AN130" s="144"/>
      <c r="AO130" s="153"/>
      <c r="AP130" s="144"/>
      <c r="AQ130" s="153"/>
      <c r="AR130" s="144"/>
      <c r="AS130" s="153"/>
      <c r="AT130" s="144"/>
      <c r="AU130" s="153"/>
      <c r="AV130" s="147"/>
      <c r="AW130" s="215"/>
    </row>
    <row r="131" spans="1:49" ht="13.9" thickTop="1" x14ac:dyDescent="0.35">
      <c r="A131" s="188"/>
      <c r="B131" s="189"/>
      <c r="C131" s="190"/>
      <c r="D131" s="190"/>
      <c r="E131" s="190"/>
      <c r="F131" s="190"/>
      <c r="G131" s="295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Z131" s="48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5"/>
      <c r="AW131" s="48"/>
    </row>
    <row r="132" spans="1:49" x14ac:dyDescent="0.35">
      <c r="A132" s="88" t="s">
        <v>155</v>
      </c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53">
        <f>SUM(Y7:Y129)</f>
        <v>154896.72</v>
      </c>
      <c r="Z132" s="53"/>
      <c r="AA132" s="53">
        <f>SUM(AA7:AA129)</f>
        <v>158376.78</v>
      </c>
      <c r="AB132" s="53"/>
      <c r="AC132" s="53">
        <f>SUM(AC7:AC129)</f>
        <v>133613</v>
      </c>
      <c r="AD132" s="53"/>
      <c r="AE132" s="53">
        <f>SUM(AE7:AE129)</f>
        <v>120403.91</v>
      </c>
      <c r="AF132" s="53"/>
      <c r="AG132" s="53">
        <f>SUM(AG7:AG129)</f>
        <v>155206.72999999998</v>
      </c>
      <c r="AH132" s="53"/>
      <c r="AI132" s="53">
        <f>SUM(AI7:AI129)</f>
        <v>169089.95</v>
      </c>
      <c r="AJ132" s="53"/>
      <c r="AK132" s="53">
        <f>SUM(AK7:AK129)</f>
        <v>144674.15</v>
      </c>
      <c r="AL132" s="53"/>
      <c r="AM132" s="89">
        <f>SUM(AM7:AM127)</f>
        <v>135377.22</v>
      </c>
      <c r="AN132" s="89"/>
      <c r="AO132" s="89">
        <f>SUM(AO7:AO127)</f>
        <v>202174.37</v>
      </c>
      <c r="AP132" s="89"/>
      <c r="AQ132" s="53">
        <f>SUM(AQ7:AQ131)</f>
        <v>205391.21999999997</v>
      </c>
      <c r="AR132" s="89"/>
      <c r="AS132" s="89">
        <f>SUM(AS7:AS127)</f>
        <v>76945.540000000008</v>
      </c>
      <c r="AT132" s="89"/>
      <c r="AU132" s="89">
        <f>SUM(AU7:AU127)</f>
        <v>181103.59999999998</v>
      </c>
      <c r="AV132" s="90"/>
    </row>
    <row r="133" spans="1:49" x14ac:dyDescent="0.35">
      <c r="A133" s="92" t="s">
        <v>226</v>
      </c>
      <c r="B133" s="157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>
        <f>SUM(Z7:Z130)</f>
        <v>154898</v>
      </c>
      <c r="AA133" s="93"/>
      <c r="AB133" s="93">
        <f>SUM(AB7:AB130)</f>
        <v>158376.25</v>
      </c>
      <c r="AC133" s="93"/>
      <c r="AD133" s="93">
        <f>SUM(AD7:AD130)</f>
        <v>133613.82</v>
      </c>
      <c r="AE133" s="93"/>
      <c r="AF133" s="93">
        <f>SUM(AF7:AF130)</f>
        <v>120404.76000000001</v>
      </c>
      <c r="AG133" s="93"/>
      <c r="AH133" s="93">
        <f>SUM(AH7:AH130)</f>
        <v>154926.74</v>
      </c>
      <c r="AI133" s="93"/>
      <c r="AJ133" s="93">
        <f>SUM(AJ7:AJ130)</f>
        <v>169090.65</v>
      </c>
      <c r="AK133" s="93"/>
      <c r="AL133" s="93">
        <f>SUM(AL7:AL130)</f>
        <v>144675.49000000002</v>
      </c>
      <c r="AM133" s="93"/>
      <c r="AN133" s="93">
        <f>SUM(AN7:AN130)</f>
        <v>135375.44999999998</v>
      </c>
      <c r="AO133" s="93"/>
      <c r="AP133" s="93">
        <f>SUM(AP7:AP130)</f>
        <v>202173.71000000002</v>
      </c>
      <c r="AQ133" s="93"/>
      <c r="AR133" s="93">
        <f>SUM(AR7:AR130)</f>
        <v>205389.38999999998</v>
      </c>
      <c r="AS133" s="93"/>
      <c r="AT133" s="93">
        <f>SUM(AT7:AT130)</f>
        <v>76944.89</v>
      </c>
      <c r="AU133" s="93"/>
      <c r="AV133" s="93">
        <f>SUM(AV7:AV130)</f>
        <v>181104.2</v>
      </c>
      <c r="AW133" s="81"/>
    </row>
    <row r="134" spans="1:49" x14ac:dyDescent="0.35">
      <c r="A134" s="199" t="s">
        <v>439</v>
      </c>
      <c r="B134" s="200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>
        <f>'2021-22'!X146</f>
        <v>89329.89</v>
      </c>
      <c r="AA134" s="201"/>
      <c r="AB134" s="201">
        <f>'2021-22'!Z146</f>
        <v>135786.78999999998</v>
      </c>
      <c r="AC134" s="201"/>
      <c r="AD134" s="201">
        <f>'2021-22'!AB146</f>
        <v>89177.909999999989</v>
      </c>
      <c r="AE134" s="201"/>
      <c r="AF134" s="201">
        <f>'2021-22'!AD146</f>
        <v>123217.23999999999</v>
      </c>
      <c r="AG134" s="201"/>
      <c r="AH134" s="201">
        <f>'2021-22'!AF146</f>
        <v>98311.469999999987</v>
      </c>
      <c r="AI134" s="201"/>
      <c r="AJ134" s="201">
        <f>'2021-22'!AH146</f>
        <v>157426.93</v>
      </c>
      <c r="AK134" s="201"/>
      <c r="AL134" s="201">
        <f>'2021-22'!AJ146</f>
        <v>133409.57</v>
      </c>
      <c r="AM134" s="201"/>
      <c r="AN134" s="201">
        <f>'2021-22'!AL146</f>
        <v>137880.73000000001</v>
      </c>
      <c r="AO134" s="201"/>
      <c r="AP134" s="201">
        <f>'2021-22'!AN146</f>
        <v>115871.58</v>
      </c>
      <c r="AQ134" s="201"/>
      <c r="AR134" s="201">
        <f>'2021-22'!AP146</f>
        <v>132007.07</v>
      </c>
      <c r="AS134" s="201"/>
      <c r="AT134" s="201">
        <f>'2021-22'!AR146</f>
        <v>103996.01000000001</v>
      </c>
      <c r="AU134" s="201"/>
      <c r="AV134" s="201">
        <f>'2021-22'!AT146</f>
        <v>90132.670000000013</v>
      </c>
      <c r="AW134" s="48"/>
    </row>
    <row r="135" spans="1:49" x14ac:dyDescent="0.35">
      <c r="A135" s="199" t="s">
        <v>440</v>
      </c>
      <c r="B135" s="204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>
        <f>'2021-22'!X147</f>
        <v>93515.93</v>
      </c>
      <c r="AA135" s="205"/>
      <c r="AB135" s="205">
        <f>'2021-22'!Z147</f>
        <v>165306.57999999999</v>
      </c>
      <c r="AC135" s="205"/>
      <c r="AD135" s="205">
        <f>'2021-22'!AB147</f>
        <v>78895</v>
      </c>
      <c r="AE135" s="205"/>
      <c r="AF135" s="205">
        <f>'2021-22'!AD147</f>
        <v>124587</v>
      </c>
      <c r="AG135" s="205"/>
      <c r="AH135" s="205">
        <f>'2021-22'!AF147</f>
        <v>109676.36</v>
      </c>
      <c r="AI135" s="205"/>
      <c r="AJ135" s="205">
        <f>'2021-22'!AH147</f>
        <v>132023.72999999998</v>
      </c>
      <c r="AK135" s="205"/>
      <c r="AL135" s="205">
        <f>'2021-22'!AJ147</f>
        <v>69098.850000000006</v>
      </c>
      <c r="AM135" s="352" t="s">
        <v>91</v>
      </c>
      <c r="AN135" s="205">
        <f>'2021-22'!AL147</f>
        <v>124621.44</v>
      </c>
      <c r="AO135" s="205"/>
      <c r="AP135" s="205">
        <f>'2021-22'!AN147</f>
        <v>109740.59000000001</v>
      </c>
      <c r="AQ135" s="205"/>
      <c r="AR135" s="205">
        <f>'2021-22'!AP147</f>
        <v>153754.53</v>
      </c>
      <c r="AS135" s="205"/>
      <c r="AT135" s="205">
        <f>'2021-22'!AR147</f>
        <v>71889.5</v>
      </c>
      <c r="AU135" s="205"/>
      <c r="AV135" s="205">
        <f>'2021-22'!AT147</f>
        <v>173484.59</v>
      </c>
      <c r="AW135" s="48"/>
    </row>
    <row r="136" spans="1:49" x14ac:dyDescent="0.35"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48" t="s">
        <v>560</v>
      </c>
    </row>
    <row r="137" spans="1:49" x14ac:dyDescent="0.35">
      <c r="A137" s="88" t="s">
        <v>225</v>
      </c>
      <c r="B137" s="184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>
        <f>Y132</f>
        <v>154896.72</v>
      </c>
      <c r="Z137" s="89"/>
      <c r="AA137" s="89">
        <f>AA132+Y137</f>
        <v>313273.5</v>
      </c>
      <c r="AB137" s="89"/>
      <c r="AC137" s="354">
        <f>AC132+AA137</f>
        <v>446886.5</v>
      </c>
      <c r="AD137" s="89"/>
      <c r="AE137" s="89">
        <f>AE132+AC137</f>
        <v>567290.41</v>
      </c>
      <c r="AF137" s="89"/>
      <c r="AG137" s="89">
        <f>AG132+AE137</f>
        <v>722497.14</v>
      </c>
      <c r="AH137" s="89"/>
      <c r="AI137" s="89">
        <f>AI132+AG137</f>
        <v>891587.09000000008</v>
      </c>
      <c r="AJ137" s="89"/>
      <c r="AK137" s="89">
        <f>AK132+AI137</f>
        <v>1036261.2400000001</v>
      </c>
      <c r="AL137" s="89"/>
      <c r="AM137" s="89">
        <f>AM132+AK137</f>
        <v>1171638.4600000002</v>
      </c>
      <c r="AN137" s="89"/>
      <c r="AO137" s="89">
        <f>AO132+AM137</f>
        <v>1373812.83</v>
      </c>
      <c r="AP137" s="89"/>
      <c r="AQ137" s="89">
        <f>AQ132+AO137</f>
        <v>1579204.05</v>
      </c>
      <c r="AR137" s="89"/>
      <c r="AS137" s="89">
        <f>AS132+AQ137</f>
        <v>1656149.59</v>
      </c>
      <c r="AT137" s="89"/>
      <c r="AU137" s="89">
        <f>AU132+AS137</f>
        <v>1837253.19</v>
      </c>
      <c r="AV137" s="90"/>
      <c r="AW137" s="81">
        <f>SUM(AW7:AW130)</f>
        <v>2065734.63</v>
      </c>
    </row>
    <row r="138" spans="1:49" x14ac:dyDescent="0.35">
      <c r="A138" s="26" t="s">
        <v>627</v>
      </c>
      <c r="B138" s="157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>
        <f>Z133</f>
        <v>154898</v>
      </c>
      <c r="AA138" s="93"/>
      <c r="AB138" s="93">
        <f>AB133+Z138</f>
        <v>313274.25</v>
      </c>
      <c r="AC138" s="93"/>
      <c r="AD138" s="93">
        <f>AD133+AB138</f>
        <v>446888.07</v>
      </c>
      <c r="AE138" s="93"/>
      <c r="AF138" s="93">
        <f>AF133+AD138</f>
        <v>567292.83000000007</v>
      </c>
      <c r="AG138" s="93"/>
      <c r="AH138" s="93">
        <f>AH133+AF138</f>
        <v>722219.57000000007</v>
      </c>
      <c r="AI138" s="93"/>
      <c r="AJ138" s="93">
        <f>AJ133+AH138</f>
        <v>891310.22000000009</v>
      </c>
      <c r="AK138" s="93"/>
      <c r="AL138" s="93">
        <f>AL133+AJ138</f>
        <v>1035985.7100000001</v>
      </c>
      <c r="AM138" s="93"/>
      <c r="AN138" s="93">
        <f>AN133+AL138</f>
        <v>1171361.1600000001</v>
      </c>
      <c r="AO138" s="93"/>
      <c r="AP138" s="93">
        <f>AP133+AN138</f>
        <v>1373534.87</v>
      </c>
      <c r="AQ138" s="93"/>
      <c r="AR138" s="93">
        <f>AR133+AP138</f>
        <v>1578924.26</v>
      </c>
      <c r="AS138" s="93"/>
      <c r="AT138" s="93">
        <f>AT133+AR138</f>
        <v>1655869.15</v>
      </c>
      <c r="AU138" s="93"/>
      <c r="AV138" s="203">
        <f>AV133+AT138</f>
        <v>1836973.3499999999</v>
      </c>
      <c r="AW138" s="81"/>
    </row>
    <row r="139" spans="1:49" x14ac:dyDescent="0.35">
      <c r="A139" s="191" t="s">
        <v>442</v>
      </c>
      <c r="B139" s="192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>
        <f>'2021-22'!X151</f>
        <v>89329.89</v>
      </c>
      <c r="AA139" s="193"/>
      <c r="AB139" s="193">
        <f>'2021-22'!Z151</f>
        <v>225116.68</v>
      </c>
      <c r="AC139" s="193"/>
      <c r="AD139" s="193">
        <f>'2021-22'!AB151</f>
        <v>314294.58999999997</v>
      </c>
      <c r="AE139" s="193"/>
      <c r="AF139" s="193">
        <f>'2021-22'!AD151</f>
        <v>437511.82999999996</v>
      </c>
      <c r="AG139" s="193"/>
      <c r="AH139" s="193">
        <f>'2021-22'!AF151</f>
        <v>535823.29999999993</v>
      </c>
      <c r="AI139" s="193"/>
      <c r="AJ139" s="193">
        <f>'2021-22'!AH151</f>
        <v>693250.23</v>
      </c>
      <c r="AK139" s="193"/>
      <c r="AL139" s="193">
        <f>'2021-22'!AJ151</f>
        <v>826659.8</v>
      </c>
      <c r="AM139" s="193"/>
      <c r="AN139" s="193">
        <f>'2021-22'!AL151</f>
        <v>964540.53</v>
      </c>
      <c r="AO139" s="193"/>
      <c r="AP139" s="193">
        <f>'2021-22'!AN151</f>
        <v>1080412.1100000001</v>
      </c>
      <c r="AQ139" s="193"/>
      <c r="AR139" s="193">
        <f>'2021-22'!AP151</f>
        <v>1212419.1800000002</v>
      </c>
      <c r="AS139" s="193"/>
      <c r="AT139" s="193">
        <f>'2021-22'!AR151</f>
        <v>1316415.1900000002</v>
      </c>
      <c r="AU139" s="193"/>
      <c r="AV139" s="193">
        <f>'2021-22'!AT151</f>
        <v>1406547.86</v>
      </c>
      <c r="AW139" s="81"/>
    </row>
    <row r="140" spans="1:49" x14ac:dyDescent="0.35">
      <c r="A140" s="210" t="s">
        <v>443</v>
      </c>
      <c r="B140" s="208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>
        <f>'2021-22'!X152</f>
        <v>93515.93</v>
      </c>
      <c r="AA140" s="209"/>
      <c r="AB140" s="209">
        <f>Z140+AB135</f>
        <v>258822.50999999998</v>
      </c>
      <c r="AC140" s="209"/>
      <c r="AD140" s="209">
        <f t="shared" ref="AD140:AV140" si="224">AB140+AD135</f>
        <v>337717.51</v>
      </c>
      <c r="AE140" s="209"/>
      <c r="AF140" s="209">
        <f t="shared" si="224"/>
        <v>462304.51</v>
      </c>
      <c r="AG140" s="209"/>
      <c r="AH140" s="209">
        <f t="shared" si="224"/>
        <v>571980.87</v>
      </c>
      <c r="AI140" s="209"/>
      <c r="AJ140" s="209">
        <f t="shared" si="224"/>
        <v>704004.6</v>
      </c>
      <c r="AK140" s="209"/>
      <c r="AL140" s="209">
        <f t="shared" si="224"/>
        <v>773103.45</v>
      </c>
      <c r="AM140" s="209"/>
      <c r="AN140" s="209">
        <f t="shared" si="224"/>
        <v>897724.8899999999</v>
      </c>
      <c r="AO140" s="209"/>
      <c r="AP140" s="209">
        <f t="shared" si="224"/>
        <v>1007465.4799999999</v>
      </c>
      <c r="AQ140" s="209"/>
      <c r="AR140" s="209">
        <f t="shared" si="224"/>
        <v>1161220.0099999998</v>
      </c>
      <c r="AS140" s="209"/>
      <c r="AT140" s="209">
        <f t="shared" si="224"/>
        <v>1233109.5099999998</v>
      </c>
      <c r="AU140" s="209"/>
      <c r="AV140" s="209">
        <f t="shared" si="224"/>
        <v>1406594.0999999999</v>
      </c>
      <c r="AW140" s="81"/>
    </row>
    <row r="141" spans="1:49" x14ac:dyDescent="0.35"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>
        <f>'2017-18'!E71</f>
        <v>111463</v>
      </c>
      <c r="AA141" s="81"/>
      <c r="AB141" s="81">
        <f>'2017-18'!G71</f>
        <v>208926.18</v>
      </c>
      <c r="AC141" s="81"/>
      <c r="AD141" s="81">
        <f>'2017-18'!I71</f>
        <v>355070.18</v>
      </c>
      <c r="AE141" s="81"/>
      <c r="AF141" s="81">
        <f>'2017-18'!K71</f>
        <v>363091.18</v>
      </c>
      <c r="AG141" s="81"/>
      <c r="AH141" s="81">
        <f>'2017-18'!M71</f>
        <v>476992.18</v>
      </c>
      <c r="AI141" s="81"/>
      <c r="AJ141" s="81">
        <f>'2017-18'!O71</f>
        <v>561427.17999999993</v>
      </c>
      <c r="AK141" s="81"/>
      <c r="AL141" s="81">
        <f>'2017-18'!Q71</f>
        <v>657549.27999999991</v>
      </c>
      <c r="AM141" s="81"/>
      <c r="AN141" s="81">
        <f>'2017-18'!S71</f>
        <v>771563.27999999991</v>
      </c>
      <c r="AO141" s="81"/>
      <c r="AP141" s="81">
        <f>'2017-18'!U71</f>
        <v>888586.27999999991</v>
      </c>
      <c r="AQ141" s="81"/>
      <c r="AR141" s="81">
        <f>'2017-18'!W71</f>
        <v>995143.32</v>
      </c>
      <c r="AS141" s="81"/>
      <c r="AT141" s="81">
        <f>'2017-18'!Y71</f>
        <v>995143.32</v>
      </c>
      <c r="AU141" s="81"/>
      <c r="AV141" s="81">
        <f>'2017-18'!AA71</f>
        <v>995143.32</v>
      </c>
    </row>
    <row r="143" spans="1:49" x14ac:dyDescent="0.35"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>
        <f>Z138-Z139</f>
        <v>65568.11</v>
      </c>
      <c r="AA143" s="81"/>
      <c r="AB143" s="81">
        <f t="shared" ref="AB143:AV143" si="225">AB138-AB139</f>
        <v>88157.57</v>
      </c>
      <c r="AC143" s="81"/>
      <c r="AD143" s="81">
        <f t="shared" si="225"/>
        <v>132593.48000000004</v>
      </c>
      <c r="AE143" s="81"/>
      <c r="AF143" s="81">
        <f t="shared" si="225"/>
        <v>129781.00000000012</v>
      </c>
      <c r="AG143" s="81"/>
      <c r="AH143" s="81">
        <f t="shared" si="225"/>
        <v>186396.27000000014</v>
      </c>
      <c r="AI143" s="81"/>
      <c r="AJ143" s="81">
        <f t="shared" si="225"/>
        <v>198059.99000000011</v>
      </c>
      <c r="AK143" s="81"/>
      <c r="AL143" s="81">
        <f t="shared" si="225"/>
        <v>209325.91000000003</v>
      </c>
      <c r="AM143" s="81"/>
      <c r="AN143" s="81">
        <f t="shared" si="225"/>
        <v>206820.63000000012</v>
      </c>
      <c r="AO143" s="81"/>
      <c r="AP143" s="81">
        <f t="shared" si="225"/>
        <v>293122.76</v>
      </c>
      <c r="AQ143" s="81"/>
      <c r="AR143" s="81">
        <f t="shared" si="225"/>
        <v>366505.07999999984</v>
      </c>
      <c r="AS143" s="81"/>
      <c r="AT143" s="81">
        <f t="shared" si="225"/>
        <v>339453.95999999973</v>
      </c>
      <c r="AU143" s="81"/>
      <c r="AV143" s="81">
        <f t="shared" si="225"/>
        <v>430425.48999999976</v>
      </c>
      <c r="AW143" s="48"/>
    </row>
    <row r="144" spans="1:49" x14ac:dyDescent="0.35">
      <c r="Z144" s="81"/>
      <c r="AB144" s="81"/>
      <c r="AD144" s="81"/>
      <c r="AF144" s="81"/>
    </row>
    <row r="146" spans="26:34" x14ac:dyDescent="0.35">
      <c r="AH146"/>
    </row>
    <row r="149" spans="26:34" x14ac:dyDescent="0.35">
      <c r="Z149" s="81"/>
    </row>
  </sheetData>
  <mergeCells count="14">
    <mergeCell ref="AU4:AV4"/>
    <mergeCell ref="AI4:AJ4"/>
    <mergeCell ref="AK4:AL4"/>
    <mergeCell ref="AM4:AN4"/>
    <mergeCell ref="AO4:AP4"/>
    <mergeCell ref="AQ4:AR4"/>
    <mergeCell ref="AS4:AT4"/>
    <mergeCell ref="AG4:AH4"/>
    <mergeCell ref="T4:T5"/>
    <mergeCell ref="Y4:Z4"/>
    <mergeCell ref="AA4:AB4"/>
    <mergeCell ref="AC4:AD4"/>
    <mergeCell ref="AE4:AF4"/>
    <mergeCell ref="V4:V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A6CC-9F5D-4E92-B11D-45C0EE9AA5E0}">
  <dimension ref="A2:BF200"/>
  <sheetViews>
    <sheetView zoomScale="81" zoomScaleNormal="89" workbookViewId="0">
      <pane xSplit="4" ySplit="5" topLeftCell="AH6" activePane="bottomRight" state="frozen"/>
      <selection pane="topRight" activeCell="E1" sqref="E1"/>
      <selection pane="bottomLeft" activeCell="A3" sqref="A3"/>
      <selection pane="bottomRight" activeCell="A51" sqref="A51:XFD51"/>
    </sheetView>
  </sheetViews>
  <sheetFormatPr baseColWidth="10" defaultColWidth="11" defaultRowHeight="13.5" x14ac:dyDescent="0.35"/>
  <cols>
    <col min="1" max="1" width="23.125" style="69" customWidth="1"/>
    <col min="2" max="2" width="2" style="69" customWidth="1"/>
    <col min="3" max="4" width="10.625" style="69" customWidth="1"/>
    <col min="5" max="5" width="12.875" style="69" customWidth="1"/>
    <col min="6" max="6" width="8.625" style="69" customWidth="1"/>
    <col min="7" max="7" width="5.625" style="69" customWidth="1"/>
    <col min="8" max="8" width="8.625" style="69" customWidth="1"/>
    <col min="9" max="9" width="7" style="69" customWidth="1"/>
    <col min="10" max="10" width="8.625" style="69" customWidth="1"/>
    <col min="11" max="11" width="6.5" style="69" bestFit="1" customWidth="1"/>
    <col min="12" max="12" width="8.625" style="69" customWidth="1"/>
    <col min="13" max="13" width="6.375" style="69" customWidth="1"/>
    <col min="14" max="14" width="8.625" style="69" customWidth="1"/>
    <col min="15" max="15" width="5.625" style="69" customWidth="1"/>
    <col min="16" max="16" width="8.625" style="69" customWidth="1"/>
    <col min="17" max="17" width="8.625" style="69" bestFit="1" customWidth="1"/>
    <col min="18" max="18" width="8.625" style="69" customWidth="1"/>
    <col min="19" max="19" width="5.625" style="69" customWidth="1"/>
    <col min="20" max="20" width="8.625" style="69" customWidth="1"/>
    <col min="21" max="21" width="5.625" style="69" customWidth="1"/>
    <col min="22" max="22" width="8.625" style="69" customWidth="1"/>
    <col min="23" max="23" width="5.625" style="69" customWidth="1"/>
    <col min="24" max="24" width="8.625" style="69" customWidth="1"/>
    <col min="25" max="25" width="5.625" style="69" customWidth="1"/>
    <col min="26" max="28" width="8.625" style="69" customWidth="1"/>
    <col min="29" max="29" width="5.625" style="69" customWidth="1"/>
    <col min="30" max="30" width="9" style="69" customWidth="1"/>
    <col min="31" max="31" width="6.125" style="69" customWidth="1"/>
    <col min="32" max="32" width="9.375" style="69" customWidth="1"/>
    <col min="33" max="34" width="8.125" style="69" customWidth="1"/>
    <col min="35" max="35" width="8.875" style="69" customWidth="1"/>
    <col min="36" max="38" width="8.125" style="69" customWidth="1"/>
    <col min="39" max="39" width="9.375" style="69" customWidth="1"/>
    <col min="40" max="40" width="8.125" style="69" customWidth="1"/>
    <col min="41" max="41" width="9.625" style="69" customWidth="1"/>
    <col min="42" max="42" width="8.125" style="69" customWidth="1"/>
    <col min="43" max="43" width="9" style="69" customWidth="1"/>
    <col min="44" max="44" width="8.625" style="69" customWidth="1"/>
    <col min="45" max="46" width="9" style="69" customWidth="1"/>
    <col min="47" max="47" width="10.625" style="69" customWidth="1"/>
    <col min="48" max="48" width="8.625" style="69" customWidth="1"/>
    <col min="49" max="49" width="9.375" style="69" customWidth="1"/>
    <col min="50" max="54" width="9.625" style="69" bestFit="1" customWidth="1"/>
    <col min="55" max="56" width="9.625" style="69" customWidth="1"/>
    <col min="57" max="57" width="11" style="69"/>
    <col min="58" max="58" width="14.875" style="69" bestFit="1" customWidth="1"/>
    <col min="59" max="16384" width="11" style="69"/>
  </cols>
  <sheetData>
    <row r="2" spans="1:57" x14ac:dyDescent="0.35">
      <c r="AK2" s="81"/>
    </row>
    <row r="3" spans="1:57" ht="13.9" thickBot="1" x14ac:dyDescent="0.4"/>
    <row r="4" spans="1:57" ht="13.9" thickTop="1" x14ac:dyDescent="0.35">
      <c r="A4" s="67"/>
      <c r="B4" s="68"/>
      <c r="C4" s="68"/>
      <c r="D4" s="68"/>
      <c r="E4" s="296"/>
      <c r="F4" s="441" t="s">
        <v>660</v>
      </c>
      <c r="G4" s="297" t="s">
        <v>665</v>
      </c>
      <c r="H4" s="441" t="s">
        <v>659</v>
      </c>
      <c r="I4" s="297" t="s">
        <v>664</v>
      </c>
      <c r="J4" s="297" t="s">
        <v>538</v>
      </c>
      <c r="K4" s="297" t="s">
        <v>540</v>
      </c>
      <c r="L4" s="297" t="s">
        <v>542</v>
      </c>
      <c r="M4" s="297" t="s">
        <v>543</v>
      </c>
      <c r="N4" s="297" t="s">
        <v>544</v>
      </c>
      <c r="O4" s="297" t="s">
        <v>546</v>
      </c>
      <c r="P4" s="297" t="s">
        <v>505</v>
      </c>
      <c r="Q4" s="297" t="s">
        <v>547</v>
      </c>
      <c r="R4" s="297" t="s">
        <v>666</v>
      </c>
      <c r="S4" s="297" t="s">
        <v>667</v>
      </c>
      <c r="T4" s="297" t="s">
        <v>548</v>
      </c>
      <c r="U4" s="297" t="s">
        <v>668</v>
      </c>
      <c r="V4" s="297" t="s">
        <v>551</v>
      </c>
      <c r="W4" s="297" t="s">
        <v>552</v>
      </c>
      <c r="X4" s="297" t="s">
        <v>661</v>
      </c>
      <c r="Y4" s="297" t="s">
        <v>663</v>
      </c>
      <c r="Z4" s="297" t="s">
        <v>662</v>
      </c>
      <c r="AA4" s="297" t="s">
        <v>662</v>
      </c>
      <c r="AB4" s="297" t="s">
        <v>507</v>
      </c>
      <c r="AC4" s="297" t="s">
        <v>553</v>
      </c>
      <c r="AD4" s="441" t="s">
        <v>636</v>
      </c>
      <c r="AE4" s="297" t="s">
        <v>553</v>
      </c>
      <c r="AF4" s="317"/>
      <c r="AG4" s="437" t="s">
        <v>142</v>
      </c>
      <c r="AH4" s="439"/>
      <c r="AI4" s="438" t="s">
        <v>143</v>
      </c>
      <c r="AJ4" s="439"/>
      <c r="AK4" s="437" t="s">
        <v>144</v>
      </c>
      <c r="AL4" s="437"/>
      <c r="AM4" s="440" t="s">
        <v>138</v>
      </c>
      <c r="AN4" s="439"/>
      <c r="AO4" s="437" t="s">
        <v>139</v>
      </c>
      <c r="AP4" s="437"/>
      <c r="AQ4" s="438" t="s">
        <v>140</v>
      </c>
      <c r="AR4" s="439"/>
      <c r="AS4" s="437" t="s">
        <v>141</v>
      </c>
      <c r="AT4" s="437"/>
      <c r="AU4" s="438" t="s">
        <v>145</v>
      </c>
      <c r="AV4" s="439"/>
      <c r="AW4" s="437" t="s">
        <v>146</v>
      </c>
      <c r="AX4" s="437"/>
      <c r="AY4" s="438" t="s">
        <v>147</v>
      </c>
      <c r="AZ4" s="439"/>
      <c r="BA4" s="437" t="s">
        <v>148</v>
      </c>
      <c r="BB4" s="437"/>
      <c r="BC4" s="438" t="s">
        <v>149</v>
      </c>
      <c r="BD4" s="439"/>
    </row>
    <row r="5" spans="1:57" ht="15" x14ac:dyDescent="0.4">
      <c r="A5" s="70" t="s">
        <v>137</v>
      </c>
      <c r="B5" s="155"/>
      <c r="C5" s="35" t="s">
        <v>268</v>
      </c>
      <c r="D5" s="35" t="s">
        <v>152</v>
      </c>
      <c r="E5" s="298"/>
      <c r="F5" s="442"/>
      <c r="G5" s="282" t="s">
        <v>541</v>
      </c>
      <c r="H5" s="442"/>
      <c r="I5" s="282" t="s">
        <v>541</v>
      </c>
      <c r="J5" s="282" t="s">
        <v>539</v>
      </c>
      <c r="K5" s="282" t="s">
        <v>541</v>
      </c>
      <c r="L5" s="282" t="s">
        <v>539</v>
      </c>
      <c r="M5" s="282" t="s">
        <v>541</v>
      </c>
      <c r="N5" s="282" t="s">
        <v>554</v>
      </c>
      <c r="O5" s="282" t="s">
        <v>541</v>
      </c>
      <c r="P5" s="282" t="s">
        <v>545</v>
      </c>
      <c r="Q5" s="282" t="s">
        <v>541</v>
      </c>
      <c r="R5" s="282"/>
      <c r="S5" s="282" t="s">
        <v>541</v>
      </c>
      <c r="T5" s="282" t="s">
        <v>549</v>
      </c>
      <c r="U5" s="282" t="s">
        <v>541</v>
      </c>
      <c r="V5" s="282" t="s">
        <v>555</v>
      </c>
      <c r="W5" s="282" t="s">
        <v>541</v>
      </c>
      <c r="X5" s="282"/>
      <c r="Y5" s="282" t="s">
        <v>541</v>
      </c>
      <c r="Z5" s="282"/>
      <c r="AA5" s="282" t="s">
        <v>541</v>
      </c>
      <c r="AB5" s="282"/>
      <c r="AC5" s="282" t="s">
        <v>541</v>
      </c>
      <c r="AD5" s="442"/>
      <c r="AE5" s="282" t="s">
        <v>541</v>
      </c>
      <c r="AF5" s="318"/>
      <c r="AG5" s="75" t="s">
        <v>150</v>
      </c>
      <c r="AH5" s="73" t="s">
        <v>151</v>
      </c>
      <c r="AI5" s="72" t="s">
        <v>150</v>
      </c>
      <c r="AJ5" s="74" t="s">
        <v>151</v>
      </c>
      <c r="AK5" s="75" t="s">
        <v>150</v>
      </c>
      <c r="AL5" s="76" t="s">
        <v>151</v>
      </c>
      <c r="AM5" s="72" t="s">
        <v>150</v>
      </c>
      <c r="AN5" s="74" t="s">
        <v>151</v>
      </c>
      <c r="AO5" s="75" t="s">
        <v>150</v>
      </c>
      <c r="AP5" s="76" t="s">
        <v>151</v>
      </c>
      <c r="AQ5" s="72" t="s">
        <v>150</v>
      </c>
      <c r="AR5" s="74" t="s">
        <v>151</v>
      </c>
      <c r="AS5" s="75" t="s">
        <v>150</v>
      </c>
      <c r="AT5" s="76" t="s">
        <v>151</v>
      </c>
      <c r="AU5" s="72" t="s">
        <v>150</v>
      </c>
      <c r="AV5" s="74" t="s">
        <v>151</v>
      </c>
      <c r="AW5" s="75" t="s">
        <v>150</v>
      </c>
      <c r="AX5" s="76" t="s">
        <v>151</v>
      </c>
      <c r="AY5" s="72" t="s">
        <v>150</v>
      </c>
      <c r="AZ5" s="74" t="s">
        <v>151</v>
      </c>
      <c r="BA5" s="75" t="s">
        <v>150</v>
      </c>
      <c r="BB5" s="76" t="s">
        <v>151</v>
      </c>
      <c r="BC5" s="72" t="s">
        <v>150</v>
      </c>
      <c r="BD5" s="74" t="s">
        <v>151</v>
      </c>
      <c r="BE5" s="216" t="s">
        <v>709</v>
      </c>
    </row>
    <row r="6" spans="1:57" ht="15.4" thickBot="1" x14ac:dyDescent="0.45">
      <c r="A6" s="217"/>
      <c r="B6" s="218"/>
      <c r="C6"/>
      <c r="D6"/>
      <c r="E6" s="29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319"/>
      <c r="AH6" s="219"/>
      <c r="AI6" s="163"/>
      <c r="AJ6" s="219"/>
      <c r="AM6" s="163"/>
      <c r="AN6" s="219"/>
      <c r="AQ6" s="163"/>
      <c r="AR6" s="219"/>
      <c r="AU6" s="163"/>
      <c r="AV6" s="219"/>
      <c r="AY6" s="163"/>
      <c r="AZ6" s="219"/>
      <c r="BC6" s="163"/>
      <c r="BE6"/>
    </row>
    <row r="7" spans="1:57" x14ac:dyDescent="0.35">
      <c r="A7" s="36" t="s">
        <v>720</v>
      </c>
      <c r="B7" s="165"/>
      <c r="C7" s="77"/>
      <c r="D7" s="77"/>
      <c r="E7" s="300"/>
      <c r="F7" s="284"/>
      <c r="G7" s="359"/>
      <c r="H7" s="283"/>
      <c r="I7" s="311"/>
      <c r="J7" s="283"/>
      <c r="K7" s="283"/>
      <c r="L7" s="284"/>
      <c r="M7" s="284"/>
      <c r="N7" s="283"/>
      <c r="O7" s="283"/>
      <c r="P7" s="284"/>
      <c r="Q7" s="284"/>
      <c r="R7" s="283"/>
      <c r="S7" s="283"/>
      <c r="T7" s="283"/>
      <c r="U7" s="283"/>
      <c r="V7" s="284"/>
      <c r="W7" s="284"/>
      <c r="X7" s="283"/>
      <c r="Y7" s="311"/>
      <c r="Z7" s="284"/>
      <c r="AA7" s="359"/>
      <c r="AB7" s="283"/>
      <c r="AC7" s="311"/>
      <c r="AD7" s="284"/>
      <c r="AE7" s="359"/>
      <c r="AF7" s="320"/>
      <c r="AG7" s="80"/>
      <c r="AH7" s="80"/>
      <c r="AI7" s="45"/>
      <c r="AJ7" s="79"/>
      <c r="AK7" s="80"/>
      <c r="AL7" s="80"/>
      <c r="AM7" s="154"/>
      <c r="AN7" s="79"/>
      <c r="AO7" s="78"/>
      <c r="AP7" s="80"/>
      <c r="AQ7" s="78"/>
      <c r="AR7" s="79"/>
      <c r="AS7" s="78"/>
      <c r="AT7" s="79"/>
      <c r="AU7" s="78"/>
      <c r="AV7" s="79"/>
      <c r="AW7" s="78"/>
      <c r="AX7" s="79"/>
      <c r="AY7" s="78"/>
      <c r="AZ7" s="79"/>
      <c r="BA7" s="78"/>
      <c r="BB7" s="79"/>
      <c r="BC7" s="78"/>
      <c r="BD7" s="80"/>
      <c r="BE7" s="212"/>
    </row>
    <row r="8" spans="1:57" x14ac:dyDescent="0.35">
      <c r="A8" s="36" t="s">
        <v>721</v>
      </c>
      <c r="B8" s="235"/>
      <c r="C8" s="83"/>
      <c r="D8" s="83"/>
      <c r="E8" s="301"/>
      <c r="F8" s="286"/>
      <c r="G8" s="360"/>
      <c r="H8" s="285"/>
      <c r="I8" s="312"/>
      <c r="J8" s="285"/>
      <c r="K8" s="285"/>
      <c r="L8" s="286"/>
      <c r="M8" s="286"/>
      <c r="N8" s="285"/>
      <c r="O8" s="285"/>
      <c r="P8" s="286"/>
      <c r="Q8" s="286"/>
      <c r="R8" s="285"/>
      <c r="S8" s="285"/>
      <c r="T8" s="285"/>
      <c r="U8" s="285"/>
      <c r="V8" s="286"/>
      <c r="W8" s="286"/>
      <c r="X8" s="285"/>
      <c r="Y8" s="312"/>
      <c r="Z8" s="286"/>
      <c r="AA8" s="360"/>
      <c r="AB8" s="285"/>
      <c r="AC8" s="312"/>
      <c r="AD8" s="286"/>
      <c r="AE8" s="360"/>
      <c r="AF8" s="321"/>
      <c r="AG8" s="81"/>
      <c r="AH8" s="81"/>
      <c r="AI8" s="50"/>
      <c r="AJ8" s="85"/>
      <c r="AK8" s="81"/>
      <c r="AL8" s="81"/>
      <c r="AM8" s="236"/>
      <c r="AN8" s="85"/>
      <c r="AO8" s="84"/>
      <c r="AP8" s="81"/>
      <c r="AQ8" s="84"/>
      <c r="AR8" s="85"/>
      <c r="AS8" s="84"/>
      <c r="AT8" s="85"/>
      <c r="AU8" s="84"/>
      <c r="AV8" s="85"/>
      <c r="AW8" s="84"/>
      <c r="AX8" s="85"/>
      <c r="AY8" s="84"/>
      <c r="AZ8" s="85"/>
      <c r="BA8" s="84"/>
      <c r="BB8" s="85"/>
      <c r="BC8" s="84"/>
      <c r="BD8" s="195">
        <v>116.7</v>
      </c>
      <c r="BE8" s="213"/>
    </row>
    <row r="9" spans="1:57" x14ac:dyDescent="0.35">
      <c r="A9" s="36" t="s">
        <v>719</v>
      </c>
      <c r="B9" s="235"/>
      <c r="C9" s="83">
        <f>'2021-22'!AU7</f>
        <v>0</v>
      </c>
      <c r="D9" s="83"/>
      <c r="E9" s="301"/>
      <c r="F9" s="286"/>
      <c r="G9" s="360"/>
      <c r="H9" s="285"/>
      <c r="I9" s="312"/>
      <c r="J9" s="285"/>
      <c r="K9" s="285"/>
      <c r="L9" s="286"/>
      <c r="M9" s="286"/>
      <c r="N9" s="285"/>
      <c r="O9" s="285"/>
      <c r="P9" s="286"/>
      <c r="Q9" s="286"/>
      <c r="R9" s="285"/>
      <c r="S9" s="285"/>
      <c r="T9" s="285"/>
      <c r="U9" s="285"/>
      <c r="V9" s="286"/>
      <c r="W9" s="286"/>
      <c r="X9" s="285"/>
      <c r="Y9" s="312"/>
      <c r="Z9" s="286"/>
      <c r="AA9" s="360"/>
      <c r="AB9" s="285"/>
      <c r="AC9" s="312"/>
      <c r="AD9" s="286"/>
      <c r="AE9" s="360"/>
      <c r="AF9" s="321"/>
      <c r="AG9" s="81"/>
      <c r="AH9" s="81"/>
      <c r="AI9" s="50"/>
      <c r="AJ9" s="85"/>
      <c r="AK9" s="81"/>
      <c r="AL9" s="81"/>
      <c r="AM9" s="236"/>
      <c r="AN9" s="85"/>
      <c r="AO9" s="84"/>
      <c r="AP9" s="81"/>
      <c r="AQ9" s="84"/>
      <c r="AR9" s="85"/>
      <c r="AS9" s="84"/>
      <c r="AT9" s="85"/>
      <c r="AU9" s="84"/>
      <c r="AV9" s="85"/>
      <c r="AW9" s="84"/>
      <c r="AX9" s="85"/>
      <c r="AY9" s="84"/>
      <c r="AZ9" s="85"/>
      <c r="BA9" s="84"/>
      <c r="BB9" s="85"/>
      <c r="BC9" s="84"/>
      <c r="BD9" s="195">
        <v>586.66</v>
      </c>
      <c r="BE9" s="213"/>
    </row>
    <row r="10" spans="1:57" x14ac:dyDescent="0.35">
      <c r="A10" s="36" t="s">
        <v>718</v>
      </c>
      <c r="B10" s="235"/>
      <c r="C10" s="83">
        <f>'2021-22'!AU8</f>
        <v>0</v>
      </c>
      <c r="D10" s="83"/>
      <c r="E10" s="301"/>
      <c r="F10" s="286"/>
      <c r="G10" s="360"/>
      <c r="H10" s="285"/>
      <c r="I10" s="312"/>
      <c r="J10" s="285"/>
      <c r="K10" s="285"/>
      <c r="L10" s="286"/>
      <c r="M10" s="286"/>
      <c r="N10" s="285"/>
      <c r="O10" s="285"/>
      <c r="P10" s="286"/>
      <c r="Q10" s="286"/>
      <c r="R10" s="285"/>
      <c r="S10" s="285"/>
      <c r="T10" s="285"/>
      <c r="U10" s="285"/>
      <c r="V10" s="286"/>
      <c r="W10" s="286"/>
      <c r="X10" s="285"/>
      <c r="Y10" s="312"/>
      <c r="Z10" s="286"/>
      <c r="AA10" s="360"/>
      <c r="AB10" s="285"/>
      <c r="AC10" s="312"/>
      <c r="AD10" s="286"/>
      <c r="AE10" s="360"/>
      <c r="AF10" s="321"/>
      <c r="AG10" s="81"/>
      <c r="AH10" s="81"/>
      <c r="AI10" s="50"/>
      <c r="AJ10" s="85"/>
      <c r="AK10" s="81"/>
      <c r="AL10" s="81"/>
      <c r="AM10" s="236"/>
      <c r="AN10" s="85"/>
      <c r="AO10" s="84"/>
      <c r="AP10" s="81"/>
      <c r="AQ10" s="84"/>
      <c r="AR10" s="85"/>
      <c r="AS10" s="84"/>
      <c r="AT10" s="85"/>
      <c r="AU10" s="84"/>
      <c r="AV10" s="85"/>
      <c r="AW10" s="84"/>
      <c r="AX10" s="85"/>
      <c r="AY10" s="84"/>
      <c r="AZ10" s="85"/>
      <c r="BA10" s="84"/>
      <c r="BB10" s="85"/>
      <c r="BC10" s="84"/>
      <c r="BD10" s="195">
        <v>189.25</v>
      </c>
      <c r="BE10" s="213"/>
    </row>
    <row r="11" spans="1:57" x14ac:dyDescent="0.35">
      <c r="A11" s="159" t="s">
        <v>716</v>
      </c>
      <c r="B11" s="180"/>
      <c r="C11" s="83"/>
      <c r="D11" s="142"/>
      <c r="E11" s="304"/>
      <c r="F11" s="289"/>
      <c r="G11" s="363" t="e">
        <f t="shared" ref="G11" si="0">F11/E11</f>
        <v>#DIV/0!</v>
      </c>
      <c r="H11" s="287"/>
      <c r="I11" s="313" t="e">
        <f t="shared" ref="I11" si="1">H11/E11</f>
        <v>#DIV/0!</v>
      </c>
      <c r="J11" s="287"/>
      <c r="K11" s="288" t="e">
        <f t="shared" ref="K11" si="2">J11/E11</f>
        <v>#DIV/0!</v>
      </c>
      <c r="L11" s="289"/>
      <c r="M11" s="290" t="e">
        <f t="shared" ref="M11" si="3">L11/E11</f>
        <v>#DIV/0!</v>
      </c>
      <c r="N11" s="287"/>
      <c r="O11" s="288" t="e">
        <f t="shared" ref="O11" si="4">N11/E11</f>
        <v>#DIV/0!</v>
      </c>
      <c r="P11" s="289"/>
      <c r="Q11" s="290" t="e">
        <f t="shared" ref="Q11" si="5">P11/E11</f>
        <v>#DIV/0!</v>
      </c>
      <c r="R11" s="287"/>
      <c r="S11" s="288" t="e">
        <f t="shared" ref="S11" si="6">R11/E11</f>
        <v>#DIV/0!</v>
      </c>
      <c r="T11" s="287"/>
      <c r="U11" s="288" t="e">
        <f t="shared" ref="U11" si="7">T11/E11</f>
        <v>#DIV/0!</v>
      </c>
      <c r="V11" s="289"/>
      <c r="W11" s="290" t="e">
        <f t="shared" ref="W11" si="8">V11/E11</f>
        <v>#DIV/0!</v>
      </c>
      <c r="X11" s="287"/>
      <c r="Y11" s="313" t="e">
        <f t="shared" ref="Y11" si="9">X11/E11</f>
        <v>#DIV/0!</v>
      </c>
      <c r="Z11" s="289"/>
      <c r="AA11" s="363" t="e">
        <f t="shared" ref="AA11" si="10">Z11/E11</f>
        <v>#DIV/0!</v>
      </c>
      <c r="AB11" s="287"/>
      <c r="AC11" s="313" t="e">
        <f t="shared" ref="AC11" si="11">AB11/E11</f>
        <v>#DIV/0!</v>
      </c>
      <c r="AD11" s="289"/>
      <c r="AE11" s="363" t="e">
        <f t="shared" ref="AE11" si="12">AD11/E11</f>
        <v>#DIV/0!</v>
      </c>
      <c r="AF11" s="323" t="e">
        <f t="shared" ref="AF11" si="13">K11+M11+O11+Q11+S11+U11+W11+Y11+AA11+AC11+G11+I11+AE11</f>
        <v>#DIV/0!</v>
      </c>
      <c r="AG11" s="81">
        <v>0</v>
      </c>
      <c r="AH11" s="81"/>
      <c r="AI11" s="84">
        <f t="shared" ref="AI11" si="14">D11-AG11</f>
        <v>0</v>
      </c>
      <c r="AJ11" s="85"/>
      <c r="AK11" s="84">
        <f t="shared" ref="AK11" si="15">D11-AG11-AI11</f>
        <v>0</v>
      </c>
      <c r="AL11" s="81"/>
      <c r="AM11" s="84">
        <f t="shared" ref="AM11" si="16">D11-AG11-AI11-AK11</f>
        <v>0</v>
      </c>
      <c r="AN11" s="85"/>
      <c r="AO11" s="84">
        <f t="shared" ref="AO11" si="17">D11-AG11-AI11-AK11-AM11</f>
        <v>0</v>
      </c>
      <c r="AP11" s="81"/>
      <c r="AQ11" s="84">
        <f t="shared" ref="AQ11" si="18">D11-AG11-AI11-AK11-AM11-AO11</f>
        <v>0</v>
      </c>
      <c r="AR11" s="85"/>
      <c r="AS11" s="84">
        <f t="shared" ref="AS11" si="19">D11-AG11-AI11-AK11-AM11-AO11-AQ11</f>
        <v>0</v>
      </c>
      <c r="AT11" s="85"/>
      <c r="AU11" s="84">
        <f t="shared" ref="AU11" si="20">D11-AG11-AI11-AK11-AM11-AO11-AQ11-AS11</f>
        <v>0</v>
      </c>
      <c r="AV11" s="85"/>
      <c r="AW11" s="84">
        <f t="shared" ref="AW11" si="21">D11-AG11-AI11-AK11-AM11-AO11-AQ11-AS11-AU11</f>
        <v>0</v>
      </c>
      <c r="AX11" s="85"/>
      <c r="AY11" s="84">
        <f t="shared" ref="AY11" si="22">D11-AG11-AI11-AK11-AM11-AO11-AQ11-AS11-AU11-AW11</f>
        <v>0</v>
      </c>
      <c r="AZ11" s="85"/>
      <c r="BA11" s="84">
        <f t="shared" ref="BA11" si="23">D11-AG11-AI11-AK11-AM11-AO11-AQ11-AS11-AU11-AW11-AY11</f>
        <v>0</v>
      </c>
      <c r="BB11" s="85"/>
      <c r="BC11" s="84"/>
      <c r="BD11" s="195">
        <f>6451.2+1008</f>
        <v>7459.2</v>
      </c>
      <c r="BE11" s="214">
        <f t="shared" ref="BE11" si="24">D11-AG11-AI11-AK11-AM11-AO11-AQ11-AS11-AU11-AW11-AY11-BA11-BC11</f>
        <v>0</v>
      </c>
    </row>
    <row r="12" spans="1:57" x14ac:dyDescent="0.35">
      <c r="A12" s="66" t="s">
        <v>687</v>
      </c>
      <c r="B12" s="167"/>
      <c r="C12" s="83">
        <f>'2021-22'!AU9</f>
        <v>0</v>
      </c>
      <c r="D12" s="83"/>
      <c r="E12" s="301"/>
      <c r="F12" s="286"/>
      <c r="G12" s="360"/>
      <c r="H12" s="285"/>
      <c r="I12" s="312"/>
      <c r="J12" s="285"/>
      <c r="K12" s="285"/>
      <c r="L12" s="286"/>
      <c r="M12" s="286"/>
      <c r="N12" s="285"/>
      <c r="O12" s="285"/>
      <c r="P12" s="286"/>
      <c r="Q12" s="286"/>
      <c r="R12" s="285"/>
      <c r="S12" s="285"/>
      <c r="T12" s="285"/>
      <c r="U12" s="285"/>
      <c r="V12" s="286"/>
      <c r="W12" s="286"/>
      <c r="X12" s="285"/>
      <c r="Y12" s="312"/>
      <c r="Z12" s="286"/>
      <c r="AA12" s="360"/>
      <c r="AB12" s="285"/>
      <c r="AC12" s="312"/>
      <c r="AD12" s="286"/>
      <c r="AE12" s="360"/>
      <c r="AF12" s="322"/>
      <c r="AG12" s="81"/>
      <c r="AH12" s="81"/>
      <c r="AI12" s="84"/>
      <c r="AJ12" s="85"/>
      <c r="AK12" s="81"/>
      <c r="AL12" s="81"/>
      <c r="AM12" s="84"/>
      <c r="AN12" s="85"/>
      <c r="AO12" s="84"/>
      <c r="AP12" s="81"/>
      <c r="AQ12" s="230">
        <v>1053.5999999999999</v>
      </c>
      <c r="AR12" s="231">
        <v>1053.5999999999999</v>
      </c>
      <c r="AS12" s="84"/>
      <c r="AT12" s="85"/>
      <c r="AU12" s="84"/>
      <c r="AV12" s="85"/>
      <c r="AW12" s="84"/>
      <c r="AX12" s="85"/>
      <c r="AY12" s="84"/>
      <c r="AZ12" s="85"/>
      <c r="BA12" s="84"/>
      <c r="BB12" s="85"/>
      <c r="BC12" s="84"/>
      <c r="BD12" s="81"/>
      <c r="BE12" s="213"/>
    </row>
    <row r="13" spans="1:57" x14ac:dyDescent="0.35">
      <c r="A13" s="66" t="s">
        <v>685</v>
      </c>
      <c r="B13" s="167"/>
      <c r="C13" s="83">
        <f>'2021-22'!AU10</f>
        <v>0</v>
      </c>
      <c r="D13" s="83"/>
      <c r="E13" s="301"/>
      <c r="F13" s="286"/>
      <c r="G13" s="360"/>
      <c r="H13" s="285"/>
      <c r="I13" s="312"/>
      <c r="J13" s="285"/>
      <c r="K13" s="285"/>
      <c r="L13" s="286"/>
      <c r="M13" s="286"/>
      <c r="N13" s="285"/>
      <c r="O13" s="285"/>
      <c r="P13" s="286"/>
      <c r="Q13" s="286"/>
      <c r="R13" s="285"/>
      <c r="S13" s="285"/>
      <c r="T13" s="285"/>
      <c r="U13" s="285"/>
      <c r="V13" s="286"/>
      <c r="W13" s="286"/>
      <c r="X13" s="285"/>
      <c r="Y13" s="312"/>
      <c r="Z13" s="286"/>
      <c r="AA13" s="360"/>
      <c r="AB13" s="285"/>
      <c r="AC13" s="312"/>
      <c r="AD13" s="286"/>
      <c r="AE13" s="360"/>
      <c r="AF13" s="322"/>
      <c r="AG13" s="81"/>
      <c r="AH13" s="81"/>
      <c r="AI13" s="84"/>
      <c r="AJ13" s="85"/>
      <c r="AK13" s="81"/>
      <c r="AL13" s="81"/>
      <c r="AM13" s="84"/>
      <c r="AN13" s="85"/>
      <c r="AO13" s="230">
        <v>2419.1999999999998</v>
      </c>
      <c r="AP13" s="195">
        <v>2419.1999999999998</v>
      </c>
      <c r="AQ13" s="230">
        <v>2419</v>
      </c>
      <c r="AR13" s="231">
        <v>2419</v>
      </c>
      <c r="AS13" s="230">
        <v>2419</v>
      </c>
      <c r="AT13" s="231">
        <v>2419.1999999999998</v>
      </c>
      <c r="AU13" s="230">
        <f>AV13</f>
        <v>2419.1999999999998</v>
      </c>
      <c r="AV13" s="231">
        <v>2419.1999999999998</v>
      </c>
      <c r="AW13" s="230">
        <f>AX13</f>
        <v>2419</v>
      </c>
      <c r="AX13" s="231">
        <v>2419</v>
      </c>
      <c r="AY13" s="230">
        <v>2419</v>
      </c>
      <c r="AZ13" s="231">
        <v>2419</v>
      </c>
      <c r="BA13" s="84"/>
      <c r="BB13" s="85"/>
      <c r="BC13" s="230">
        <f>BD13</f>
        <v>2419.1999999999998</v>
      </c>
      <c r="BD13" s="195">
        <v>2419.1999999999998</v>
      </c>
      <c r="BE13" s="213"/>
    </row>
    <row r="14" spans="1:57" x14ac:dyDescent="0.35">
      <c r="A14" s="66" t="s">
        <v>478</v>
      </c>
      <c r="B14" s="169"/>
      <c r="C14" s="83">
        <f>'2021-22'!AU10</f>
        <v>0</v>
      </c>
      <c r="D14" s="83"/>
      <c r="E14" s="301"/>
      <c r="F14" s="286"/>
      <c r="G14" s="360"/>
      <c r="H14" s="285"/>
      <c r="I14" s="312"/>
      <c r="J14" s="285"/>
      <c r="K14" s="285"/>
      <c r="L14" s="286"/>
      <c r="M14" s="286"/>
      <c r="N14" s="285"/>
      <c r="O14" s="285"/>
      <c r="P14" s="286"/>
      <c r="Q14" s="286"/>
      <c r="R14" s="285"/>
      <c r="S14" s="285"/>
      <c r="T14" s="285"/>
      <c r="U14" s="285"/>
      <c r="V14" s="286"/>
      <c r="W14" s="286"/>
      <c r="X14" s="285"/>
      <c r="Y14" s="312"/>
      <c r="Z14" s="286"/>
      <c r="AA14" s="360"/>
      <c r="AB14" s="285"/>
      <c r="AC14" s="312"/>
      <c r="AD14" s="286"/>
      <c r="AE14" s="360"/>
      <c r="AF14" s="322"/>
      <c r="AG14" s="81"/>
      <c r="AH14" s="81"/>
      <c r="AI14" s="84"/>
      <c r="AJ14" s="85"/>
      <c r="AK14" s="81"/>
      <c r="AL14" s="81"/>
      <c r="AM14" s="84"/>
      <c r="AN14" s="85"/>
      <c r="AO14" s="84"/>
      <c r="AP14" s="81"/>
      <c r="AQ14" s="84"/>
      <c r="AR14" s="85"/>
      <c r="AS14" s="84"/>
      <c r="AT14" s="85"/>
      <c r="AU14" s="84"/>
      <c r="AV14" s="85"/>
      <c r="AW14" s="84"/>
      <c r="AX14" s="85"/>
      <c r="AY14" s="84"/>
      <c r="AZ14" s="85"/>
      <c r="BA14" s="84"/>
      <c r="BB14" s="85"/>
      <c r="BC14" s="84"/>
      <c r="BD14" s="81"/>
      <c r="BE14" s="213"/>
    </row>
    <row r="15" spans="1:57" x14ac:dyDescent="0.35">
      <c r="A15" s="327"/>
      <c r="B15" s="328"/>
      <c r="C15" s="330"/>
      <c r="D15" s="330"/>
      <c r="E15" s="331"/>
      <c r="F15" s="361"/>
      <c r="G15" s="362"/>
      <c r="H15" s="332"/>
      <c r="I15" s="334"/>
      <c r="J15" s="332"/>
      <c r="K15" s="333"/>
      <c r="L15" s="332"/>
      <c r="M15" s="333"/>
      <c r="N15" s="332"/>
      <c r="O15" s="333"/>
      <c r="P15" s="332"/>
      <c r="Q15" s="333"/>
      <c r="R15" s="332"/>
      <c r="S15" s="333"/>
      <c r="T15" s="332"/>
      <c r="U15" s="333"/>
      <c r="V15" s="332"/>
      <c r="W15" s="333"/>
      <c r="X15" s="332"/>
      <c r="Y15" s="334"/>
      <c r="Z15" s="361"/>
      <c r="AA15" s="362"/>
      <c r="AB15" s="332"/>
      <c r="AC15" s="334"/>
      <c r="AD15" s="361"/>
      <c r="AE15" s="362"/>
      <c r="AF15" s="335"/>
      <c r="AG15" s="329"/>
      <c r="AH15" s="329"/>
      <c r="AI15" s="336"/>
      <c r="AJ15" s="337"/>
      <c r="AK15" s="338"/>
      <c r="AL15" s="329"/>
      <c r="AM15" s="336"/>
      <c r="AN15" s="337"/>
      <c r="AO15" s="336"/>
      <c r="AP15" s="329"/>
      <c r="AQ15" s="336"/>
      <c r="AR15" s="337"/>
      <c r="AS15" s="336"/>
      <c r="AT15" s="337"/>
      <c r="AU15" s="336"/>
      <c r="AV15" s="337"/>
      <c r="AW15" s="336"/>
      <c r="AX15" s="337"/>
      <c r="AY15" s="336"/>
      <c r="AZ15" s="337"/>
      <c r="BA15" s="336"/>
      <c r="BB15" s="337"/>
      <c r="BC15" s="336"/>
      <c r="BD15" s="329"/>
      <c r="BE15" s="339"/>
    </row>
    <row r="16" spans="1:57" x14ac:dyDescent="0.35">
      <c r="A16" s="159"/>
      <c r="B16" s="180"/>
      <c r="C16" s="83"/>
      <c r="D16" s="142"/>
      <c r="E16" s="304"/>
      <c r="F16" s="289"/>
      <c r="G16" s="363" t="e">
        <f t="shared" ref="G16:G79" si="25">F16/E16</f>
        <v>#DIV/0!</v>
      </c>
      <c r="H16" s="287"/>
      <c r="I16" s="313" t="e">
        <f t="shared" ref="I16:I79" si="26">H16/E16</f>
        <v>#DIV/0!</v>
      </c>
      <c r="J16" s="287"/>
      <c r="K16" s="288" t="e">
        <f t="shared" ref="K16:K79" si="27">J16/E16</f>
        <v>#DIV/0!</v>
      </c>
      <c r="L16" s="289"/>
      <c r="M16" s="290" t="e">
        <f t="shared" ref="M16:M79" si="28">L16/E16</f>
        <v>#DIV/0!</v>
      </c>
      <c r="N16" s="287"/>
      <c r="O16" s="288" t="e">
        <f t="shared" ref="O16:O84" si="29">N16/E16</f>
        <v>#DIV/0!</v>
      </c>
      <c r="P16" s="289"/>
      <c r="Q16" s="290" t="e">
        <f t="shared" ref="Q16:Q79" si="30">P16/E16</f>
        <v>#DIV/0!</v>
      </c>
      <c r="R16" s="287"/>
      <c r="S16" s="288" t="e">
        <f>R16/E16</f>
        <v>#DIV/0!</v>
      </c>
      <c r="T16" s="287"/>
      <c r="U16" s="288" t="e">
        <f t="shared" ref="U16:U79" si="31">T16/E16</f>
        <v>#DIV/0!</v>
      </c>
      <c r="V16" s="289"/>
      <c r="W16" s="290" t="e">
        <f t="shared" ref="W16:W79" si="32">V16/E16</f>
        <v>#DIV/0!</v>
      </c>
      <c r="X16" s="287"/>
      <c r="Y16" s="313" t="e">
        <f t="shared" ref="Y16:Y79" si="33">X16/E16</f>
        <v>#DIV/0!</v>
      </c>
      <c r="Z16" s="289"/>
      <c r="AA16" s="363" t="e">
        <f t="shared" ref="AA16:AA79" si="34">Z16/E16</f>
        <v>#DIV/0!</v>
      </c>
      <c r="AB16" s="287"/>
      <c r="AC16" s="313" t="e">
        <f t="shared" ref="AC16:AC79" si="35">AB16/E16</f>
        <v>#DIV/0!</v>
      </c>
      <c r="AD16" s="289"/>
      <c r="AE16" s="363" t="e">
        <f t="shared" ref="AE16:AE79" si="36">AD16/E16</f>
        <v>#DIV/0!</v>
      </c>
      <c r="AF16" s="323" t="e">
        <f t="shared" ref="AF16:AF79" si="37">K16+M16+O16+Q16+S16+U16+W16+Y16+AA16+AC16+G16+I16+AE16</f>
        <v>#DIV/0!</v>
      </c>
      <c r="AG16" s="81">
        <v>0</v>
      </c>
      <c r="AH16" s="81"/>
      <c r="AI16" s="84">
        <f>D16-AG16</f>
        <v>0</v>
      </c>
      <c r="AJ16" s="85"/>
      <c r="AK16" s="84">
        <f>D16-AG16-AI16</f>
        <v>0</v>
      </c>
      <c r="AL16" s="81"/>
      <c r="AM16" s="84">
        <f>D16-AG16-AI16-AK16</f>
        <v>0</v>
      </c>
      <c r="AN16" s="85"/>
      <c r="AO16" s="84">
        <f>D16-AG16-AI16-AK16-AM16</f>
        <v>0</v>
      </c>
      <c r="AP16" s="81"/>
      <c r="AQ16" s="84">
        <f>D16-AG16-AI16-AK16-AM16-AO16</f>
        <v>0</v>
      </c>
      <c r="AR16" s="85"/>
      <c r="AS16" s="84">
        <f t="shared" ref="AS16:AS41" si="38">D16-AG16-AI16-AK16-AM16-AO16-AQ16</f>
        <v>0</v>
      </c>
      <c r="AT16" s="85"/>
      <c r="AU16" s="84">
        <f t="shared" ref="AU16:AU41" si="39">D16-AG16-AI16-AK16-AM16-AO16-AQ16-AS16</f>
        <v>0</v>
      </c>
      <c r="AV16" s="85"/>
      <c r="AW16" s="84">
        <f t="shared" ref="AW16:AW41" si="40">D16-AG16-AI16-AK16-AM16-AO16-AQ16-AS16-AU16</f>
        <v>0</v>
      </c>
      <c r="AX16" s="85"/>
      <c r="AY16" s="84">
        <f t="shared" ref="AY16:AY44" si="41">D16-AG16-AI16-AK16-AM16-AO16-AQ16-AS16-AU16-AW16</f>
        <v>0</v>
      </c>
      <c r="AZ16" s="85"/>
      <c r="BA16" s="84">
        <f t="shared" ref="BA16:BA78" si="42">D16-AG16-AI16-AK16-AM16-AO16-AQ16-AS16-AU16-AW16-AY16</f>
        <v>0</v>
      </c>
      <c r="BB16" s="85"/>
      <c r="BC16" s="84">
        <f t="shared" ref="BC16:BC78" si="43">D16-AG16-AI16-AK16-AM16-AO16-AQ16-AS16-AU16-AW16-AY16-BA16</f>
        <v>0</v>
      </c>
      <c r="BD16" s="81"/>
      <c r="BE16" s="214">
        <f t="shared" ref="BE16:BE79" si="44">D16-AG16-AI16-AK16-AM16-AO16-AQ16-AS16-AU16-AW16-AY16-BA16-BC16</f>
        <v>0</v>
      </c>
    </row>
    <row r="17" spans="1:57" x14ac:dyDescent="0.35">
      <c r="A17" s="159"/>
      <c r="B17" s="180"/>
      <c r="C17" s="83"/>
      <c r="D17" s="142"/>
      <c r="E17" s="304"/>
      <c r="F17" s="289"/>
      <c r="G17" s="363" t="e">
        <f t="shared" si="25"/>
        <v>#DIV/0!</v>
      </c>
      <c r="H17" s="287"/>
      <c r="I17" s="313" t="e">
        <f t="shared" si="26"/>
        <v>#DIV/0!</v>
      </c>
      <c r="J17" s="287"/>
      <c r="K17" s="288" t="e">
        <f t="shared" ref="K17:K39" si="45">J17/E17</f>
        <v>#DIV/0!</v>
      </c>
      <c r="L17" s="289"/>
      <c r="M17" s="290" t="e">
        <f t="shared" ref="M17:M39" si="46">L17/E17</f>
        <v>#DIV/0!</v>
      </c>
      <c r="N17" s="287"/>
      <c r="O17" s="288" t="e">
        <f t="shared" ref="O17:O39" si="47">N17/E17</f>
        <v>#DIV/0!</v>
      </c>
      <c r="P17" s="289"/>
      <c r="Q17" s="290" t="e">
        <f t="shared" ref="Q17:Q39" si="48">P17/E17</f>
        <v>#DIV/0!</v>
      </c>
      <c r="R17" s="287"/>
      <c r="S17" s="288" t="e">
        <f>R17/E17</f>
        <v>#DIV/0!</v>
      </c>
      <c r="T17" s="287"/>
      <c r="U17" s="288" t="e">
        <f t="shared" ref="U17:U39" si="49">T17/E17</f>
        <v>#DIV/0!</v>
      </c>
      <c r="V17" s="289"/>
      <c r="W17" s="290" t="e">
        <f t="shared" ref="W17:W39" si="50">V17/E17</f>
        <v>#DIV/0!</v>
      </c>
      <c r="X17" s="287"/>
      <c r="Y17" s="313" t="e">
        <f t="shared" ref="Y17:Y39" si="51">X17/E17</f>
        <v>#DIV/0!</v>
      </c>
      <c r="Z17" s="289"/>
      <c r="AA17" s="363" t="e">
        <f t="shared" si="34"/>
        <v>#DIV/0!</v>
      </c>
      <c r="AB17" s="287"/>
      <c r="AC17" s="313" t="e">
        <f t="shared" si="35"/>
        <v>#DIV/0!</v>
      </c>
      <c r="AD17" s="289"/>
      <c r="AE17" s="363" t="e">
        <f t="shared" si="36"/>
        <v>#DIV/0!</v>
      </c>
      <c r="AF17" s="323" t="e">
        <f t="shared" si="37"/>
        <v>#DIV/0!</v>
      </c>
      <c r="AG17" s="81">
        <v>0</v>
      </c>
      <c r="AH17" s="81"/>
      <c r="AI17" s="84">
        <f>D17-AG17</f>
        <v>0</v>
      </c>
      <c r="AJ17" s="85"/>
      <c r="AK17" s="84">
        <f>D17-AG17-AI17</f>
        <v>0</v>
      </c>
      <c r="AL17" s="81"/>
      <c r="AM17" s="84">
        <f>D17-AG17-AI17-AK17</f>
        <v>0</v>
      </c>
      <c r="AN17" s="85"/>
      <c r="AO17" s="84">
        <f>D17-AG17-AI17-AK17-AM17</f>
        <v>0</v>
      </c>
      <c r="AP17" s="81"/>
      <c r="AQ17" s="84">
        <f>D17-AG17-AI17-AK17-AM17-AO17</f>
        <v>0</v>
      </c>
      <c r="AR17" s="85"/>
      <c r="AS17" s="84">
        <f t="shared" si="38"/>
        <v>0</v>
      </c>
      <c r="AT17" s="85"/>
      <c r="AU17" s="84">
        <f t="shared" si="39"/>
        <v>0</v>
      </c>
      <c r="AV17" s="85"/>
      <c r="AW17" s="84">
        <f t="shared" si="40"/>
        <v>0</v>
      </c>
      <c r="AX17" s="85"/>
      <c r="AY17" s="84">
        <f t="shared" si="41"/>
        <v>0</v>
      </c>
      <c r="AZ17" s="85"/>
      <c r="BA17" s="84">
        <f t="shared" si="42"/>
        <v>0</v>
      </c>
      <c r="BB17" s="85"/>
      <c r="BC17" s="84">
        <f t="shared" si="43"/>
        <v>0</v>
      </c>
      <c r="BD17" s="81"/>
      <c r="BE17" s="214">
        <f t="shared" si="44"/>
        <v>0</v>
      </c>
    </row>
    <row r="18" spans="1:57" ht="13.9" x14ac:dyDescent="0.4">
      <c r="A18" s="368" t="s">
        <v>669</v>
      </c>
      <c r="B18" s="369"/>
      <c r="C18" s="370"/>
      <c r="D18" s="371"/>
      <c r="E18" s="304"/>
      <c r="F18" s="289"/>
      <c r="G18" s="363" t="e">
        <f t="shared" si="25"/>
        <v>#DIV/0!</v>
      </c>
      <c r="H18" s="287"/>
      <c r="I18" s="313" t="e">
        <f t="shared" si="26"/>
        <v>#DIV/0!</v>
      </c>
      <c r="J18" s="287"/>
      <c r="K18" s="288" t="e">
        <f t="shared" si="45"/>
        <v>#DIV/0!</v>
      </c>
      <c r="L18" s="289"/>
      <c r="M18" s="290" t="e">
        <f t="shared" si="46"/>
        <v>#DIV/0!</v>
      </c>
      <c r="N18" s="287"/>
      <c r="O18" s="288"/>
      <c r="P18" s="289"/>
      <c r="Q18" s="290"/>
      <c r="R18" s="287"/>
      <c r="S18" s="288"/>
      <c r="T18" s="287"/>
      <c r="U18" s="288"/>
      <c r="V18" s="289"/>
      <c r="W18" s="290"/>
      <c r="X18" s="287"/>
      <c r="Y18" s="313"/>
      <c r="Z18" s="289"/>
      <c r="AA18" s="363"/>
      <c r="AB18" s="287"/>
      <c r="AC18" s="313"/>
      <c r="AD18" s="289"/>
      <c r="AE18" s="363"/>
      <c r="AF18" s="323"/>
      <c r="AG18" s="81">
        <v>0</v>
      </c>
      <c r="AH18" s="81"/>
      <c r="AI18" s="84">
        <f>D18-AG18</f>
        <v>0</v>
      </c>
      <c r="AJ18" s="85"/>
      <c r="AK18" s="84">
        <f>D18-AG18-AI18</f>
        <v>0</v>
      </c>
      <c r="AL18" s="81"/>
      <c r="AM18" s="84">
        <f>D18-AG18-AI18-AK18</f>
        <v>0</v>
      </c>
      <c r="AN18" s="85"/>
      <c r="AO18" s="84">
        <f>D18-AG18-AI18-AK18-AM18</f>
        <v>0</v>
      </c>
      <c r="AP18" s="81"/>
      <c r="AQ18" s="84">
        <f>D18-AG18-AI18-AK18-AM18-AO18</f>
        <v>0</v>
      </c>
      <c r="AR18" s="85"/>
      <c r="AS18" s="84">
        <f t="shared" si="38"/>
        <v>0</v>
      </c>
      <c r="AT18" s="85"/>
      <c r="AU18" s="84">
        <f t="shared" si="39"/>
        <v>0</v>
      </c>
      <c r="AV18" s="85"/>
      <c r="AW18" s="84">
        <f t="shared" si="40"/>
        <v>0</v>
      </c>
      <c r="AX18" s="85"/>
      <c r="AY18" s="84">
        <f t="shared" si="41"/>
        <v>0</v>
      </c>
      <c r="AZ18" s="85"/>
      <c r="BA18" s="84">
        <f t="shared" si="42"/>
        <v>0</v>
      </c>
      <c r="BB18" s="85"/>
      <c r="BC18" s="84">
        <f t="shared" si="43"/>
        <v>0</v>
      </c>
      <c r="BD18" s="81"/>
      <c r="BE18" s="214">
        <f t="shared" si="44"/>
        <v>0</v>
      </c>
    </row>
    <row r="19" spans="1:57" x14ac:dyDescent="0.35">
      <c r="A19" s="159"/>
      <c r="B19" s="180"/>
      <c r="C19" s="83"/>
      <c r="D19" s="142"/>
      <c r="E19" s="304"/>
      <c r="F19" s="289"/>
      <c r="G19" s="363" t="e">
        <f t="shared" si="25"/>
        <v>#DIV/0!</v>
      </c>
      <c r="H19" s="287"/>
      <c r="I19" s="313" t="e">
        <f t="shared" si="26"/>
        <v>#DIV/0!</v>
      </c>
      <c r="J19" s="287"/>
      <c r="K19" s="288" t="e">
        <f t="shared" si="45"/>
        <v>#DIV/0!</v>
      </c>
      <c r="L19" s="289"/>
      <c r="M19" s="290" t="e">
        <f t="shared" si="46"/>
        <v>#DIV/0!</v>
      </c>
      <c r="N19" s="287"/>
      <c r="O19" s="288" t="e">
        <f t="shared" si="47"/>
        <v>#DIV/0!</v>
      </c>
      <c r="P19" s="289"/>
      <c r="Q19" s="290" t="e">
        <f t="shared" si="48"/>
        <v>#DIV/0!</v>
      </c>
      <c r="R19" s="287"/>
      <c r="S19" s="288" t="e">
        <f t="shared" ref="S19:S142" si="52">R19/E19</f>
        <v>#DIV/0!</v>
      </c>
      <c r="T19" s="287"/>
      <c r="U19" s="288" t="e">
        <f t="shared" si="49"/>
        <v>#DIV/0!</v>
      </c>
      <c r="V19" s="289"/>
      <c r="W19" s="290" t="e">
        <f t="shared" si="50"/>
        <v>#DIV/0!</v>
      </c>
      <c r="X19" s="287"/>
      <c r="Y19" s="313" t="e">
        <f t="shared" si="51"/>
        <v>#DIV/0!</v>
      </c>
      <c r="Z19" s="289"/>
      <c r="AA19" s="363" t="e">
        <f t="shared" si="34"/>
        <v>#DIV/0!</v>
      </c>
      <c r="AB19" s="287"/>
      <c r="AC19" s="313" t="e">
        <f t="shared" si="35"/>
        <v>#DIV/0!</v>
      </c>
      <c r="AD19" s="289"/>
      <c r="AE19" s="363" t="e">
        <f t="shared" si="36"/>
        <v>#DIV/0!</v>
      </c>
      <c r="AF19" s="323" t="e">
        <f t="shared" si="37"/>
        <v>#DIV/0!</v>
      </c>
      <c r="AG19" s="81">
        <v>0</v>
      </c>
      <c r="AH19" s="81"/>
      <c r="AI19" s="84">
        <f t="shared" ref="AI19:AI22" si="53">D19-AG19</f>
        <v>0</v>
      </c>
      <c r="AJ19" s="85"/>
      <c r="AK19" s="84">
        <f t="shared" ref="AK19:AK22" si="54">D19-AG19-AI19</f>
        <v>0</v>
      </c>
      <c r="AL19" s="81"/>
      <c r="AM19" s="84">
        <f t="shared" ref="AM19:AM22" si="55">D19-AG19-AI19-AK19</f>
        <v>0</v>
      </c>
      <c r="AN19" s="85"/>
      <c r="AO19" s="84">
        <f t="shared" ref="AO19:AO22" si="56">D19-AG19-AI19-AK19-AM19</f>
        <v>0</v>
      </c>
      <c r="AP19" s="81"/>
      <c r="AQ19" s="84">
        <f t="shared" ref="AQ19:AQ22" si="57">D19-AG19-AI19-AK19-AM19-AO19</f>
        <v>0</v>
      </c>
      <c r="AR19" s="85"/>
      <c r="AS19" s="84">
        <f t="shared" si="38"/>
        <v>0</v>
      </c>
      <c r="AT19" s="85"/>
      <c r="AU19" s="84">
        <f t="shared" si="39"/>
        <v>0</v>
      </c>
      <c r="AV19" s="85"/>
      <c r="AW19" s="84">
        <f t="shared" si="40"/>
        <v>0</v>
      </c>
      <c r="AX19" s="85"/>
      <c r="AY19" s="84">
        <f t="shared" si="41"/>
        <v>0</v>
      </c>
      <c r="AZ19" s="85"/>
      <c r="BA19" s="84">
        <f t="shared" si="42"/>
        <v>0</v>
      </c>
      <c r="BB19" s="85"/>
      <c r="BC19" s="84">
        <f t="shared" si="43"/>
        <v>0</v>
      </c>
      <c r="BD19" s="81"/>
      <c r="BE19" s="214">
        <f t="shared" si="44"/>
        <v>0</v>
      </c>
    </row>
    <row r="20" spans="1:57" x14ac:dyDescent="0.35">
      <c r="A20" s="159"/>
      <c r="B20" s="180"/>
      <c r="C20" s="83"/>
      <c r="D20" s="142"/>
      <c r="E20" s="304"/>
      <c r="F20" s="289"/>
      <c r="G20" s="363" t="e">
        <f t="shared" ref="G20:G21" si="58">F20/E20</f>
        <v>#DIV/0!</v>
      </c>
      <c r="H20" s="287"/>
      <c r="I20" s="313" t="e">
        <f t="shared" ref="I20:I21" si="59">H20/E20</f>
        <v>#DIV/0!</v>
      </c>
      <c r="J20" s="287"/>
      <c r="K20" s="288" t="e">
        <f t="shared" si="45"/>
        <v>#DIV/0!</v>
      </c>
      <c r="L20" s="289"/>
      <c r="M20" s="290" t="e">
        <f t="shared" si="46"/>
        <v>#DIV/0!</v>
      </c>
      <c r="N20" s="287"/>
      <c r="O20" s="288" t="e">
        <f t="shared" si="47"/>
        <v>#DIV/0!</v>
      </c>
      <c r="P20" s="289"/>
      <c r="Q20" s="290" t="e">
        <f t="shared" si="48"/>
        <v>#DIV/0!</v>
      </c>
      <c r="R20" s="287"/>
      <c r="S20" s="288" t="e">
        <f t="shared" ref="S20:S21" si="60">R20/E20</f>
        <v>#DIV/0!</v>
      </c>
      <c r="T20" s="287"/>
      <c r="U20" s="288" t="e">
        <f t="shared" si="49"/>
        <v>#DIV/0!</v>
      </c>
      <c r="V20" s="289"/>
      <c r="W20" s="290" t="e">
        <f t="shared" si="50"/>
        <v>#DIV/0!</v>
      </c>
      <c r="X20" s="287"/>
      <c r="Y20" s="313" t="e">
        <f t="shared" si="51"/>
        <v>#DIV/0!</v>
      </c>
      <c r="Z20" s="289"/>
      <c r="AA20" s="363" t="e">
        <f t="shared" ref="AA20:AA21" si="61">Z20/E20</f>
        <v>#DIV/0!</v>
      </c>
      <c r="AB20" s="287"/>
      <c r="AC20" s="313" t="e">
        <f t="shared" ref="AC20:AC21" si="62">AB20/E20</f>
        <v>#DIV/0!</v>
      </c>
      <c r="AD20" s="289"/>
      <c r="AE20" s="363" t="e">
        <f t="shared" ref="AE20:AE21" si="63">AD20/E20</f>
        <v>#DIV/0!</v>
      </c>
      <c r="AF20" s="323" t="e">
        <f t="shared" ref="AF20:AF21" si="64">K20+M20+O20+Q20+S20+U20+W20+Y20+AA20+AC20+G20+I20+AE20</f>
        <v>#DIV/0!</v>
      </c>
      <c r="AG20" s="81">
        <v>0</v>
      </c>
      <c r="AH20" s="81"/>
      <c r="AI20" s="84">
        <f t="shared" ref="AI20:AI21" si="65">D20-AG20</f>
        <v>0</v>
      </c>
      <c r="AJ20" s="85"/>
      <c r="AK20" s="84">
        <f t="shared" ref="AK20:AK21" si="66">D20-AG20-AI20</f>
        <v>0</v>
      </c>
      <c r="AL20" s="81"/>
      <c r="AM20" s="84">
        <f t="shared" ref="AM20:AM21" si="67">D20-AG20-AI20-AK20</f>
        <v>0</v>
      </c>
      <c r="AN20" s="85"/>
      <c r="AO20" s="84">
        <f t="shared" ref="AO20:AO21" si="68">D20-AG20-AI20-AK20-AM20</f>
        <v>0</v>
      </c>
      <c r="AP20" s="81"/>
      <c r="AQ20" s="84">
        <f t="shared" ref="AQ20:AQ21" si="69">D20-AG20-AI20-AK20-AM20-AO20</f>
        <v>0</v>
      </c>
      <c r="AR20" s="85"/>
      <c r="AS20" s="84">
        <f t="shared" ref="AS20:AS21" si="70">D20-AG20-AI20-AK20-AM20-AO20-AQ20</f>
        <v>0</v>
      </c>
      <c r="AT20" s="85"/>
      <c r="AU20" s="84">
        <f t="shared" ref="AU20:AU21" si="71">D20-AG20-AI20-AK20-AM20-AO20-AQ20-AS20</f>
        <v>0</v>
      </c>
      <c r="AV20" s="85"/>
      <c r="AW20" s="84">
        <f t="shared" ref="AW20:AW21" si="72">D20-AG20-AI20-AK20-AM20-AO20-AQ20-AS20-AU20</f>
        <v>0</v>
      </c>
      <c r="AX20" s="85"/>
      <c r="AY20" s="84">
        <f t="shared" ref="AY20:AY21" si="73">D20-AG20-AI20-AK20-AM20-AO20-AQ20-AS20-AU20-AW20</f>
        <v>0</v>
      </c>
      <c r="AZ20" s="85"/>
      <c r="BA20" s="84">
        <f t="shared" ref="BA20:BA21" si="74">D20-AG20-AI20-AK20-AM20-AO20-AQ20-AS20-AU20-AW20-AY20</f>
        <v>0</v>
      </c>
      <c r="BB20" s="85"/>
      <c r="BC20" s="84">
        <f t="shared" ref="BC20:BC21" si="75">D20-AG20-AI20-AK20-AM20-AO20-AQ20-AS20-AU20-AW20-AY20-BA20</f>
        <v>0</v>
      </c>
      <c r="BD20" s="81"/>
      <c r="BE20" s="214">
        <f t="shared" ref="BE20:BE21" si="76">D20-AG20-AI20-AK20-AM20-AO20-AQ20-AS20-AU20-AW20-AY20-BA20-BC20</f>
        <v>0</v>
      </c>
    </row>
    <row r="21" spans="1:57" x14ac:dyDescent="0.35">
      <c r="A21" s="159"/>
      <c r="B21" s="180"/>
      <c r="C21" s="83"/>
      <c r="D21" s="142"/>
      <c r="E21" s="304"/>
      <c r="F21" s="289"/>
      <c r="G21" s="363" t="e">
        <f t="shared" si="58"/>
        <v>#DIV/0!</v>
      </c>
      <c r="H21" s="287"/>
      <c r="I21" s="313" t="e">
        <f t="shared" si="59"/>
        <v>#DIV/0!</v>
      </c>
      <c r="J21" s="287"/>
      <c r="K21" s="288" t="e">
        <f t="shared" ref="K21" si="77">J21/E21</f>
        <v>#DIV/0!</v>
      </c>
      <c r="L21" s="289"/>
      <c r="M21" s="290" t="e">
        <f t="shared" ref="M21" si="78">L21/E21</f>
        <v>#DIV/0!</v>
      </c>
      <c r="N21" s="287"/>
      <c r="O21" s="288" t="e">
        <f t="shared" ref="O21" si="79">N21/E21</f>
        <v>#DIV/0!</v>
      </c>
      <c r="P21" s="289"/>
      <c r="Q21" s="290" t="e">
        <f t="shared" ref="Q21" si="80">P21/E21</f>
        <v>#DIV/0!</v>
      </c>
      <c r="R21" s="287"/>
      <c r="S21" s="288" t="e">
        <f t="shared" si="60"/>
        <v>#DIV/0!</v>
      </c>
      <c r="T21" s="287"/>
      <c r="U21" s="288" t="e">
        <f t="shared" ref="U21" si="81">T21/E21</f>
        <v>#DIV/0!</v>
      </c>
      <c r="V21" s="289"/>
      <c r="W21" s="290" t="e">
        <f t="shared" ref="W21" si="82">V21/E21</f>
        <v>#DIV/0!</v>
      </c>
      <c r="X21" s="287"/>
      <c r="Y21" s="313" t="e">
        <f t="shared" ref="Y21" si="83">X21/E21</f>
        <v>#DIV/0!</v>
      </c>
      <c r="Z21" s="289"/>
      <c r="AA21" s="363" t="e">
        <f t="shared" si="61"/>
        <v>#DIV/0!</v>
      </c>
      <c r="AB21" s="287"/>
      <c r="AC21" s="313" t="e">
        <f t="shared" si="62"/>
        <v>#DIV/0!</v>
      </c>
      <c r="AD21" s="289"/>
      <c r="AE21" s="363" t="e">
        <f t="shared" si="63"/>
        <v>#DIV/0!</v>
      </c>
      <c r="AF21" s="323" t="e">
        <f t="shared" si="64"/>
        <v>#DIV/0!</v>
      </c>
      <c r="AG21" s="81">
        <v>0</v>
      </c>
      <c r="AH21" s="81"/>
      <c r="AI21" s="84">
        <f t="shared" si="65"/>
        <v>0</v>
      </c>
      <c r="AJ21" s="85"/>
      <c r="AK21" s="84">
        <f t="shared" si="66"/>
        <v>0</v>
      </c>
      <c r="AL21" s="81"/>
      <c r="AM21" s="84">
        <f t="shared" si="67"/>
        <v>0</v>
      </c>
      <c r="AN21" s="85"/>
      <c r="AO21" s="84">
        <f t="shared" si="68"/>
        <v>0</v>
      </c>
      <c r="AP21" s="81"/>
      <c r="AQ21" s="84">
        <f t="shared" si="69"/>
        <v>0</v>
      </c>
      <c r="AR21" s="85"/>
      <c r="AS21" s="84">
        <f t="shared" si="70"/>
        <v>0</v>
      </c>
      <c r="AT21" s="85"/>
      <c r="AU21" s="84">
        <f t="shared" si="71"/>
        <v>0</v>
      </c>
      <c r="AV21" s="85"/>
      <c r="AW21" s="84">
        <f t="shared" si="72"/>
        <v>0</v>
      </c>
      <c r="AX21" s="85"/>
      <c r="AY21" s="84">
        <f t="shared" si="73"/>
        <v>0</v>
      </c>
      <c r="AZ21" s="85"/>
      <c r="BA21" s="84">
        <f t="shared" si="74"/>
        <v>0</v>
      </c>
      <c r="BB21" s="85"/>
      <c r="BC21" s="84">
        <f t="shared" si="75"/>
        <v>0</v>
      </c>
      <c r="BD21" s="81"/>
      <c r="BE21" s="214">
        <f t="shared" si="76"/>
        <v>0</v>
      </c>
    </row>
    <row r="22" spans="1:57" x14ac:dyDescent="0.35">
      <c r="A22" s="159"/>
      <c r="B22" s="180"/>
      <c r="C22" s="83"/>
      <c r="D22" s="142"/>
      <c r="E22" s="304"/>
      <c r="F22" s="289"/>
      <c r="G22" s="363" t="e">
        <f t="shared" si="25"/>
        <v>#DIV/0!</v>
      </c>
      <c r="H22" s="287"/>
      <c r="I22" s="313" t="e">
        <f t="shared" si="26"/>
        <v>#DIV/0!</v>
      </c>
      <c r="J22" s="287"/>
      <c r="K22" s="288" t="e">
        <f t="shared" ref="K22" si="84">J22/E22</f>
        <v>#DIV/0!</v>
      </c>
      <c r="L22" s="289"/>
      <c r="M22" s="290" t="e">
        <f t="shared" ref="M22" si="85">L22/E22</f>
        <v>#DIV/0!</v>
      </c>
      <c r="N22" s="287"/>
      <c r="O22" s="288" t="e">
        <f t="shared" ref="O22" si="86">N22/E22</f>
        <v>#DIV/0!</v>
      </c>
      <c r="P22" s="289"/>
      <c r="Q22" s="290" t="e">
        <f t="shared" ref="Q22" si="87">P22/E22</f>
        <v>#DIV/0!</v>
      </c>
      <c r="R22" s="287"/>
      <c r="S22" s="288" t="e">
        <f t="shared" si="52"/>
        <v>#DIV/0!</v>
      </c>
      <c r="T22" s="287"/>
      <c r="U22" s="288" t="e">
        <f t="shared" ref="U22" si="88">T22/E22</f>
        <v>#DIV/0!</v>
      </c>
      <c r="V22" s="289"/>
      <c r="W22" s="290" t="e">
        <f t="shared" ref="W22" si="89">V22/E22</f>
        <v>#DIV/0!</v>
      </c>
      <c r="X22" s="287"/>
      <c r="Y22" s="313" t="e">
        <f t="shared" ref="Y22" si="90">X22/E22</f>
        <v>#DIV/0!</v>
      </c>
      <c r="Z22" s="289"/>
      <c r="AA22" s="363" t="e">
        <f t="shared" si="34"/>
        <v>#DIV/0!</v>
      </c>
      <c r="AB22" s="287"/>
      <c r="AC22" s="313" t="e">
        <f t="shared" si="35"/>
        <v>#DIV/0!</v>
      </c>
      <c r="AD22" s="289"/>
      <c r="AE22" s="363" t="e">
        <f t="shared" si="36"/>
        <v>#DIV/0!</v>
      </c>
      <c r="AF22" s="323" t="e">
        <f t="shared" si="37"/>
        <v>#DIV/0!</v>
      </c>
      <c r="AG22" s="81">
        <v>0</v>
      </c>
      <c r="AH22" s="81"/>
      <c r="AI22" s="84">
        <f t="shared" si="53"/>
        <v>0</v>
      </c>
      <c r="AJ22" s="85"/>
      <c r="AK22" s="84">
        <f t="shared" si="54"/>
        <v>0</v>
      </c>
      <c r="AL22" s="81"/>
      <c r="AM22" s="84">
        <f t="shared" si="55"/>
        <v>0</v>
      </c>
      <c r="AN22" s="85"/>
      <c r="AO22" s="84">
        <f t="shared" si="56"/>
        <v>0</v>
      </c>
      <c r="AP22" s="81"/>
      <c r="AQ22" s="84">
        <f t="shared" si="57"/>
        <v>0</v>
      </c>
      <c r="AR22" s="85"/>
      <c r="AS22" s="84">
        <f t="shared" si="38"/>
        <v>0</v>
      </c>
      <c r="AT22" s="85"/>
      <c r="AU22" s="84">
        <f t="shared" si="39"/>
        <v>0</v>
      </c>
      <c r="AV22" s="85"/>
      <c r="AW22" s="84">
        <f t="shared" si="40"/>
        <v>0</v>
      </c>
      <c r="AX22" s="85"/>
      <c r="AY22" s="84">
        <f t="shared" si="41"/>
        <v>0</v>
      </c>
      <c r="AZ22" s="85"/>
      <c r="BA22" s="84">
        <f t="shared" si="42"/>
        <v>0</v>
      </c>
      <c r="BB22" s="85"/>
      <c r="BC22" s="84">
        <f t="shared" si="43"/>
        <v>0</v>
      </c>
      <c r="BD22" s="81"/>
      <c r="BE22" s="214">
        <f t="shared" si="44"/>
        <v>0</v>
      </c>
    </row>
    <row r="23" spans="1:57" x14ac:dyDescent="0.35">
      <c r="A23" s="159"/>
      <c r="B23" s="180"/>
      <c r="C23" s="83"/>
      <c r="D23" s="142"/>
      <c r="E23" s="304"/>
      <c r="F23" s="289"/>
      <c r="G23" s="363" t="e">
        <f t="shared" ref="G23:G26" si="91">F23/E23</f>
        <v>#DIV/0!</v>
      </c>
      <c r="H23" s="287"/>
      <c r="I23" s="313" t="e">
        <f t="shared" ref="I23:I26" si="92">H23/E23</f>
        <v>#DIV/0!</v>
      </c>
      <c r="J23" s="287"/>
      <c r="K23" s="288" t="e">
        <f t="shared" si="45"/>
        <v>#DIV/0!</v>
      </c>
      <c r="L23" s="289"/>
      <c r="M23" s="290" t="e">
        <f t="shared" si="46"/>
        <v>#DIV/0!</v>
      </c>
      <c r="N23" s="287"/>
      <c r="O23" s="288" t="e">
        <f t="shared" si="47"/>
        <v>#DIV/0!</v>
      </c>
      <c r="P23" s="289"/>
      <c r="Q23" s="290" t="e">
        <f t="shared" si="48"/>
        <v>#DIV/0!</v>
      </c>
      <c r="R23" s="287"/>
      <c r="S23" s="288" t="e">
        <f t="shared" ref="S23:S31" si="93">R23/E23</f>
        <v>#DIV/0!</v>
      </c>
      <c r="T23" s="287"/>
      <c r="U23" s="288" t="e">
        <f t="shared" si="49"/>
        <v>#DIV/0!</v>
      </c>
      <c r="V23" s="289"/>
      <c r="W23" s="290" t="e">
        <f t="shared" si="50"/>
        <v>#DIV/0!</v>
      </c>
      <c r="X23" s="287"/>
      <c r="Y23" s="313" t="e">
        <f t="shared" si="51"/>
        <v>#DIV/0!</v>
      </c>
      <c r="Z23" s="289"/>
      <c r="AA23" s="363" t="e">
        <f t="shared" ref="AA23:AA26" si="94">Z23/E23</f>
        <v>#DIV/0!</v>
      </c>
      <c r="AB23" s="287"/>
      <c r="AC23" s="313" t="e">
        <f t="shared" ref="AC23:AC26" si="95">AB23/E23</f>
        <v>#DIV/0!</v>
      </c>
      <c r="AD23" s="289"/>
      <c r="AE23" s="363" t="e">
        <f t="shared" ref="AE23:AE26" si="96">AD23/E23</f>
        <v>#DIV/0!</v>
      </c>
      <c r="AF23" s="323" t="e">
        <f t="shared" ref="AF23:AF26" si="97">K23+M23+O23+Q23+S23+U23+W23+Y23+AA23+AC23+G23+I23+AE23</f>
        <v>#DIV/0!</v>
      </c>
      <c r="AG23" s="81">
        <v>0</v>
      </c>
      <c r="AH23" s="81"/>
      <c r="AI23" s="84">
        <f t="shared" ref="AI23:AI30" si="98">D23-AG23</f>
        <v>0</v>
      </c>
      <c r="AJ23" s="85"/>
      <c r="AK23" s="84">
        <f t="shared" ref="AK23:AK30" si="99">D23-AG23-AI23</f>
        <v>0</v>
      </c>
      <c r="AL23" s="81"/>
      <c r="AM23" s="84">
        <f t="shared" ref="AM23:AM30" si="100">D23-AG23-AI23-AK23</f>
        <v>0</v>
      </c>
      <c r="AN23" s="85"/>
      <c r="AO23" s="84">
        <f t="shared" ref="AO23:AO30" si="101">D23-AG23-AI23-AK23-AM23</f>
        <v>0</v>
      </c>
      <c r="AP23" s="81"/>
      <c r="AQ23" s="84">
        <f t="shared" ref="AQ23:AQ30" si="102">D23-AG23-AI23-AK23-AM23-AO23</f>
        <v>0</v>
      </c>
      <c r="AR23" s="85"/>
      <c r="AS23" s="84">
        <f t="shared" ref="AS23" si="103">D23-AG23-AI23-AK23-AM23-AO23-AQ23</f>
        <v>0</v>
      </c>
      <c r="AT23" s="85"/>
      <c r="AU23" s="84">
        <f t="shared" ref="AU23" si="104">D23-AG23-AI23-AK23-AM23-AO23-AQ23-AS23</f>
        <v>0</v>
      </c>
      <c r="AV23" s="85"/>
      <c r="AW23" s="84">
        <f t="shared" ref="AW23" si="105">D23-AG23-AI23-AK23-AM23-AO23-AQ23-AS23-AU23</f>
        <v>0</v>
      </c>
      <c r="AX23" s="85"/>
      <c r="AY23" s="84">
        <f t="shared" ref="AY23" si="106">D23-AG23-AI23-AK23-AM23-AO23-AQ23-AS23-AU23-AW23</f>
        <v>0</v>
      </c>
      <c r="AZ23" s="85"/>
      <c r="BA23" s="84">
        <f t="shared" ref="BA23" si="107">D23-AG23-AI23-AK23-AM23-AO23-AQ23-AS23-AU23-AW23-AY23</f>
        <v>0</v>
      </c>
      <c r="BB23" s="85"/>
      <c r="BC23" s="84">
        <f t="shared" ref="BC23" si="108">D23-AG23-AI23-AK23-AM23-AO23-AQ23-AS23-AU23-AW23-AY23-BA23</f>
        <v>0</v>
      </c>
      <c r="BD23" s="81"/>
      <c r="BE23" s="214">
        <f t="shared" ref="BE23:BE26" si="109">D23-AG23-AI23-AK23-AM23-AO23-AQ23-AS23-AU23-AW23-AY23-BA23-BC23</f>
        <v>0</v>
      </c>
    </row>
    <row r="24" spans="1:57" x14ac:dyDescent="0.35">
      <c r="A24" s="149" t="s">
        <v>714</v>
      </c>
      <c r="B24" s="180"/>
      <c r="C24" s="83">
        <v>65272.47</v>
      </c>
      <c r="D24" s="142">
        <v>65272</v>
      </c>
      <c r="E24" s="304"/>
      <c r="F24" s="289"/>
      <c r="G24" s="363" t="e">
        <f t="shared" si="91"/>
        <v>#DIV/0!</v>
      </c>
      <c r="H24" s="287"/>
      <c r="I24" s="313" t="e">
        <f t="shared" si="92"/>
        <v>#DIV/0!</v>
      </c>
      <c r="J24" s="287"/>
      <c r="K24" s="288" t="e">
        <f t="shared" si="45"/>
        <v>#DIV/0!</v>
      </c>
      <c r="L24" s="289"/>
      <c r="M24" s="290" t="e">
        <f t="shared" si="46"/>
        <v>#DIV/0!</v>
      </c>
      <c r="N24" s="287"/>
      <c r="O24" s="288" t="e">
        <f t="shared" si="47"/>
        <v>#DIV/0!</v>
      </c>
      <c r="P24" s="289"/>
      <c r="Q24" s="290" t="e">
        <f t="shared" si="48"/>
        <v>#DIV/0!</v>
      </c>
      <c r="R24" s="287"/>
      <c r="S24" s="288" t="e">
        <f t="shared" si="93"/>
        <v>#DIV/0!</v>
      </c>
      <c r="T24" s="287"/>
      <c r="U24" s="288" t="e">
        <f t="shared" si="49"/>
        <v>#DIV/0!</v>
      </c>
      <c r="V24" s="289"/>
      <c r="W24" s="290" t="e">
        <f t="shared" si="50"/>
        <v>#DIV/0!</v>
      </c>
      <c r="X24" s="287"/>
      <c r="Y24" s="313" t="e">
        <f t="shared" si="51"/>
        <v>#DIV/0!</v>
      </c>
      <c r="Z24" s="289"/>
      <c r="AA24" s="363" t="e">
        <f t="shared" si="94"/>
        <v>#DIV/0!</v>
      </c>
      <c r="AB24" s="287"/>
      <c r="AC24" s="313" t="e">
        <f t="shared" si="95"/>
        <v>#DIV/0!</v>
      </c>
      <c r="AD24" s="289"/>
      <c r="AE24" s="363" t="e">
        <f t="shared" si="96"/>
        <v>#DIV/0!</v>
      </c>
      <c r="AF24" s="323" t="e">
        <f t="shared" si="97"/>
        <v>#DIV/0!</v>
      </c>
      <c r="AG24" s="81">
        <v>0</v>
      </c>
      <c r="AH24" s="81"/>
      <c r="AI24" s="84">
        <v>0</v>
      </c>
      <c r="AJ24" s="85"/>
      <c r="AK24" s="84">
        <v>0</v>
      </c>
      <c r="AL24" s="81"/>
      <c r="AM24" s="84">
        <v>0</v>
      </c>
      <c r="AN24" s="85"/>
      <c r="AO24" s="84">
        <v>0</v>
      </c>
      <c r="AP24" s="81"/>
      <c r="AQ24" s="84">
        <v>0</v>
      </c>
      <c r="AR24" s="85"/>
      <c r="AS24" s="84">
        <v>0</v>
      </c>
      <c r="AT24" s="85"/>
      <c r="AU24" s="84">
        <v>0</v>
      </c>
      <c r="AV24" s="85"/>
      <c r="AW24" s="84">
        <v>0</v>
      </c>
      <c r="AX24" s="85"/>
      <c r="AY24" s="84">
        <v>0</v>
      </c>
      <c r="AZ24" s="85"/>
      <c r="BA24" s="84">
        <v>0</v>
      </c>
      <c r="BB24" s="85"/>
      <c r="BC24" s="84">
        <v>0</v>
      </c>
      <c r="BD24" s="81"/>
      <c r="BE24" s="214">
        <f>D24-AG24-AI24-AK24-AM24-AO24-AQ24-AS24-AU24-AW24-AY24-BA24-BC24</f>
        <v>65272</v>
      </c>
    </row>
    <row r="25" spans="1:57" x14ac:dyDescent="0.35">
      <c r="A25" s="149" t="s">
        <v>708</v>
      </c>
      <c r="B25" s="180"/>
      <c r="C25" s="83">
        <f>96498</f>
        <v>96498</v>
      </c>
      <c r="D25" s="142">
        <v>96498</v>
      </c>
      <c r="E25" s="304">
        <v>96498</v>
      </c>
      <c r="F25" s="289">
        <v>2535</v>
      </c>
      <c r="G25" s="363">
        <f t="shared" si="91"/>
        <v>2.6269974507243672E-2</v>
      </c>
      <c r="H25" s="287"/>
      <c r="I25" s="313">
        <f t="shared" si="92"/>
        <v>0</v>
      </c>
      <c r="J25" s="287">
        <v>18877.259999999998</v>
      </c>
      <c r="K25" s="288">
        <f t="shared" ref="K25:K26" si="110">J25/E25</f>
        <v>0.1956233289809115</v>
      </c>
      <c r="L25" s="289">
        <v>9322.33</v>
      </c>
      <c r="M25" s="290">
        <f t="shared" ref="M25:M26" si="111">L25/E25</f>
        <v>9.6606458164936057E-2</v>
      </c>
      <c r="N25" s="287">
        <f>11611.8+2210.4</f>
        <v>13822.199999999999</v>
      </c>
      <c r="O25" s="288">
        <f t="shared" ref="O25:O26" si="112">N25/E25</f>
        <v>0.14323820182801714</v>
      </c>
      <c r="P25" s="289"/>
      <c r="Q25" s="290">
        <f t="shared" ref="Q25:Q26" si="113">P25/E25</f>
        <v>0</v>
      </c>
      <c r="R25" s="287">
        <v>9263.65</v>
      </c>
      <c r="S25" s="288">
        <f t="shared" si="93"/>
        <v>9.5998362660366016E-2</v>
      </c>
      <c r="T25" s="287">
        <f>7797.93+1079.9</f>
        <v>8877.83</v>
      </c>
      <c r="U25" s="288">
        <f t="shared" ref="U25:U26" si="114">T25/E25</f>
        <v>9.2000145080727055E-2</v>
      </c>
      <c r="V25" s="289">
        <f>19030.63+1552.32</f>
        <v>20582.95</v>
      </c>
      <c r="W25" s="290">
        <f t="shared" ref="W25:W26" si="115">V25/E25</f>
        <v>0.21329923936247383</v>
      </c>
      <c r="X25" s="287"/>
      <c r="Y25" s="313">
        <f t="shared" ref="Y25:Y26" si="116">X25/E25</f>
        <v>0</v>
      </c>
      <c r="Z25" s="289">
        <v>10215.66</v>
      </c>
      <c r="AA25" s="363">
        <f t="shared" si="94"/>
        <v>0.10586395572965243</v>
      </c>
      <c r="AB25" s="287"/>
      <c r="AC25" s="313">
        <f t="shared" si="95"/>
        <v>0</v>
      </c>
      <c r="AD25" s="289">
        <v>10768</v>
      </c>
      <c r="AE25" s="363">
        <f t="shared" si="96"/>
        <v>0.11158780492859956</v>
      </c>
      <c r="AF25" s="323">
        <f t="shared" si="97"/>
        <v>1.0804874712429273</v>
      </c>
      <c r="AG25" s="81">
        <v>0</v>
      </c>
      <c r="AH25" s="81"/>
      <c r="AI25" s="84">
        <v>0</v>
      </c>
      <c r="AJ25" s="85"/>
      <c r="AK25" s="84">
        <v>0</v>
      </c>
      <c r="AL25" s="81"/>
      <c r="AM25" s="84">
        <v>0</v>
      </c>
      <c r="AN25" s="85"/>
      <c r="AO25" s="84">
        <v>0</v>
      </c>
      <c r="AP25" s="81"/>
      <c r="AQ25" s="84">
        <v>0</v>
      </c>
      <c r="AR25" s="85"/>
      <c r="AS25" s="84">
        <v>0</v>
      </c>
      <c r="AT25" s="85"/>
      <c r="AU25" s="84">
        <v>0</v>
      </c>
      <c r="AV25" s="85"/>
      <c r="AW25" s="84">
        <v>0</v>
      </c>
      <c r="AX25" s="85"/>
      <c r="AY25" s="84">
        <v>0</v>
      </c>
      <c r="AZ25" s="85"/>
      <c r="BA25" s="84">
        <v>0</v>
      </c>
      <c r="BB25" s="85"/>
      <c r="BC25" s="84">
        <v>0</v>
      </c>
      <c r="BD25" s="81"/>
      <c r="BE25" s="374" t="s">
        <v>91</v>
      </c>
    </row>
    <row r="26" spans="1:57" x14ac:dyDescent="0.35">
      <c r="A26" s="149" t="s">
        <v>702</v>
      </c>
      <c r="B26" s="180"/>
      <c r="C26" s="83">
        <v>355122</v>
      </c>
      <c r="D26" s="142">
        <v>355122</v>
      </c>
      <c r="E26" s="304">
        <v>355122</v>
      </c>
      <c r="F26" s="289">
        <v>2925</v>
      </c>
      <c r="G26" s="363">
        <f t="shared" si="91"/>
        <v>8.2366060114552175E-3</v>
      </c>
      <c r="H26" s="287"/>
      <c r="I26" s="313">
        <f t="shared" si="92"/>
        <v>0</v>
      </c>
      <c r="J26" s="287">
        <v>53139</v>
      </c>
      <c r="K26" s="288">
        <f t="shared" si="110"/>
        <v>0.14963589977528849</v>
      </c>
      <c r="L26" s="289">
        <f>42824+11093</f>
        <v>53917</v>
      </c>
      <c r="M26" s="290">
        <f t="shared" si="111"/>
        <v>0.15182669617765163</v>
      </c>
      <c r="N26" s="287">
        <v>70114</v>
      </c>
      <c r="O26" s="288">
        <f t="shared" si="112"/>
        <v>0.19743637397852007</v>
      </c>
      <c r="P26" s="289">
        <f>68448+1244</f>
        <v>69692</v>
      </c>
      <c r="Q26" s="290">
        <f t="shared" si="113"/>
        <v>0.19624804996592721</v>
      </c>
      <c r="R26" s="287">
        <v>8418</v>
      </c>
      <c r="S26" s="288">
        <f t="shared" si="93"/>
        <v>2.3704529710916248E-2</v>
      </c>
      <c r="T26" s="287">
        <v>24773</v>
      </c>
      <c r="U26" s="288">
        <f t="shared" si="114"/>
        <v>6.9759125033087219E-2</v>
      </c>
      <c r="V26" s="289"/>
      <c r="W26" s="290">
        <f t="shared" si="115"/>
        <v>0</v>
      </c>
      <c r="X26" s="287"/>
      <c r="Y26" s="313">
        <f t="shared" si="116"/>
        <v>0</v>
      </c>
      <c r="Z26" s="289">
        <v>20934</v>
      </c>
      <c r="AA26" s="363">
        <f t="shared" si="94"/>
        <v>5.894875563890719E-2</v>
      </c>
      <c r="AB26" s="287">
        <v>19008</v>
      </c>
      <c r="AC26" s="313">
        <f t="shared" si="95"/>
        <v>5.3525267372902835E-2</v>
      </c>
      <c r="AD26" s="289">
        <v>32202</v>
      </c>
      <c r="AE26" s="363">
        <f t="shared" si="96"/>
        <v>9.0678696335343908E-2</v>
      </c>
      <c r="AF26" s="323">
        <f t="shared" si="97"/>
        <v>1.0000000000000002</v>
      </c>
      <c r="AG26" s="81">
        <v>0</v>
      </c>
      <c r="AH26" s="81"/>
      <c r="AI26" s="84">
        <v>0</v>
      </c>
      <c r="AJ26" s="85"/>
      <c r="AK26" s="84">
        <v>0</v>
      </c>
      <c r="AL26" s="81"/>
      <c r="AM26" s="84">
        <v>0</v>
      </c>
      <c r="AN26" s="85"/>
      <c r="AO26" s="84">
        <v>0</v>
      </c>
      <c r="AP26" s="81"/>
      <c r="AQ26" s="84">
        <v>0</v>
      </c>
      <c r="AR26" s="85"/>
      <c r="AS26" s="84">
        <v>0</v>
      </c>
      <c r="AT26" s="85"/>
      <c r="AU26" s="84">
        <v>0</v>
      </c>
      <c r="AV26" s="85"/>
      <c r="AW26" s="84">
        <v>0</v>
      </c>
      <c r="AX26" s="85"/>
      <c r="AY26" s="84">
        <v>0</v>
      </c>
      <c r="AZ26" s="85"/>
      <c r="BA26" s="84">
        <v>0</v>
      </c>
      <c r="BB26" s="85"/>
      <c r="BC26" s="84">
        <v>0</v>
      </c>
      <c r="BD26" s="81"/>
      <c r="BE26" s="214">
        <f t="shared" si="109"/>
        <v>355122</v>
      </c>
    </row>
    <row r="27" spans="1:57" x14ac:dyDescent="0.35">
      <c r="A27" s="149" t="s">
        <v>448</v>
      </c>
      <c r="B27" s="180"/>
      <c r="C27" s="83">
        <v>192000</v>
      </c>
      <c r="D27" s="142">
        <v>192000</v>
      </c>
      <c r="E27" s="304"/>
      <c r="F27" s="289"/>
      <c r="G27" s="363" t="e">
        <f t="shared" si="25"/>
        <v>#DIV/0!</v>
      </c>
      <c r="H27" s="287"/>
      <c r="I27" s="313" t="e">
        <f t="shared" si="26"/>
        <v>#DIV/0!</v>
      </c>
      <c r="J27" s="287"/>
      <c r="K27" s="288" t="e">
        <f t="shared" ref="K27:K28" si="117">J27/E27</f>
        <v>#DIV/0!</v>
      </c>
      <c r="L27" s="289"/>
      <c r="M27" s="290" t="e">
        <f t="shared" ref="M27:M28" si="118">L27/E27</f>
        <v>#DIV/0!</v>
      </c>
      <c r="N27" s="287"/>
      <c r="O27" s="288" t="e">
        <f t="shared" ref="O27:O28" si="119">N27/E27</f>
        <v>#DIV/0!</v>
      </c>
      <c r="P27" s="289"/>
      <c r="Q27" s="290" t="e">
        <f t="shared" ref="Q27:Q28" si="120">P27/E27</f>
        <v>#DIV/0!</v>
      </c>
      <c r="R27" s="287"/>
      <c r="S27" s="288" t="e">
        <f t="shared" si="93"/>
        <v>#DIV/0!</v>
      </c>
      <c r="T27" s="287"/>
      <c r="U27" s="288" t="e">
        <f t="shared" ref="U27:U28" si="121">T27/E27</f>
        <v>#DIV/0!</v>
      </c>
      <c r="V27" s="289"/>
      <c r="W27" s="290" t="e">
        <f t="shared" ref="W27:W28" si="122">V27/E27</f>
        <v>#DIV/0!</v>
      </c>
      <c r="X27" s="287"/>
      <c r="Y27" s="313" t="e">
        <f t="shared" ref="Y27:Y28" si="123">X27/E27</f>
        <v>#DIV/0!</v>
      </c>
      <c r="Z27" s="289"/>
      <c r="AA27" s="363" t="e">
        <f t="shared" si="34"/>
        <v>#DIV/0!</v>
      </c>
      <c r="AB27" s="287"/>
      <c r="AC27" s="313" t="e">
        <f t="shared" si="35"/>
        <v>#DIV/0!</v>
      </c>
      <c r="AD27" s="289">
        <f>10992.35+18707.83</f>
        <v>29700.18</v>
      </c>
      <c r="AE27" s="363" t="e">
        <f t="shared" si="36"/>
        <v>#DIV/0!</v>
      </c>
      <c r="AF27" s="323" t="e">
        <f t="shared" si="37"/>
        <v>#DIV/0!</v>
      </c>
      <c r="AG27" s="81">
        <v>0</v>
      </c>
      <c r="AH27" s="81"/>
      <c r="AI27" s="84">
        <v>0</v>
      </c>
      <c r="AJ27" s="85"/>
      <c r="AK27" s="84">
        <v>0</v>
      </c>
      <c r="AL27" s="81"/>
      <c r="AM27" s="84">
        <v>0</v>
      </c>
      <c r="AN27" s="85"/>
      <c r="AO27" s="84">
        <v>0</v>
      </c>
      <c r="AP27" s="81"/>
      <c r="AQ27" s="84">
        <v>0</v>
      </c>
      <c r="AR27" s="85"/>
      <c r="AS27" s="84">
        <v>0</v>
      </c>
      <c r="AT27" s="85"/>
      <c r="AU27" s="84">
        <v>0</v>
      </c>
      <c r="AV27" s="85"/>
      <c r="AW27" s="84">
        <v>0</v>
      </c>
      <c r="AX27" s="85"/>
      <c r="AY27" s="84">
        <v>0</v>
      </c>
      <c r="AZ27" s="85"/>
      <c r="BA27" s="84">
        <v>0</v>
      </c>
      <c r="BB27" s="85"/>
      <c r="BC27" s="84">
        <v>0</v>
      </c>
      <c r="BD27" s="81"/>
      <c r="BE27" s="214">
        <f t="shared" si="44"/>
        <v>192000</v>
      </c>
    </row>
    <row r="28" spans="1:57" x14ac:dyDescent="0.35">
      <c r="A28" s="149" t="s">
        <v>700</v>
      </c>
      <c r="B28" s="180"/>
      <c r="C28" s="83"/>
      <c r="D28" s="142"/>
      <c r="E28" s="304"/>
      <c r="F28" s="289"/>
      <c r="G28" s="363" t="e">
        <f t="shared" si="25"/>
        <v>#DIV/0!</v>
      </c>
      <c r="H28" s="287"/>
      <c r="I28" s="313" t="e">
        <f t="shared" si="26"/>
        <v>#DIV/0!</v>
      </c>
      <c r="J28" s="287"/>
      <c r="K28" s="288" t="e">
        <f t="shared" si="117"/>
        <v>#DIV/0!</v>
      </c>
      <c r="L28" s="289"/>
      <c r="M28" s="290" t="e">
        <f t="shared" si="118"/>
        <v>#DIV/0!</v>
      </c>
      <c r="N28" s="287"/>
      <c r="O28" s="288" t="e">
        <f t="shared" si="119"/>
        <v>#DIV/0!</v>
      </c>
      <c r="P28" s="289"/>
      <c r="Q28" s="290" t="e">
        <f t="shared" si="120"/>
        <v>#DIV/0!</v>
      </c>
      <c r="R28" s="287"/>
      <c r="S28" s="288" t="e">
        <f t="shared" si="93"/>
        <v>#DIV/0!</v>
      </c>
      <c r="T28" s="287"/>
      <c r="U28" s="288" t="e">
        <f t="shared" si="121"/>
        <v>#DIV/0!</v>
      </c>
      <c r="V28" s="289"/>
      <c r="W28" s="290" t="e">
        <f t="shared" si="122"/>
        <v>#DIV/0!</v>
      </c>
      <c r="X28" s="287"/>
      <c r="Y28" s="313" t="e">
        <f t="shared" si="123"/>
        <v>#DIV/0!</v>
      </c>
      <c r="Z28" s="289"/>
      <c r="AA28" s="363" t="e">
        <f t="shared" si="34"/>
        <v>#DIV/0!</v>
      </c>
      <c r="AB28" s="287"/>
      <c r="AC28" s="313" t="e">
        <f t="shared" si="35"/>
        <v>#DIV/0!</v>
      </c>
      <c r="AD28" s="289"/>
      <c r="AE28" s="363" t="e">
        <f t="shared" si="36"/>
        <v>#DIV/0!</v>
      </c>
      <c r="AF28" s="323" t="e">
        <f t="shared" si="37"/>
        <v>#DIV/0!</v>
      </c>
      <c r="AG28" s="81">
        <v>0</v>
      </c>
      <c r="AH28" s="81"/>
      <c r="AI28" s="84">
        <f t="shared" si="98"/>
        <v>0</v>
      </c>
      <c r="AJ28" s="85"/>
      <c r="AK28" s="84">
        <f t="shared" si="99"/>
        <v>0</v>
      </c>
      <c r="AL28" s="81"/>
      <c r="AM28" s="84">
        <f t="shared" si="100"/>
        <v>0</v>
      </c>
      <c r="AN28" s="85"/>
      <c r="AO28" s="84">
        <f t="shared" si="101"/>
        <v>0</v>
      </c>
      <c r="AP28" s="81"/>
      <c r="AQ28" s="84">
        <f t="shared" si="102"/>
        <v>0</v>
      </c>
      <c r="AR28" s="85"/>
      <c r="AS28" s="84">
        <f t="shared" si="38"/>
        <v>0</v>
      </c>
      <c r="AT28" s="85"/>
      <c r="AU28" s="84">
        <f t="shared" si="39"/>
        <v>0</v>
      </c>
      <c r="AV28" s="85"/>
      <c r="AW28" s="84">
        <f t="shared" si="40"/>
        <v>0</v>
      </c>
      <c r="AX28" s="85"/>
      <c r="AY28" s="84">
        <f t="shared" si="41"/>
        <v>0</v>
      </c>
      <c r="AZ28" s="85"/>
      <c r="BA28" s="84">
        <f t="shared" si="42"/>
        <v>0</v>
      </c>
      <c r="BB28" s="85"/>
      <c r="BC28" s="84">
        <f t="shared" si="43"/>
        <v>0</v>
      </c>
      <c r="BD28" s="81"/>
      <c r="BE28" s="214">
        <f t="shared" si="44"/>
        <v>0</v>
      </c>
    </row>
    <row r="29" spans="1:57" x14ac:dyDescent="0.35">
      <c r="A29" s="149" t="s">
        <v>699</v>
      </c>
      <c r="B29" s="180"/>
      <c r="C29" s="83"/>
      <c r="D29" s="142"/>
      <c r="E29" s="304"/>
      <c r="F29" s="289"/>
      <c r="G29" s="363" t="e">
        <f t="shared" ref="G29:G31" si="124">F29/E29</f>
        <v>#DIV/0!</v>
      </c>
      <c r="H29" s="287"/>
      <c r="I29" s="313" t="e">
        <f t="shared" ref="I29:I31" si="125">H29/E29</f>
        <v>#DIV/0!</v>
      </c>
      <c r="J29" s="287"/>
      <c r="K29" s="288" t="e">
        <f t="shared" si="45"/>
        <v>#DIV/0!</v>
      </c>
      <c r="L29" s="289"/>
      <c r="M29" s="290" t="e">
        <f t="shared" si="46"/>
        <v>#DIV/0!</v>
      </c>
      <c r="N29" s="287"/>
      <c r="O29" s="288" t="e">
        <f t="shared" si="47"/>
        <v>#DIV/0!</v>
      </c>
      <c r="P29" s="289"/>
      <c r="Q29" s="290" t="e">
        <f t="shared" si="48"/>
        <v>#DIV/0!</v>
      </c>
      <c r="R29" s="287"/>
      <c r="S29" s="288" t="e">
        <f t="shared" si="93"/>
        <v>#DIV/0!</v>
      </c>
      <c r="T29" s="287"/>
      <c r="U29" s="288" t="e">
        <f t="shared" si="49"/>
        <v>#DIV/0!</v>
      </c>
      <c r="V29" s="289"/>
      <c r="W29" s="290" t="e">
        <f t="shared" si="50"/>
        <v>#DIV/0!</v>
      </c>
      <c r="X29" s="287"/>
      <c r="Y29" s="313" t="e">
        <f t="shared" si="51"/>
        <v>#DIV/0!</v>
      </c>
      <c r="Z29" s="289"/>
      <c r="AA29" s="363" t="e">
        <f t="shared" ref="AA29:AA31" si="126">Z29/E29</f>
        <v>#DIV/0!</v>
      </c>
      <c r="AB29" s="287"/>
      <c r="AC29" s="313" t="e">
        <f t="shared" ref="AC29:AC31" si="127">AB29/E29</f>
        <v>#DIV/0!</v>
      </c>
      <c r="AD29" s="289"/>
      <c r="AE29" s="363" t="e">
        <f t="shared" ref="AE29:AE31" si="128">AD29/E29</f>
        <v>#DIV/0!</v>
      </c>
      <c r="AF29" s="323" t="e">
        <f t="shared" ref="AF29:AF31" si="129">K29+M29+O29+Q29+S29+U29+W29+Y29+AA29+AC29+G29+I29+AE29</f>
        <v>#DIV/0!</v>
      </c>
      <c r="AG29" s="81">
        <v>0</v>
      </c>
      <c r="AH29" s="81"/>
      <c r="AI29" s="84">
        <f t="shared" si="98"/>
        <v>0</v>
      </c>
      <c r="AJ29" s="85"/>
      <c r="AK29" s="84">
        <f t="shared" si="99"/>
        <v>0</v>
      </c>
      <c r="AL29" s="81"/>
      <c r="AM29" s="84">
        <f t="shared" si="100"/>
        <v>0</v>
      </c>
      <c r="AN29" s="85"/>
      <c r="AO29" s="84">
        <f t="shared" si="101"/>
        <v>0</v>
      </c>
      <c r="AP29" s="81"/>
      <c r="AQ29" s="84">
        <f t="shared" si="102"/>
        <v>0</v>
      </c>
      <c r="AR29" s="85"/>
      <c r="AS29" s="84">
        <f t="shared" ref="AS29:AS30" si="130">D29-AG29-AI29-AK29-AM29-AO29-AQ29</f>
        <v>0</v>
      </c>
      <c r="AT29" s="85"/>
      <c r="AU29" s="84">
        <f t="shared" ref="AU29:AU30" si="131">D29-AG29-AI29-AK29-AM29-AO29-AQ29-AS29</f>
        <v>0</v>
      </c>
      <c r="AV29" s="85"/>
      <c r="AW29" s="84">
        <f t="shared" ref="AW29:AW30" si="132">D29-AG29-AI29-AK29-AM29-AO29-AQ29-AS29-AU29</f>
        <v>0</v>
      </c>
      <c r="AX29" s="85"/>
      <c r="AY29" s="84">
        <f t="shared" ref="AY29:AY30" si="133">D29-AG29-AI29-AK29-AM29-AO29-AQ29-AS29-AU29-AW29</f>
        <v>0</v>
      </c>
      <c r="AZ29" s="85"/>
      <c r="BA29" s="84">
        <f t="shared" ref="BA29:BA30" si="134">D29-AG29-AI29-AK29-AM29-AO29-AQ29-AS29-AU29-AW29-AY29</f>
        <v>0</v>
      </c>
      <c r="BB29" s="85"/>
      <c r="BC29" s="84">
        <f t="shared" ref="BC29:BC30" si="135">D29-AG29-AI29-AK29-AM29-AO29-AQ29-AS29-AU29-AW29-AY29-BA29</f>
        <v>0</v>
      </c>
      <c r="BD29" s="81"/>
      <c r="BE29" s="214">
        <f t="shared" ref="BE29:BE31" si="136">D29-AG29-AI29-AK29-AM29-AO29-AQ29-AS29-AU29-AW29-AY29-BA29-BC29</f>
        <v>0</v>
      </c>
    </row>
    <row r="30" spans="1:57" x14ac:dyDescent="0.35">
      <c r="A30" s="149" t="s">
        <v>698</v>
      </c>
      <c r="B30" s="180"/>
      <c r="C30" s="83"/>
      <c r="D30" s="142"/>
      <c r="E30" s="304"/>
      <c r="F30" s="289"/>
      <c r="G30" s="363" t="e">
        <f t="shared" si="124"/>
        <v>#DIV/0!</v>
      </c>
      <c r="H30" s="287"/>
      <c r="I30" s="313" t="e">
        <f t="shared" si="125"/>
        <v>#DIV/0!</v>
      </c>
      <c r="J30" s="287"/>
      <c r="K30" s="288" t="e">
        <f t="shared" si="45"/>
        <v>#DIV/0!</v>
      </c>
      <c r="L30" s="289"/>
      <c r="M30" s="290" t="e">
        <f t="shared" si="46"/>
        <v>#DIV/0!</v>
      </c>
      <c r="N30" s="287"/>
      <c r="O30" s="288" t="e">
        <f t="shared" si="47"/>
        <v>#DIV/0!</v>
      </c>
      <c r="P30" s="289"/>
      <c r="Q30" s="290" t="e">
        <f t="shared" si="48"/>
        <v>#DIV/0!</v>
      </c>
      <c r="R30" s="287"/>
      <c r="S30" s="288" t="e">
        <f t="shared" si="93"/>
        <v>#DIV/0!</v>
      </c>
      <c r="T30" s="287"/>
      <c r="U30" s="288" t="e">
        <f t="shared" si="49"/>
        <v>#DIV/0!</v>
      </c>
      <c r="V30" s="289"/>
      <c r="W30" s="290" t="e">
        <f t="shared" si="50"/>
        <v>#DIV/0!</v>
      </c>
      <c r="X30" s="287"/>
      <c r="Y30" s="313" t="e">
        <f t="shared" si="51"/>
        <v>#DIV/0!</v>
      </c>
      <c r="Z30" s="289"/>
      <c r="AA30" s="363" t="e">
        <f t="shared" si="126"/>
        <v>#DIV/0!</v>
      </c>
      <c r="AB30" s="287"/>
      <c r="AC30" s="313" t="e">
        <f t="shared" si="127"/>
        <v>#DIV/0!</v>
      </c>
      <c r="AD30" s="289"/>
      <c r="AE30" s="363" t="e">
        <f t="shared" si="128"/>
        <v>#DIV/0!</v>
      </c>
      <c r="AF30" s="323" t="e">
        <f t="shared" si="129"/>
        <v>#DIV/0!</v>
      </c>
      <c r="AG30" s="81">
        <v>0</v>
      </c>
      <c r="AH30" s="81"/>
      <c r="AI30" s="84">
        <f t="shared" si="98"/>
        <v>0</v>
      </c>
      <c r="AJ30" s="85"/>
      <c r="AK30" s="84">
        <f t="shared" si="99"/>
        <v>0</v>
      </c>
      <c r="AL30" s="81"/>
      <c r="AM30" s="84">
        <f t="shared" si="100"/>
        <v>0</v>
      </c>
      <c r="AN30" s="85"/>
      <c r="AO30" s="84">
        <f t="shared" si="101"/>
        <v>0</v>
      </c>
      <c r="AP30" s="81"/>
      <c r="AQ30" s="84">
        <f t="shared" si="102"/>
        <v>0</v>
      </c>
      <c r="AR30" s="85"/>
      <c r="AS30" s="84">
        <f t="shared" si="130"/>
        <v>0</v>
      </c>
      <c r="AT30" s="85"/>
      <c r="AU30" s="84">
        <f t="shared" si="131"/>
        <v>0</v>
      </c>
      <c r="AV30" s="85"/>
      <c r="AW30" s="84">
        <f t="shared" si="132"/>
        <v>0</v>
      </c>
      <c r="AX30" s="85"/>
      <c r="AY30" s="84">
        <f t="shared" si="133"/>
        <v>0</v>
      </c>
      <c r="AZ30" s="85"/>
      <c r="BA30" s="84">
        <f t="shared" si="134"/>
        <v>0</v>
      </c>
      <c r="BB30" s="85"/>
      <c r="BC30" s="84">
        <f t="shared" si="135"/>
        <v>0</v>
      </c>
      <c r="BD30" s="81"/>
      <c r="BE30" s="214">
        <f t="shared" si="136"/>
        <v>0</v>
      </c>
    </row>
    <row r="31" spans="1:57" x14ac:dyDescent="0.35">
      <c r="A31" s="149" t="s">
        <v>638</v>
      </c>
      <c r="B31" s="180"/>
      <c r="C31" s="49">
        <v>262000</v>
      </c>
      <c r="D31" s="107">
        <v>262000</v>
      </c>
      <c r="E31" s="304">
        <v>262000</v>
      </c>
      <c r="F31" s="289">
        <v>2016</v>
      </c>
      <c r="G31" s="363">
        <f t="shared" si="124"/>
        <v>7.6946564885496185E-3</v>
      </c>
      <c r="H31" s="287">
        <v>12550</v>
      </c>
      <c r="I31" s="313">
        <f t="shared" si="125"/>
        <v>4.7900763358778624E-2</v>
      </c>
      <c r="J31" s="287">
        <v>35514</v>
      </c>
      <c r="K31" s="288">
        <f t="shared" si="45"/>
        <v>0.13554961832061069</v>
      </c>
      <c r="L31" s="289">
        <v>9586</v>
      </c>
      <c r="M31" s="290">
        <f t="shared" si="46"/>
        <v>3.6587786259541982E-2</v>
      </c>
      <c r="N31" s="287">
        <v>52263</v>
      </c>
      <c r="O31" s="288">
        <f t="shared" si="47"/>
        <v>0.19947709923664123</v>
      </c>
      <c r="P31" s="289">
        <f>45558-7936.91</f>
        <v>37621.089999999997</v>
      </c>
      <c r="Q31" s="290">
        <f t="shared" si="48"/>
        <v>0.14359194656488547</v>
      </c>
      <c r="R31" s="287">
        <v>16119</v>
      </c>
      <c r="S31" s="288">
        <f t="shared" si="93"/>
        <v>6.1522900763358777E-2</v>
      </c>
      <c r="T31" s="287">
        <f>13703+6356</f>
        <v>20059</v>
      </c>
      <c r="U31" s="288">
        <f t="shared" si="49"/>
        <v>7.6561068702290083E-2</v>
      </c>
      <c r="V31" s="289">
        <f>32865+3155</f>
        <v>36020</v>
      </c>
      <c r="W31" s="290">
        <f t="shared" si="50"/>
        <v>0.13748091603053436</v>
      </c>
      <c r="X31" s="287"/>
      <c r="Y31" s="313">
        <f t="shared" si="51"/>
        <v>0</v>
      </c>
      <c r="Z31" s="289">
        <v>14376</v>
      </c>
      <c r="AA31" s="363">
        <f t="shared" si="126"/>
        <v>5.4870229007633588E-2</v>
      </c>
      <c r="AB31" s="287"/>
      <c r="AC31" s="313">
        <f t="shared" si="127"/>
        <v>0</v>
      </c>
      <c r="AD31" s="289">
        <f>18200+7936.91</f>
        <v>26136.91</v>
      </c>
      <c r="AE31" s="363">
        <f t="shared" si="128"/>
        <v>9.9759198473282448E-2</v>
      </c>
      <c r="AF31" s="323">
        <f t="shared" si="129"/>
        <v>1.0009961832061067</v>
      </c>
      <c r="AG31" s="81">
        <v>0</v>
      </c>
      <c r="AH31" s="81"/>
      <c r="AI31" s="84">
        <v>0</v>
      </c>
      <c r="AJ31" s="85"/>
      <c r="AK31" s="84">
        <v>0</v>
      </c>
      <c r="AL31" s="81"/>
      <c r="AM31" s="84">
        <v>0</v>
      </c>
      <c r="AN31" s="85"/>
      <c r="AO31" s="84">
        <v>0</v>
      </c>
      <c r="AP31" s="81"/>
      <c r="AQ31" s="84">
        <v>0</v>
      </c>
      <c r="AR31" s="85"/>
      <c r="AS31" s="84">
        <v>0</v>
      </c>
      <c r="AT31" s="85"/>
      <c r="AU31" s="84">
        <v>0</v>
      </c>
      <c r="AV31" s="85"/>
      <c r="AW31" s="84">
        <v>0</v>
      </c>
      <c r="AX31" s="85"/>
      <c r="AY31" s="84">
        <v>0</v>
      </c>
      <c r="AZ31" s="85"/>
      <c r="BA31" s="84">
        <v>0</v>
      </c>
      <c r="BB31" s="85"/>
      <c r="BC31" s="84">
        <v>0</v>
      </c>
      <c r="BD31" s="81"/>
      <c r="BE31" s="214">
        <f t="shared" si="136"/>
        <v>262000</v>
      </c>
    </row>
    <row r="32" spans="1:57" x14ac:dyDescent="0.35">
      <c r="A32" s="149" t="s">
        <v>640</v>
      </c>
      <c r="B32" s="180"/>
      <c r="C32" s="83">
        <v>111277.97</v>
      </c>
      <c r="D32" s="142">
        <f>'2022-23'!AW34</f>
        <v>111278</v>
      </c>
      <c r="E32" s="304"/>
      <c r="F32" s="289"/>
      <c r="G32" s="363" t="e">
        <f t="shared" ref="G32:G38" si="137">F32/E32</f>
        <v>#DIV/0!</v>
      </c>
      <c r="H32" s="287"/>
      <c r="I32" s="313" t="e">
        <f t="shared" ref="I32:I38" si="138">H32/E32</f>
        <v>#DIV/0!</v>
      </c>
      <c r="J32" s="287"/>
      <c r="K32" s="288" t="e">
        <f t="shared" ref="K32:K38" si="139">J32/E32</f>
        <v>#DIV/0!</v>
      </c>
      <c r="L32" s="289"/>
      <c r="M32" s="290" t="e">
        <f t="shared" ref="M32:M38" si="140">L32/E32</f>
        <v>#DIV/0!</v>
      </c>
      <c r="N32" s="287"/>
      <c r="O32" s="288" t="e">
        <f t="shared" ref="O32:O38" si="141">N32/E32</f>
        <v>#DIV/0!</v>
      </c>
      <c r="P32" s="289"/>
      <c r="Q32" s="290" t="e">
        <f t="shared" ref="Q32:Q38" si="142">P32/E32</f>
        <v>#DIV/0!</v>
      </c>
      <c r="R32" s="287"/>
      <c r="S32" s="288" t="e">
        <f t="shared" ref="S32:S38" si="143">R32/E32</f>
        <v>#DIV/0!</v>
      </c>
      <c r="T32" s="287"/>
      <c r="U32" s="288" t="e">
        <f t="shared" ref="U32:U38" si="144">T32/E32</f>
        <v>#DIV/0!</v>
      </c>
      <c r="V32" s="289"/>
      <c r="W32" s="290" t="e">
        <f t="shared" ref="W32:W38" si="145">V32/E32</f>
        <v>#DIV/0!</v>
      </c>
      <c r="X32" s="287"/>
      <c r="Y32" s="313" t="e">
        <f t="shared" ref="Y32:Y38" si="146">X32/E32</f>
        <v>#DIV/0!</v>
      </c>
      <c r="Z32" s="289"/>
      <c r="AA32" s="363" t="e">
        <f t="shared" ref="AA32:AA38" si="147">Z32/E32</f>
        <v>#DIV/0!</v>
      </c>
      <c r="AB32" s="287"/>
      <c r="AC32" s="313" t="e">
        <f t="shared" ref="AC32:AC38" si="148">AB32/E32</f>
        <v>#DIV/0!</v>
      </c>
      <c r="AD32" s="289"/>
      <c r="AE32" s="363" t="e">
        <f t="shared" ref="AE32:AE38" si="149">AD32/E32</f>
        <v>#DIV/0!</v>
      </c>
      <c r="AF32" s="323" t="e">
        <f t="shared" ref="AF32:AF38" si="150">K32+M32+O32+Q32+S32+U32+W32+Y32+AA32+AC32+G32+I32+AE32</f>
        <v>#DIV/0!</v>
      </c>
      <c r="AG32" s="81">
        <v>0</v>
      </c>
      <c r="AH32" s="81"/>
      <c r="AI32" s="84">
        <v>0</v>
      </c>
      <c r="AJ32" s="85"/>
      <c r="AK32" s="84">
        <v>0</v>
      </c>
      <c r="AL32" s="81"/>
      <c r="AM32" s="84">
        <v>0</v>
      </c>
      <c r="AN32" s="85"/>
      <c r="AO32" s="84">
        <v>0</v>
      </c>
      <c r="AP32" s="81"/>
      <c r="AQ32" s="84">
        <v>0</v>
      </c>
      <c r="AR32" s="85"/>
      <c r="AS32" s="84">
        <v>0</v>
      </c>
      <c r="AT32" s="85"/>
      <c r="AU32" s="84">
        <v>0</v>
      </c>
      <c r="AV32" s="85"/>
      <c r="AW32" s="84">
        <v>0</v>
      </c>
      <c r="AX32" s="85"/>
      <c r="AY32" s="84">
        <v>0</v>
      </c>
      <c r="AZ32" s="85"/>
      <c r="BA32" s="84">
        <v>0</v>
      </c>
      <c r="BB32" s="85"/>
      <c r="BC32" s="84">
        <v>0</v>
      </c>
      <c r="BD32" s="81"/>
      <c r="BE32" s="214">
        <f t="shared" ref="BE32:BE38" si="151">D32-AG32-AI32-AK32-AM32-AO32-AQ32-AS32-AU32-AW32-AY32-BA32-BC32</f>
        <v>111278</v>
      </c>
    </row>
    <row r="33" spans="1:58" x14ac:dyDescent="0.35">
      <c r="A33" s="149"/>
      <c r="B33" s="180"/>
      <c r="C33" s="83"/>
      <c r="D33" s="142"/>
      <c r="E33" s="304"/>
      <c r="F33" s="289"/>
      <c r="G33" s="363"/>
      <c r="H33" s="287"/>
      <c r="I33" s="313"/>
      <c r="J33" s="287"/>
      <c r="K33" s="288"/>
      <c r="L33" s="289"/>
      <c r="M33" s="290"/>
      <c r="N33" s="287"/>
      <c r="O33" s="288"/>
      <c r="P33" s="289"/>
      <c r="Q33" s="290"/>
      <c r="R33" s="287"/>
      <c r="S33" s="288"/>
      <c r="T33" s="287"/>
      <c r="U33" s="288"/>
      <c r="V33" s="289"/>
      <c r="W33" s="290"/>
      <c r="X33" s="287"/>
      <c r="Y33" s="313"/>
      <c r="Z33" s="289"/>
      <c r="AA33" s="363"/>
      <c r="AB33" s="287"/>
      <c r="AC33" s="313"/>
      <c r="AD33" s="289"/>
      <c r="AE33" s="363"/>
      <c r="AF33" s="323"/>
      <c r="AG33" s="81"/>
      <c r="AH33" s="81"/>
      <c r="AI33" s="84"/>
      <c r="AJ33" s="85"/>
      <c r="AK33" s="84"/>
      <c r="AL33" s="81"/>
      <c r="AM33" s="84"/>
      <c r="AN33" s="85"/>
      <c r="AO33" s="84"/>
      <c r="AP33" s="81"/>
      <c r="AQ33" s="84"/>
      <c r="AR33" s="85"/>
      <c r="AS33" s="84"/>
      <c r="AT33" s="85"/>
      <c r="AU33" s="84"/>
      <c r="AV33" s="85"/>
      <c r="AW33" s="84"/>
      <c r="AX33" s="85"/>
      <c r="AY33" s="84"/>
      <c r="AZ33" s="85"/>
      <c r="BA33" s="84"/>
      <c r="BB33" s="85"/>
      <c r="BC33" s="84"/>
      <c r="BD33" s="81"/>
      <c r="BE33" s="214"/>
    </row>
    <row r="34" spans="1:58" x14ac:dyDescent="0.35">
      <c r="A34" s="149"/>
      <c r="B34" s="180"/>
      <c r="C34" s="83"/>
      <c r="D34" s="142">
        <v>0</v>
      </c>
      <c r="E34" s="304">
        <v>0</v>
      </c>
      <c r="F34" s="289">
        <v>0</v>
      </c>
      <c r="G34" s="363" t="e">
        <f t="shared" si="137"/>
        <v>#DIV/0!</v>
      </c>
      <c r="H34" s="287">
        <v>0</v>
      </c>
      <c r="I34" s="313" t="e">
        <f t="shared" si="138"/>
        <v>#DIV/0!</v>
      </c>
      <c r="J34" s="287">
        <v>0</v>
      </c>
      <c r="K34" s="288" t="e">
        <f t="shared" si="139"/>
        <v>#DIV/0!</v>
      </c>
      <c r="L34" s="289">
        <v>0</v>
      </c>
      <c r="M34" s="290" t="e">
        <f t="shared" si="140"/>
        <v>#DIV/0!</v>
      </c>
      <c r="N34" s="287">
        <v>0</v>
      </c>
      <c r="O34" s="288" t="e">
        <f t="shared" si="141"/>
        <v>#DIV/0!</v>
      </c>
      <c r="P34" s="289">
        <v>0</v>
      </c>
      <c r="Q34" s="290" t="e">
        <f t="shared" si="142"/>
        <v>#DIV/0!</v>
      </c>
      <c r="R34" s="287">
        <v>0</v>
      </c>
      <c r="S34" s="288" t="e">
        <f t="shared" si="143"/>
        <v>#DIV/0!</v>
      </c>
      <c r="T34" s="287">
        <v>0</v>
      </c>
      <c r="U34" s="288" t="e">
        <f t="shared" si="144"/>
        <v>#DIV/0!</v>
      </c>
      <c r="V34" s="289">
        <v>0</v>
      </c>
      <c r="W34" s="290" t="e">
        <f t="shared" si="145"/>
        <v>#DIV/0!</v>
      </c>
      <c r="X34" s="287"/>
      <c r="Y34" s="313" t="e">
        <f t="shared" si="146"/>
        <v>#DIV/0!</v>
      </c>
      <c r="Z34" s="289">
        <v>0</v>
      </c>
      <c r="AA34" s="363" t="e">
        <f t="shared" si="147"/>
        <v>#DIV/0!</v>
      </c>
      <c r="AB34" s="287"/>
      <c r="AC34" s="313" t="e">
        <f t="shared" si="148"/>
        <v>#DIV/0!</v>
      </c>
      <c r="AD34" s="289">
        <v>0</v>
      </c>
      <c r="AE34" s="363" t="e">
        <f t="shared" si="149"/>
        <v>#DIV/0!</v>
      </c>
      <c r="AF34" s="323" t="e">
        <f t="shared" si="150"/>
        <v>#DIV/0!</v>
      </c>
      <c r="AG34" s="81">
        <v>0</v>
      </c>
      <c r="AH34" s="81"/>
      <c r="AI34" s="84">
        <v>0</v>
      </c>
      <c r="AJ34" s="85"/>
      <c r="AK34" s="84">
        <v>0</v>
      </c>
      <c r="AL34" s="81"/>
      <c r="AM34" s="84">
        <v>0</v>
      </c>
      <c r="AN34" s="85"/>
      <c r="AO34" s="84">
        <v>0</v>
      </c>
      <c r="AP34" s="81"/>
      <c r="AQ34" s="84">
        <v>0</v>
      </c>
      <c r="AR34" s="85"/>
      <c r="AS34" s="84">
        <v>0</v>
      </c>
      <c r="AT34" s="85"/>
      <c r="AU34" s="84">
        <v>0</v>
      </c>
      <c r="AV34" s="85"/>
      <c r="AW34" s="84">
        <v>0</v>
      </c>
      <c r="AX34" s="85"/>
      <c r="AY34" s="84">
        <f>D34-AG34-AI34-AK34-AM34-AO34-AQ34-AS34-AU34-AW34</f>
        <v>0</v>
      </c>
      <c r="AZ34" s="85"/>
      <c r="BA34" s="84">
        <f t="shared" ref="BA34" si="152">D34-AG34-AI34-AK34-AM34-AO34-AQ34-AS34-AU34-AW34-AY34</f>
        <v>0</v>
      </c>
      <c r="BB34" s="85"/>
      <c r="BC34" s="84">
        <f t="shared" ref="BC34:BC38" si="153">D34-AG34-AI34-AK34-AM34-AO34-AQ34-AS34-AU34-AW34-AY34-BA34</f>
        <v>0</v>
      </c>
      <c r="BD34" s="81"/>
      <c r="BE34" s="214">
        <f t="shared" si="151"/>
        <v>0</v>
      </c>
    </row>
    <row r="35" spans="1:58" x14ac:dyDescent="0.35">
      <c r="A35" s="149" t="s">
        <v>364</v>
      </c>
      <c r="B35" s="180"/>
      <c r="C35" s="83">
        <v>125406.53</v>
      </c>
      <c r="D35" s="142">
        <v>125406.53</v>
      </c>
      <c r="E35" s="304">
        <v>0</v>
      </c>
      <c r="F35" s="289">
        <v>1965.6</v>
      </c>
      <c r="G35" s="363" t="e">
        <f t="shared" si="137"/>
        <v>#DIV/0!</v>
      </c>
      <c r="H35" s="287">
        <v>11714.21</v>
      </c>
      <c r="I35" s="313" t="e">
        <f t="shared" si="138"/>
        <v>#DIV/0!</v>
      </c>
      <c r="J35" s="287">
        <f>14863.06</f>
        <v>14863.06</v>
      </c>
      <c r="K35" s="288" t="e">
        <f t="shared" si="139"/>
        <v>#DIV/0!</v>
      </c>
      <c r="L35" s="289">
        <f>11706.12+1693.35</f>
        <v>13399.470000000001</v>
      </c>
      <c r="M35" s="290" t="e">
        <f t="shared" si="140"/>
        <v>#DIV/0!</v>
      </c>
      <c r="N35" s="287">
        <f>22512.8+3436.21</f>
        <v>25949.01</v>
      </c>
      <c r="O35" s="288" t="e">
        <f t="shared" si="141"/>
        <v>#DIV/0!</v>
      </c>
      <c r="P35" s="289"/>
      <c r="Q35" s="290" t="e">
        <f t="shared" si="142"/>
        <v>#DIV/0!</v>
      </c>
      <c r="R35" s="287">
        <v>4109.32</v>
      </c>
      <c r="S35" s="288" t="e">
        <f t="shared" si="143"/>
        <v>#DIV/0!</v>
      </c>
      <c r="T35" s="287">
        <v>7303.35</v>
      </c>
      <c r="U35" s="288" t="e">
        <f t="shared" si="144"/>
        <v>#DIV/0!</v>
      </c>
      <c r="V35" s="289">
        <f>16838.99+1578.72</f>
        <v>18417.710000000003</v>
      </c>
      <c r="W35" s="290" t="e">
        <f t="shared" si="145"/>
        <v>#DIV/0!</v>
      </c>
      <c r="X35" s="287"/>
      <c r="Y35" s="313" t="e">
        <f t="shared" si="146"/>
        <v>#DIV/0!</v>
      </c>
      <c r="Z35" s="289">
        <v>9726.41</v>
      </c>
      <c r="AA35" s="363" t="e">
        <f t="shared" si="147"/>
        <v>#DIV/0!</v>
      </c>
      <c r="AB35" s="287"/>
      <c r="AC35" s="313" t="e">
        <f t="shared" si="148"/>
        <v>#DIV/0!</v>
      </c>
      <c r="AD35" s="289">
        <f>14913.72+(196.41+447.14+770.53+920.03+190.98+111.79+234.65+73.14)</f>
        <v>17858.39</v>
      </c>
      <c r="AE35" s="363" t="e">
        <f t="shared" si="149"/>
        <v>#DIV/0!</v>
      </c>
      <c r="AF35" s="323" t="e">
        <f t="shared" si="150"/>
        <v>#DIV/0!</v>
      </c>
      <c r="AG35" s="81">
        <v>0</v>
      </c>
      <c r="AH35" s="81"/>
      <c r="AI35" s="84">
        <v>0</v>
      </c>
      <c r="AJ35" s="85"/>
      <c r="AK35" s="84">
        <v>0</v>
      </c>
      <c r="AL35" s="81"/>
      <c r="AM35" s="84">
        <v>0</v>
      </c>
      <c r="AN35" s="85"/>
      <c r="AO35" s="84">
        <v>0</v>
      </c>
      <c r="AP35" s="81"/>
      <c r="AQ35" s="84">
        <v>0</v>
      </c>
      <c r="AR35" s="85"/>
      <c r="AS35" s="84">
        <v>0</v>
      </c>
      <c r="AT35" s="85"/>
      <c r="AU35" s="84">
        <v>0</v>
      </c>
      <c r="AV35" s="85"/>
      <c r="AW35" s="84">
        <v>0</v>
      </c>
      <c r="AX35" s="85"/>
      <c r="AY35" s="84">
        <v>0</v>
      </c>
      <c r="AZ35" s="85"/>
      <c r="BA35" s="84">
        <v>0</v>
      </c>
      <c r="BB35" s="85"/>
      <c r="BC35" s="84">
        <v>0</v>
      </c>
      <c r="BD35" s="81"/>
      <c r="BE35" s="214">
        <f t="shared" si="151"/>
        <v>125406.53</v>
      </c>
    </row>
    <row r="36" spans="1:58" x14ac:dyDescent="0.35">
      <c r="A36" s="149" t="s">
        <v>622</v>
      </c>
      <c r="B36" s="180"/>
      <c r="C36" s="83">
        <v>101895</v>
      </c>
      <c r="D36" s="107">
        <v>101895</v>
      </c>
      <c r="E36" s="304">
        <f>81847.05+21970.78-9317+8432.58-90.83+390.72</f>
        <v>103233.3</v>
      </c>
      <c r="F36" s="289">
        <v>1966</v>
      </c>
      <c r="G36" s="363">
        <f t="shared" si="137"/>
        <v>1.9044242507020505E-2</v>
      </c>
      <c r="H36" s="287"/>
      <c r="I36" s="313">
        <f t="shared" si="138"/>
        <v>0</v>
      </c>
      <c r="J36" s="287">
        <v>17548</v>
      </c>
      <c r="K36" s="288">
        <f t="shared" si="139"/>
        <v>0.1699839102305167</v>
      </c>
      <c r="L36" s="289">
        <v>7103</v>
      </c>
      <c r="M36" s="290">
        <f t="shared" si="140"/>
        <v>6.8805317663970827E-2</v>
      </c>
      <c r="N36" s="287">
        <v>18061</v>
      </c>
      <c r="O36" s="288">
        <f t="shared" si="141"/>
        <v>0.17495323698845236</v>
      </c>
      <c r="P36" s="289">
        <v>17626</v>
      </c>
      <c r="Q36" s="290">
        <f t="shared" si="142"/>
        <v>0.1707394803808461</v>
      </c>
      <c r="R36" s="287">
        <v>2913</v>
      </c>
      <c r="S36" s="288">
        <f t="shared" si="143"/>
        <v>2.8217639075763343E-2</v>
      </c>
      <c r="T36" s="287">
        <v>7313</v>
      </c>
      <c r="U36" s="288">
        <f t="shared" si="144"/>
        <v>7.0839544991780745E-2</v>
      </c>
      <c r="V36" s="289"/>
      <c r="W36" s="290">
        <f t="shared" si="145"/>
        <v>0</v>
      </c>
      <c r="X36" s="287">
        <v>8432</v>
      </c>
      <c r="Y36" s="313">
        <f t="shared" si="146"/>
        <v>8.1679070609967902E-2</v>
      </c>
      <c r="Z36" s="289"/>
      <c r="AA36" s="363">
        <f t="shared" si="147"/>
        <v>0</v>
      </c>
      <c r="AB36" s="287"/>
      <c r="AC36" s="313">
        <f t="shared" si="148"/>
        <v>0</v>
      </c>
      <c r="AD36" s="289">
        <v>20933</v>
      </c>
      <c r="AE36" s="363">
        <f t="shared" si="149"/>
        <v>0.20277371739545283</v>
      </c>
      <c r="AF36" s="323">
        <f t="shared" si="150"/>
        <v>0.98703615984377124</v>
      </c>
      <c r="AG36" s="81">
        <v>0</v>
      </c>
      <c r="AH36" s="81"/>
      <c r="AI36" s="84">
        <v>0</v>
      </c>
      <c r="AJ36" s="85"/>
      <c r="AK36" s="84">
        <v>0</v>
      </c>
      <c r="AL36" s="81"/>
      <c r="AM36" s="84">
        <v>0</v>
      </c>
      <c r="AN36" s="85"/>
      <c r="AO36" s="84">
        <v>0</v>
      </c>
      <c r="AP36" s="81"/>
      <c r="AQ36" s="84">
        <v>0</v>
      </c>
      <c r="AR36" s="85"/>
      <c r="AS36" s="230">
        <f>AT36</f>
        <v>7282.64</v>
      </c>
      <c r="AT36" s="231">
        <v>7282.64</v>
      </c>
      <c r="AU36" s="84">
        <v>0</v>
      </c>
      <c r="AV36" s="85"/>
      <c r="AW36" s="230">
        <f>AX36</f>
        <v>24152.58</v>
      </c>
      <c r="AX36" s="231">
        <v>24152.58</v>
      </c>
      <c r="AY36" s="230">
        <f>AZ36</f>
        <v>39847.65</v>
      </c>
      <c r="AZ36" s="231">
        <f>25176.9+14670.75</f>
        <v>39847.65</v>
      </c>
      <c r="BA36" s="230">
        <f>BB36</f>
        <v>18883.97</v>
      </c>
      <c r="BB36" s="231">
        <f>15475.81+3408.16</f>
        <v>18883.97</v>
      </c>
      <c r="BC36" s="230">
        <f>BD36</f>
        <v>4246.2799999999988</v>
      </c>
      <c r="BD36" s="195">
        <f>9762.22+3891.89-90.83-9317</f>
        <v>4246.2799999999988</v>
      </c>
      <c r="BE36" s="214">
        <f t="shared" si="151"/>
        <v>7481.8799999999974</v>
      </c>
      <c r="BF36"/>
    </row>
    <row r="37" spans="1:58" x14ac:dyDescent="0.35">
      <c r="A37" s="149" t="s">
        <v>637</v>
      </c>
      <c r="B37" s="180"/>
      <c r="C37" s="83">
        <v>124073</v>
      </c>
      <c r="D37" s="107">
        <f>90337.22+17468.41+2057.53</f>
        <v>109863.16</v>
      </c>
      <c r="E37" s="304">
        <f>D37</f>
        <v>109863.16</v>
      </c>
      <c r="F37" s="289">
        <v>1965.6</v>
      </c>
      <c r="G37" s="363">
        <f t="shared" si="137"/>
        <v>1.7891347745686542E-2</v>
      </c>
      <c r="H37" s="287">
        <v>9550.61</v>
      </c>
      <c r="I37" s="313">
        <f t="shared" si="138"/>
        <v>8.6931870519653731E-2</v>
      </c>
      <c r="J37" s="287">
        <v>18432.78</v>
      </c>
      <c r="K37" s="288">
        <f t="shared" si="139"/>
        <v>0.16777944490218558</v>
      </c>
      <c r="L37" s="289">
        <v>8586.67</v>
      </c>
      <c r="M37" s="290">
        <f t="shared" si="140"/>
        <v>7.8157864747382108E-2</v>
      </c>
      <c r="N37" s="287">
        <v>25482.19</v>
      </c>
      <c r="O37" s="288">
        <f t="shared" si="141"/>
        <v>0.23194481207349213</v>
      </c>
      <c r="P37" s="289"/>
      <c r="Q37" s="290">
        <f t="shared" si="142"/>
        <v>0</v>
      </c>
      <c r="R37" s="287">
        <v>4710.6499999999996</v>
      </c>
      <c r="S37" s="288">
        <f t="shared" si="143"/>
        <v>4.2877430432548998E-2</v>
      </c>
      <c r="T37" s="287">
        <v>10101.950000000001</v>
      </c>
      <c r="U37" s="288">
        <f t="shared" si="144"/>
        <v>9.1950295258210302E-2</v>
      </c>
      <c r="V37" s="289">
        <f>1185.79+17468.41</f>
        <v>18654.2</v>
      </c>
      <c r="W37" s="290">
        <f t="shared" si="145"/>
        <v>0.16979486117093301</v>
      </c>
      <c r="X37" s="287"/>
      <c r="Y37" s="313">
        <f t="shared" si="146"/>
        <v>0</v>
      </c>
      <c r="Z37" s="289">
        <v>10381.16</v>
      </c>
      <c r="AA37" s="363">
        <f t="shared" si="147"/>
        <v>9.4491729529716781E-2</v>
      </c>
      <c r="AB37" s="287"/>
      <c r="AC37" s="313">
        <f t="shared" si="148"/>
        <v>0</v>
      </c>
      <c r="AD37" s="289"/>
      <c r="AE37" s="363">
        <f t="shared" si="149"/>
        <v>0</v>
      </c>
      <c r="AF37" s="323">
        <f t="shared" si="150"/>
        <v>0.98181965637980917</v>
      </c>
      <c r="AG37" s="81">
        <v>0</v>
      </c>
      <c r="AH37" s="81"/>
      <c r="AI37" s="84">
        <v>0</v>
      </c>
      <c r="AJ37" s="85"/>
      <c r="AK37" s="84">
        <v>0</v>
      </c>
      <c r="AL37" s="81"/>
      <c r="AM37" s="84">
        <v>0</v>
      </c>
      <c r="AN37" s="85"/>
      <c r="AO37" s="84">
        <v>0</v>
      </c>
      <c r="AP37" s="81"/>
      <c r="AQ37" s="84">
        <v>0</v>
      </c>
      <c r="AR37" s="85"/>
      <c r="AS37" s="84">
        <v>0</v>
      </c>
      <c r="AT37" s="85"/>
      <c r="AU37" s="84">
        <v>0</v>
      </c>
      <c r="AV37" s="85"/>
      <c r="AW37" s="84">
        <v>0</v>
      </c>
      <c r="AX37" s="85"/>
      <c r="AY37" s="84">
        <v>0</v>
      </c>
      <c r="AZ37" s="85"/>
      <c r="BA37" s="84">
        <v>0</v>
      </c>
      <c r="BB37" s="85"/>
      <c r="BC37" s="230">
        <f>BD37</f>
        <v>30817.79</v>
      </c>
      <c r="BD37" s="195">
        <v>30817.79</v>
      </c>
      <c r="BE37" s="214">
        <f t="shared" si="151"/>
        <v>79045.37</v>
      </c>
      <c r="BF37" s="377" t="s">
        <v>722</v>
      </c>
    </row>
    <row r="38" spans="1:58" x14ac:dyDescent="0.35">
      <c r="A38" s="149" t="s">
        <v>623</v>
      </c>
      <c r="B38" s="180"/>
      <c r="C38" s="83">
        <v>160352.12</v>
      </c>
      <c r="D38" s="107">
        <f>E38</f>
        <v>160347.82999999999</v>
      </c>
      <c r="E38" s="304">
        <v>160347.82999999999</v>
      </c>
      <c r="F38" s="289">
        <v>1965.6</v>
      </c>
      <c r="G38" s="363">
        <f t="shared" si="137"/>
        <v>1.2258351110831995E-2</v>
      </c>
      <c r="H38" s="287"/>
      <c r="I38" s="313">
        <f t="shared" si="138"/>
        <v>0</v>
      </c>
      <c r="J38" s="287">
        <v>27479.29</v>
      </c>
      <c r="K38" s="288">
        <f t="shared" si="139"/>
        <v>0.17137300829078886</v>
      </c>
      <c r="L38" s="289">
        <f>9106.23+1919.72+3144.33</f>
        <v>14170.279999999999</v>
      </c>
      <c r="M38" s="290">
        <f t="shared" si="140"/>
        <v>8.8372134502849212E-2</v>
      </c>
      <c r="N38" s="287">
        <v>25322.39</v>
      </c>
      <c r="O38" s="288">
        <f t="shared" si="141"/>
        <v>0.1579216257557087</v>
      </c>
      <c r="P38" s="289">
        <v>35505.65</v>
      </c>
      <c r="Q38" s="290">
        <f t="shared" si="142"/>
        <v>0.22142893982413112</v>
      </c>
      <c r="R38" s="287">
        <v>5381.27</v>
      </c>
      <c r="S38" s="288">
        <f t="shared" si="143"/>
        <v>3.3559980200542787E-2</v>
      </c>
      <c r="T38" s="287">
        <v>9465.85</v>
      </c>
      <c r="U38" s="288">
        <f t="shared" si="144"/>
        <v>5.9033227952009083E-2</v>
      </c>
      <c r="V38" s="289">
        <f>20292.63+3349.48</f>
        <v>23642.11</v>
      </c>
      <c r="W38" s="290">
        <f t="shared" si="145"/>
        <v>0.14744265638019549</v>
      </c>
      <c r="X38" s="287"/>
      <c r="Y38" s="313">
        <f t="shared" si="146"/>
        <v>0</v>
      </c>
      <c r="Z38" s="289"/>
      <c r="AA38" s="363">
        <f t="shared" si="147"/>
        <v>0</v>
      </c>
      <c r="AB38" s="287"/>
      <c r="AC38" s="313">
        <f t="shared" si="148"/>
        <v>0</v>
      </c>
      <c r="AD38" s="289">
        <f>17427.76</f>
        <v>17427.759999999998</v>
      </c>
      <c r="AE38" s="363">
        <f t="shared" si="149"/>
        <v>0.10868722077498648</v>
      </c>
      <c r="AF38" s="323">
        <f t="shared" si="150"/>
        <v>1.0000771447920436</v>
      </c>
      <c r="AG38" s="81">
        <v>0</v>
      </c>
      <c r="AH38" s="81"/>
      <c r="AI38" s="84">
        <v>0</v>
      </c>
      <c r="AJ38" s="85"/>
      <c r="AK38" s="84">
        <v>0</v>
      </c>
      <c r="AL38" s="81"/>
      <c r="AM38" s="84">
        <v>0</v>
      </c>
      <c r="AN38" s="85"/>
      <c r="AO38" s="84">
        <v>0</v>
      </c>
      <c r="AP38" s="81"/>
      <c r="AQ38" s="230">
        <f>AR38</f>
        <v>10208.040000000001</v>
      </c>
      <c r="AR38" s="231">
        <v>10208.040000000001</v>
      </c>
      <c r="AS38" s="230">
        <f>AT38</f>
        <v>15339.14</v>
      </c>
      <c r="AT38" s="231">
        <v>15339.14</v>
      </c>
      <c r="AU38" s="230">
        <f>AV38</f>
        <v>31523.23</v>
      </c>
      <c r="AV38" s="231">
        <v>31523.23</v>
      </c>
      <c r="AW38" s="230">
        <f>AX38</f>
        <v>32694.16</v>
      </c>
      <c r="AX38" s="231">
        <v>32694.16</v>
      </c>
      <c r="AY38" s="230">
        <f>AZ38</f>
        <v>44443.360000000001</v>
      </c>
      <c r="AZ38" s="231">
        <v>44443.360000000001</v>
      </c>
      <c r="BA38" s="230">
        <f>BB38</f>
        <v>22888.71</v>
      </c>
      <c r="BB38" s="231">
        <v>22888.71</v>
      </c>
      <c r="BC38" s="230">
        <f t="shared" si="153"/>
        <v>3251.1899999999659</v>
      </c>
      <c r="BD38" s="195">
        <v>3251.19</v>
      </c>
      <c r="BE38" s="214">
        <f t="shared" si="151"/>
        <v>0</v>
      </c>
    </row>
    <row r="39" spans="1:58" x14ac:dyDescent="0.35">
      <c r="A39" s="149" t="s">
        <v>177</v>
      </c>
      <c r="B39" s="180"/>
      <c r="C39" s="83">
        <v>149852</v>
      </c>
      <c r="D39" s="142">
        <v>149852</v>
      </c>
      <c r="E39" s="304">
        <v>149852</v>
      </c>
      <c r="F39" s="289"/>
      <c r="G39" s="363">
        <f t="shared" si="25"/>
        <v>0</v>
      </c>
      <c r="H39" s="287"/>
      <c r="I39" s="313">
        <f t="shared" si="26"/>
        <v>0</v>
      </c>
      <c r="J39" s="287"/>
      <c r="K39" s="288">
        <f t="shared" si="45"/>
        <v>0</v>
      </c>
      <c r="L39" s="289"/>
      <c r="M39" s="290">
        <f t="shared" si="46"/>
        <v>0</v>
      </c>
      <c r="N39" s="287"/>
      <c r="O39" s="288">
        <f t="shared" si="47"/>
        <v>0</v>
      </c>
      <c r="P39" s="289"/>
      <c r="Q39" s="290">
        <f t="shared" si="48"/>
        <v>0</v>
      </c>
      <c r="R39" s="287"/>
      <c r="S39" s="288">
        <f t="shared" si="52"/>
        <v>0</v>
      </c>
      <c r="T39" s="287"/>
      <c r="U39" s="288">
        <f t="shared" si="49"/>
        <v>0</v>
      </c>
      <c r="V39" s="289"/>
      <c r="W39" s="290">
        <f t="shared" si="50"/>
        <v>0</v>
      </c>
      <c r="X39" s="287"/>
      <c r="Y39" s="313">
        <f t="shared" si="51"/>
        <v>0</v>
      </c>
      <c r="Z39" s="289"/>
      <c r="AA39" s="363">
        <f t="shared" si="34"/>
        <v>0</v>
      </c>
      <c r="AB39" s="287"/>
      <c r="AC39" s="313">
        <f t="shared" si="35"/>
        <v>0</v>
      </c>
      <c r="AD39" s="289">
        <v>16934</v>
      </c>
      <c r="AE39" s="363">
        <f t="shared" si="36"/>
        <v>0.11300483143368123</v>
      </c>
      <c r="AF39" s="323">
        <f t="shared" si="37"/>
        <v>0.11300483143368123</v>
      </c>
      <c r="AG39" s="81">
        <v>0</v>
      </c>
      <c r="AH39" s="81"/>
      <c r="AI39" s="84">
        <v>0</v>
      </c>
      <c r="AJ39" s="85"/>
      <c r="AK39" s="84">
        <v>0</v>
      </c>
      <c r="AL39" s="81"/>
      <c r="AM39" s="84">
        <v>0</v>
      </c>
      <c r="AN39" s="85"/>
      <c r="AO39" s="84">
        <v>0</v>
      </c>
      <c r="AP39" s="81"/>
      <c r="AQ39" s="84">
        <v>0</v>
      </c>
      <c r="AR39" s="85"/>
      <c r="AS39" s="84">
        <v>0</v>
      </c>
      <c r="AT39" s="85"/>
      <c r="AU39" s="84">
        <v>0</v>
      </c>
      <c r="AV39" s="85"/>
      <c r="AW39" s="84">
        <v>0</v>
      </c>
      <c r="AX39" s="85"/>
      <c r="AY39" s="84">
        <v>0</v>
      </c>
      <c r="AZ39" s="85"/>
      <c r="BA39" s="84">
        <v>0</v>
      </c>
      <c r="BB39" s="85"/>
      <c r="BC39" s="84">
        <v>0</v>
      </c>
      <c r="BD39" s="81"/>
      <c r="BE39" s="214">
        <f t="shared" si="44"/>
        <v>149852</v>
      </c>
    </row>
    <row r="40" spans="1:58" x14ac:dyDescent="0.35">
      <c r="A40" s="149" t="s">
        <v>712</v>
      </c>
      <c r="B40" s="180"/>
      <c r="C40" s="83">
        <v>257744.9</v>
      </c>
      <c r="D40" s="107">
        <f>10754.82+574.72+1446.22+202121+33422.86+267.52</f>
        <v>248587.13999999998</v>
      </c>
      <c r="E40" s="380">
        <f>10754.82+574.72+1446.22+202121+33422.86+267.52</f>
        <v>248587.13999999998</v>
      </c>
      <c r="F40" s="289">
        <v>1918.15</v>
      </c>
      <c r="G40" s="363">
        <f>F40/E40</f>
        <v>7.7162076847579492E-3</v>
      </c>
      <c r="H40" s="287"/>
      <c r="I40" s="313">
        <f>H40/E40</f>
        <v>0</v>
      </c>
      <c r="J40" s="287">
        <v>29137.119999999999</v>
      </c>
      <c r="K40" s="288">
        <f>J40/E40</f>
        <v>0.1172108903139559</v>
      </c>
      <c r="L40" s="289">
        <v>22205.74</v>
      </c>
      <c r="M40" s="290">
        <f>L40/E40</f>
        <v>8.9327790649186445E-2</v>
      </c>
      <c r="N40" s="287">
        <v>43948</v>
      </c>
      <c r="O40" s="288">
        <f>N40/E40</f>
        <v>0.17679112443226147</v>
      </c>
      <c r="P40" s="289">
        <v>40737.269999999997</v>
      </c>
      <c r="Q40" s="290">
        <f>P40/E40</f>
        <v>0.1638752109220131</v>
      </c>
      <c r="R40" s="287">
        <v>5853.9</v>
      </c>
      <c r="S40" s="288">
        <f>R40/E40</f>
        <v>2.3548683974561193E-2</v>
      </c>
      <c r="T40" s="287">
        <v>14876.63</v>
      </c>
      <c r="U40" s="288">
        <f>T40/E40</f>
        <v>5.984472889466446E-2</v>
      </c>
      <c r="V40" s="289">
        <v>40804</v>
      </c>
      <c r="W40" s="290">
        <f>V40/E40</f>
        <v>0.16414364797792838</v>
      </c>
      <c r="X40" s="287"/>
      <c r="Y40" s="313">
        <f>X40/E40</f>
        <v>0</v>
      </c>
      <c r="Z40" s="289">
        <v>14841.12</v>
      </c>
      <c r="AA40" s="363">
        <f>Z40/E40</f>
        <v>5.9701881601759453E-2</v>
      </c>
      <c r="AB40" s="287"/>
      <c r="AC40" s="313">
        <f>AB40/E40</f>
        <v>0</v>
      </c>
      <c r="AD40" s="289">
        <f>33422.86+10000</f>
        <v>43422.86</v>
      </c>
      <c r="AE40" s="363">
        <f>AD40/E40</f>
        <v>0.17467862577283766</v>
      </c>
      <c r="AF40" s="323">
        <f>K40+M40+O40+Q40+S40+U40+W40+Y40+AA40+AC40+G40+I40+AE40</f>
        <v>1.0368387922239259</v>
      </c>
      <c r="AG40" s="81">
        <v>0</v>
      </c>
      <c r="AH40" s="81"/>
      <c r="AI40" s="84">
        <v>0</v>
      </c>
      <c r="AJ40" s="85"/>
      <c r="AK40" s="84">
        <v>0</v>
      </c>
      <c r="AL40" s="81"/>
      <c r="AM40" s="84">
        <v>0</v>
      </c>
      <c r="AN40" s="85"/>
      <c r="AO40" s="230">
        <f>AP40</f>
        <v>29438.89</v>
      </c>
      <c r="AP40" s="195">
        <v>29438.89</v>
      </c>
      <c r="AQ40" s="230">
        <f>AR40</f>
        <v>37506.69</v>
      </c>
      <c r="AR40" s="231">
        <v>37506.69</v>
      </c>
      <c r="AS40" s="230">
        <f>AT40</f>
        <v>39867.85</v>
      </c>
      <c r="AT40" s="231">
        <f>25279.43+14588.42</f>
        <v>39867.85</v>
      </c>
      <c r="AU40" s="230">
        <f>AV40</f>
        <v>47111.939999999995</v>
      </c>
      <c r="AV40" s="231">
        <f>40998.06+6113.88</f>
        <v>47111.939999999995</v>
      </c>
      <c r="AW40" s="230">
        <f>AX40</f>
        <v>49308.19</v>
      </c>
      <c r="AX40" s="231">
        <v>49308.19</v>
      </c>
      <c r="AY40" s="230">
        <f>AZ40</f>
        <v>27520.239999999998</v>
      </c>
      <c r="AZ40" s="231">
        <f>15289.84+12230.4</f>
        <v>27520.239999999998</v>
      </c>
      <c r="BA40" s="230">
        <f>BB40</f>
        <v>4441.0200000000004</v>
      </c>
      <c r="BB40" s="231">
        <f>843.92+490.16+3106.94</f>
        <v>4441.0200000000004</v>
      </c>
      <c r="BC40" s="230">
        <f>BD40</f>
        <v>11103.86</v>
      </c>
      <c r="BD40" s="195">
        <f>3455.98+7647.88</f>
        <v>11103.86</v>
      </c>
      <c r="BE40" s="214">
        <f>D40-AG40-AI40-AK40-AM40-AO40-AQ40-AS40-AU40-AW40-AY40-BA40-BC40</f>
        <v>2288.4599999999882</v>
      </c>
    </row>
    <row r="41" spans="1:58" x14ac:dyDescent="0.35">
      <c r="A41" s="149" t="s">
        <v>619</v>
      </c>
      <c r="B41" s="180"/>
      <c r="C41" s="107">
        <f>D41</f>
        <v>29382.710000000017</v>
      </c>
      <c r="D41" s="107">
        <f>'2022-23'!AW55+319.56+717.55</f>
        <v>29382.710000000017</v>
      </c>
      <c r="E41" s="304">
        <f>D41</f>
        <v>29382.710000000017</v>
      </c>
      <c r="F41" s="289"/>
      <c r="G41" s="363">
        <f t="shared" si="25"/>
        <v>0</v>
      </c>
      <c r="H41" s="287"/>
      <c r="I41" s="313">
        <f t="shared" si="26"/>
        <v>0</v>
      </c>
      <c r="J41" s="287"/>
      <c r="K41" s="288">
        <f t="shared" ref="K41:K44" si="154">J41/E41</f>
        <v>0</v>
      </c>
      <c r="L41" s="289"/>
      <c r="M41" s="290">
        <f t="shared" ref="M41:M44" si="155">L41/E41</f>
        <v>0</v>
      </c>
      <c r="N41" s="287"/>
      <c r="O41" s="288">
        <f t="shared" ref="O41:O44" si="156">N41/E41</f>
        <v>0</v>
      </c>
      <c r="P41" s="289"/>
      <c r="Q41" s="290">
        <f t="shared" ref="Q41:Q44" si="157">P41/E41</f>
        <v>0</v>
      </c>
      <c r="R41" s="287"/>
      <c r="S41" s="288">
        <f t="shared" si="52"/>
        <v>0</v>
      </c>
      <c r="T41" s="287"/>
      <c r="U41" s="288">
        <f t="shared" ref="U41:U44" si="158">T41/E41</f>
        <v>0</v>
      </c>
      <c r="V41" s="289">
        <v>27543</v>
      </c>
      <c r="W41" s="290">
        <f t="shared" ref="W41:W44" si="159">V41/E41</f>
        <v>0.93738800811769862</v>
      </c>
      <c r="X41" s="287"/>
      <c r="Y41" s="313">
        <f t="shared" ref="Y41:Y44" si="160">X41/E41</f>
        <v>0</v>
      </c>
      <c r="Z41" s="289"/>
      <c r="AA41" s="363">
        <f t="shared" si="34"/>
        <v>0</v>
      </c>
      <c r="AB41" s="287"/>
      <c r="AC41" s="313">
        <f t="shared" si="35"/>
        <v>0</v>
      </c>
      <c r="AD41" s="289"/>
      <c r="AE41" s="363">
        <f t="shared" si="36"/>
        <v>0</v>
      </c>
      <c r="AF41" s="323">
        <f t="shared" si="37"/>
        <v>0.93738800811769862</v>
      </c>
      <c r="AG41" s="195">
        <v>10144.719999999999</v>
      </c>
      <c r="AH41" s="195">
        <v>10144.719999999999</v>
      </c>
      <c r="AI41" s="230">
        <v>6347.38</v>
      </c>
      <c r="AJ41" s="231">
        <v>6347.38</v>
      </c>
      <c r="AK41" s="230">
        <f>AL41</f>
        <v>4164.7299999999996</v>
      </c>
      <c r="AL41" s="195">
        <f>3515.91+648.82</f>
        <v>4164.7299999999996</v>
      </c>
      <c r="AM41" s="230">
        <f>AN41</f>
        <v>2883.81</v>
      </c>
      <c r="AN41" s="231">
        <v>2883.81</v>
      </c>
      <c r="AO41" s="230">
        <f>AP41</f>
        <v>2522.5</v>
      </c>
      <c r="AP41" s="195">
        <v>2522.5</v>
      </c>
      <c r="AQ41" s="230">
        <f t="shared" ref="AQ41" si="161">D41-AG41-AI41-AK41-AM41-AO41</f>
        <v>3319.5700000000197</v>
      </c>
      <c r="AR41" s="231">
        <f>2883.52+319.56+717.55</f>
        <v>3920.63</v>
      </c>
      <c r="AS41" s="84">
        <f t="shared" si="38"/>
        <v>0</v>
      </c>
      <c r="AT41" s="85"/>
      <c r="AU41" s="84">
        <f t="shared" si="39"/>
        <v>0</v>
      </c>
      <c r="AV41" s="85"/>
      <c r="AW41" s="84">
        <f t="shared" si="40"/>
        <v>0</v>
      </c>
      <c r="AX41" s="85"/>
      <c r="AY41" s="84">
        <f t="shared" si="41"/>
        <v>0</v>
      </c>
      <c r="AZ41" s="85"/>
      <c r="BA41" s="84">
        <f t="shared" si="42"/>
        <v>0</v>
      </c>
      <c r="BB41" s="85"/>
      <c r="BC41" s="84">
        <f t="shared" si="43"/>
        <v>0</v>
      </c>
      <c r="BD41" s="81"/>
      <c r="BE41" s="214">
        <f t="shared" si="44"/>
        <v>0</v>
      </c>
    </row>
    <row r="42" spans="1:58" x14ac:dyDescent="0.35">
      <c r="A42" s="149" t="s">
        <v>620</v>
      </c>
      <c r="B42" s="180"/>
      <c r="C42" s="83">
        <v>177569</v>
      </c>
      <c r="D42" s="107">
        <f>E42</f>
        <v>163553.04</v>
      </c>
      <c r="E42" s="304">
        <f>156803+6654.66-303.54+398.92</f>
        <v>163553.04</v>
      </c>
      <c r="F42" s="289">
        <v>1965.6</v>
      </c>
      <c r="G42" s="363">
        <f t="shared" si="25"/>
        <v>1.2018119626513819E-2</v>
      </c>
      <c r="H42" s="287"/>
      <c r="I42" s="313">
        <f t="shared" si="26"/>
        <v>0</v>
      </c>
      <c r="J42" s="287">
        <f>17878.24+33115.63</f>
        <v>50993.869999999995</v>
      </c>
      <c r="K42" s="288">
        <f t="shared" si="154"/>
        <v>0.31178796798885544</v>
      </c>
      <c r="L42" s="289">
        <v>16711.27</v>
      </c>
      <c r="M42" s="290">
        <f t="shared" si="155"/>
        <v>0.10217645602918783</v>
      </c>
      <c r="N42" s="287">
        <v>22733.599999999999</v>
      </c>
      <c r="O42" s="288">
        <f t="shared" si="156"/>
        <v>0.1389983335069773</v>
      </c>
      <c r="P42" s="289">
        <v>15555.63</v>
      </c>
      <c r="Q42" s="290">
        <f t="shared" si="157"/>
        <v>9.5110613657807874E-2</v>
      </c>
      <c r="R42" s="287">
        <v>10468.68</v>
      </c>
      <c r="S42" s="288">
        <f t="shared" si="52"/>
        <v>6.4007859468708128E-2</v>
      </c>
      <c r="T42" s="287">
        <v>17028</v>
      </c>
      <c r="U42" s="288">
        <f t="shared" si="158"/>
        <v>0.10411301434690544</v>
      </c>
      <c r="V42" s="289">
        <v>28515</v>
      </c>
      <c r="W42" s="290">
        <f t="shared" si="159"/>
        <v>0.17434711088219454</v>
      </c>
      <c r="X42" s="287"/>
      <c r="Y42" s="313">
        <f t="shared" si="160"/>
        <v>0</v>
      </c>
      <c r="Z42" s="289">
        <f>13900.44-303.54</f>
        <v>13596.9</v>
      </c>
      <c r="AA42" s="363">
        <f t="shared" si="34"/>
        <v>8.3134498753431901E-2</v>
      </c>
      <c r="AB42" s="287"/>
      <c r="AC42" s="313">
        <f t="shared" si="35"/>
        <v>0</v>
      </c>
      <c r="AD42" s="289"/>
      <c r="AE42" s="363">
        <f t="shared" si="36"/>
        <v>0</v>
      </c>
      <c r="AF42" s="323">
        <f t="shared" si="37"/>
        <v>1.0856939742605822</v>
      </c>
      <c r="AG42" s="195">
        <v>10614.31</v>
      </c>
      <c r="AH42" s="195">
        <v>10614.31</v>
      </c>
      <c r="AI42" s="230">
        <v>52807.26</v>
      </c>
      <c r="AJ42" s="231">
        <v>52807.26</v>
      </c>
      <c r="AK42" s="230">
        <f>AL42</f>
        <v>48318.63</v>
      </c>
      <c r="AL42" s="195">
        <v>48318.63</v>
      </c>
      <c r="AM42" s="230">
        <f>AN42</f>
        <v>12037.65</v>
      </c>
      <c r="AN42" s="231">
        <v>12037.65</v>
      </c>
      <c r="AO42" s="230">
        <f>AP42</f>
        <v>8740.07</v>
      </c>
      <c r="AP42" s="195">
        <v>8740.07</v>
      </c>
      <c r="AQ42" s="230">
        <v>12427</v>
      </c>
      <c r="AR42" s="231">
        <v>12427.14</v>
      </c>
      <c r="AS42" s="230">
        <f>AT42</f>
        <v>12761.619999999999</v>
      </c>
      <c r="AT42" s="231">
        <f>6710.26+6051.36</f>
        <v>12761.619999999999</v>
      </c>
      <c r="AU42" s="84">
        <v>0</v>
      </c>
      <c r="AV42" s="85"/>
      <c r="AW42" s="84">
        <v>0</v>
      </c>
      <c r="AX42" s="85"/>
      <c r="AY42" s="84">
        <v>0</v>
      </c>
      <c r="AZ42" s="85"/>
      <c r="BA42" s="84">
        <v>0</v>
      </c>
      <c r="BB42" s="85"/>
      <c r="BC42" s="230">
        <f>BD42</f>
        <v>5846.85</v>
      </c>
      <c r="BD42" s="195">
        <f>5148.17+603.3-303.54+398.92</f>
        <v>5846.85</v>
      </c>
      <c r="BE42" s="214">
        <f t="shared" si="44"/>
        <v>-0.34999999999672582</v>
      </c>
    </row>
    <row r="43" spans="1:58" x14ac:dyDescent="0.35">
      <c r="A43" s="149" t="s">
        <v>633</v>
      </c>
      <c r="B43" s="180"/>
      <c r="C43" s="83">
        <v>160722.22</v>
      </c>
      <c r="D43" s="107">
        <f>E43</f>
        <v>186643.61000000002</v>
      </c>
      <c r="E43" s="304">
        <f>160722.22+21383.17+2022.12+1370.72+125+1020.38</f>
        <v>186643.61000000002</v>
      </c>
      <c r="F43" s="289">
        <v>1965.6</v>
      </c>
      <c r="G43" s="363">
        <f t="shared" si="25"/>
        <v>1.0531300803708199E-2</v>
      </c>
      <c r="H43" s="287"/>
      <c r="I43" s="313">
        <f t="shared" si="26"/>
        <v>0</v>
      </c>
      <c r="J43" s="287">
        <f>14303.11+14228.09+2138.49</f>
        <v>30669.690000000002</v>
      </c>
      <c r="K43" s="288">
        <f t="shared" si="154"/>
        <v>0.16432220744122983</v>
      </c>
      <c r="L43" s="289">
        <v>11589</v>
      </c>
      <c r="M43" s="290">
        <f t="shared" si="155"/>
        <v>6.2091597992559186E-2</v>
      </c>
      <c r="N43" s="287">
        <f>28313.15+2022.12</f>
        <v>30335.27</v>
      </c>
      <c r="O43" s="288">
        <f t="shared" si="156"/>
        <v>0.16253045041295547</v>
      </c>
      <c r="P43" s="289">
        <f>22911.33+1370.72</f>
        <v>24282.050000000003</v>
      </c>
      <c r="Q43" s="290">
        <f t="shared" si="157"/>
        <v>0.13009848019977754</v>
      </c>
      <c r="R43" s="287">
        <v>9722</v>
      </c>
      <c r="S43" s="288">
        <f t="shared" si="52"/>
        <v>5.2088576726521736E-2</v>
      </c>
      <c r="T43" s="287">
        <f>14407.12</f>
        <v>14407.12</v>
      </c>
      <c r="U43" s="288">
        <f t="shared" si="158"/>
        <v>7.7190534409401962E-2</v>
      </c>
      <c r="V43" s="289">
        <f>18603.73+3320.48+125</f>
        <v>22049.21</v>
      </c>
      <c r="W43" s="290">
        <f t="shared" si="159"/>
        <v>0.11813535968362376</v>
      </c>
      <c r="X43" s="287">
        <f>10133.01+1020.38</f>
        <v>11153.39</v>
      </c>
      <c r="Y43" s="313">
        <f t="shared" si="160"/>
        <v>5.9757684712592081E-2</v>
      </c>
      <c r="Z43" s="289">
        <v>9086.4500000000007</v>
      </c>
      <c r="AA43" s="363">
        <f t="shared" si="34"/>
        <v>4.8683423986494903E-2</v>
      </c>
      <c r="AB43" s="287"/>
      <c r="AC43" s="313">
        <f t="shared" si="35"/>
        <v>0</v>
      </c>
      <c r="AD43" s="289">
        <f>21383.17</f>
        <v>21383.17</v>
      </c>
      <c r="AE43" s="363">
        <f t="shared" si="36"/>
        <v>0.11456684748007176</v>
      </c>
      <c r="AF43" s="323">
        <f t="shared" si="37"/>
        <v>0.99999646384893659</v>
      </c>
      <c r="AG43" s="81">
        <v>0</v>
      </c>
      <c r="AH43" s="81"/>
      <c r="AI43" s="230">
        <v>20036.75</v>
      </c>
      <c r="AJ43" s="231">
        <v>20036.75</v>
      </c>
      <c r="AK43" s="230">
        <f>AL43</f>
        <v>5059.42</v>
      </c>
      <c r="AL43" s="195">
        <v>5059.42</v>
      </c>
      <c r="AM43" s="230">
        <f>AN43</f>
        <v>30607.87</v>
      </c>
      <c r="AN43" s="231">
        <v>30607.87</v>
      </c>
      <c r="AO43" s="230">
        <f>AP43</f>
        <v>61108.44</v>
      </c>
      <c r="AP43" s="195">
        <f>53184.48+7923.96</f>
        <v>61108.44</v>
      </c>
      <c r="AQ43" s="230">
        <v>33760</v>
      </c>
      <c r="AR43" s="231">
        <f>12325.21+21434.91</f>
        <v>33760.119999999995</v>
      </c>
      <c r="AS43" s="230">
        <f>AT43</f>
        <v>28462.05</v>
      </c>
      <c r="AT43" s="231">
        <v>28462.05</v>
      </c>
      <c r="AU43" s="230">
        <f>AV43</f>
        <v>4997.55</v>
      </c>
      <c r="AV43" s="231">
        <f>1604.71+2022.12+1370.72</f>
        <v>4997.55</v>
      </c>
      <c r="AW43" s="84">
        <v>0</v>
      </c>
      <c r="AX43" s="85"/>
      <c r="AY43" s="230">
        <f>AZ43</f>
        <v>2611.4299999999998</v>
      </c>
      <c r="AZ43" s="231">
        <f>332.05+1134+1020.38+125</f>
        <v>2611.4299999999998</v>
      </c>
      <c r="BA43" s="84">
        <f t="shared" si="42"/>
        <v>0.10000000000536602</v>
      </c>
      <c r="BB43" s="85"/>
      <c r="BC43" s="84">
        <f t="shared" si="43"/>
        <v>0</v>
      </c>
      <c r="BD43" s="81"/>
      <c r="BE43" s="214">
        <f t="shared" si="44"/>
        <v>0</v>
      </c>
    </row>
    <row r="44" spans="1:58" x14ac:dyDescent="0.35">
      <c r="A44" s="149" t="s">
        <v>218</v>
      </c>
      <c r="B44" s="180"/>
      <c r="C44" s="83">
        <v>137336</v>
      </c>
      <c r="D44" s="107">
        <f>E44</f>
        <v>155406.38</v>
      </c>
      <c r="E44" s="304">
        <f>137336+18070.38</f>
        <v>155406.38</v>
      </c>
      <c r="F44" s="289">
        <v>1488</v>
      </c>
      <c r="G44" s="363">
        <f t="shared" si="25"/>
        <v>9.5748964746492395E-3</v>
      </c>
      <c r="H44" s="287"/>
      <c r="I44" s="313">
        <f t="shared" si="26"/>
        <v>0</v>
      </c>
      <c r="J44" s="287">
        <v>31892.63</v>
      </c>
      <c r="K44" s="288">
        <f t="shared" si="154"/>
        <v>0.2052208538671321</v>
      </c>
      <c r="L44" s="289">
        <v>15555.01</v>
      </c>
      <c r="M44" s="290">
        <f t="shared" si="155"/>
        <v>0.10009248011568123</v>
      </c>
      <c r="N44" s="287">
        <v>30072.3</v>
      </c>
      <c r="O44" s="288">
        <f t="shared" si="156"/>
        <v>0.1935074994990553</v>
      </c>
      <c r="P44" s="289"/>
      <c r="Q44" s="290">
        <f t="shared" si="157"/>
        <v>0</v>
      </c>
      <c r="R44" s="287">
        <v>8012.46</v>
      </c>
      <c r="S44" s="288">
        <f t="shared" si="52"/>
        <v>5.1558114924239271E-2</v>
      </c>
      <c r="T44" s="287">
        <v>10401.67</v>
      </c>
      <c r="U44" s="288">
        <f t="shared" si="158"/>
        <v>6.6932065466038138E-2</v>
      </c>
      <c r="V44" s="289">
        <f>3353.68+23116.03</f>
        <v>26469.71</v>
      </c>
      <c r="W44" s="290">
        <f t="shared" si="159"/>
        <v>0.17032576140052935</v>
      </c>
      <c r="X44" s="287"/>
      <c r="Y44" s="313">
        <f t="shared" si="160"/>
        <v>0</v>
      </c>
      <c r="Z44" s="289">
        <v>13444.58</v>
      </c>
      <c r="AA44" s="363">
        <f t="shared" si="34"/>
        <v>8.6512407019583099E-2</v>
      </c>
      <c r="AB44" s="287"/>
      <c r="AC44" s="313">
        <f t="shared" si="35"/>
        <v>0</v>
      </c>
      <c r="AD44" s="289">
        <v>20000</v>
      </c>
      <c r="AE44" s="363">
        <f t="shared" si="36"/>
        <v>0.12869484508937148</v>
      </c>
      <c r="AF44" s="323">
        <f t="shared" si="37"/>
        <v>1.0124189238562793</v>
      </c>
      <c r="AG44" s="81">
        <v>0</v>
      </c>
      <c r="AH44" s="81"/>
      <c r="AI44" s="84">
        <v>0</v>
      </c>
      <c r="AJ44" s="85"/>
      <c r="AK44" s="230">
        <f>AL44</f>
        <v>20474.2</v>
      </c>
      <c r="AL44" s="195">
        <v>20474.2</v>
      </c>
      <c r="AM44" s="230">
        <f>AN44</f>
        <v>38252.36</v>
      </c>
      <c r="AN44" s="231">
        <v>38252.36</v>
      </c>
      <c r="AO44" s="230">
        <f>AP44</f>
        <v>22922.080000000002</v>
      </c>
      <c r="AP44" s="195">
        <v>22922.080000000002</v>
      </c>
      <c r="AQ44" s="230">
        <v>14494</v>
      </c>
      <c r="AR44" s="231">
        <v>14494.16</v>
      </c>
      <c r="AS44" s="230">
        <f>AT44</f>
        <v>19069.669999999998</v>
      </c>
      <c r="AT44" s="231">
        <v>19069.669999999998</v>
      </c>
      <c r="AU44" s="230">
        <f>AV44</f>
        <v>19577.009999999998</v>
      </c>
      <c r="AV44" s="231">
        <v>19577.009999999998</v>
      </c>
      <c r="AW44" s="230">
        <f>AX44</f>
        <v>18070.38</v>
      </c>
      <c r="AX44" s="231">
        <f>18070.38</f>
        <v>18070.38</v>
      </c>
      <c r="AY44" s="230">
        <f t="shared" si="41"/>
        <v>2546.679999999993</v>
      </c>
      <c r="AZ44" s="231">
        <f>2546.88</f>
        <v>2546.88</v>
      </c>
      <c r="BA44" s="84">
        <f t="shared" si="42"/>
        <v>0</v>
      </c>
      <c r="BB44" s="85"/>
      <c r="BC44" s="84">
        <f t="shared" si="43"/>
        <v>0</v>
      </c>
      <c r="BD44" s="81"/>
      <c r="BE44" s="214">
        <f t="shared" si="44"/>
        <v>0</v>
      </c>
    </row>
    <row r="45" spans="1:58" x14ac:dyDescent="0.35">
      <c r="A45" s="149" t="s">
        <v>418</v>
      </c>
      <c r="B45" s="180"/>
      <c r="C45" s="83">
        <v>972.88</v>
      </c>
      <c r="D45" s="107">
        <v>972.88</v>
      </c>
      <c r="E45" s="304">
        <v>972.88</v>
      </c>
      <c r="F45" s="289"/>
      <c r="G45" s="363">
        <f t="shared" si="25"/>
        <v>0</v>
      </c>
      <c r="H45" s="287"/>
      <c r="I45" s="313">
        <f t="shared" si="26"/>
        <v>0</v>
      </c>
      <c r="J45" s="287"/>
      <c r="K45" s="288">
        <f t="shared" si="27"/>
        <v>0</v>
      </c>
      <c r="L45" s="289"/>
      <c r="M45" s="290">
        <f t="shared" si="28"/>
        <v>0</v>
      </c>
      <c r="N45" s="287">
        <v>972.88</v>
      </c>
      <c r="O45" s="288">
        <f t="shared" si="29"/>
        <v>1</v>
      </c>
      <c r="P45" s="289"/>
      <c r="Q45" s="290">
        <f t="shared" si="30"/>
        <v>0</v>
      </c>
      <c r="R45" s="287"/>
      <c r="S45" s="288">
        <f t="shared" si="52"/>
        <v>0</v>
      </c>
      <c r="T45" s="287"/>
      <c r="U45" s="288">
        <f t="shared" si="31"/>
        <v>0</v>
      </c>
      <c r="V45" s="289"/>
      <c r="W45" s="290">
        <f t="shared" si="32"/>
        <v>0</v>
      </c>
      <c r="X45" s="287"/>
      <c r="Y45" s="313">
        <f t="shared" si="33"/>
        <v>0</v>
      </c>
      <c r="Z45" s="289"/>
      <c r="AA45" s="363">
        <f t="shared" si="34"/>
        <v>0</v>
      </c>
      <c r="AB45" s="287"/>
      <c r="AC45" s="313">
        <f t="shared" si="35"/>
        <v>0</v>
      </c>
      <c r="AD45" s="289"/>
      <c r="AE45" s="363">
        <f t="shared" si="36"/>
        <v>0</v>
      </c>
      <c r="AF45" s="323">
        <f t="shared" si="37"/>
        <v>1</v>
      </c>
      <c r="AG45" s="81">
        <v>0</v>
      </c>
      <c r="AH45" s="81"/>
      <c r="AI45" s="84">
        <v>0</v>
      </c>
      <c r="AJ45" s="85"/>
      <c r="AK45" s="84">
        <v>0</v>
      </c>
      <c r="AL45" s="81"/>
      <c r="AM45" s="84">
        <v>0</v>
      </c>
      <c r="AN45" s="85"/>
      <c r="AO45" s="84">
        <v>0</v>
      </c>
      <c r="AP45" s="81"/>
      <c r="AQ45" s="230">
        <v>972.88</v>
      </c>
      <c r="AR45" s="231">
        <v>972.88</v>
      </c>
      <c r="AS45" s="84">
        <v>0</v>
      </c>
      <c r="AT45" s="85"/>
      <c r="AU45" s="84">
        <v>0</v>
      </c>
      <c r="AV45" s="85"/>
      <c r="AW45" s="84">
        <f t="shared" ref="AW45:AW111" si="162">D45-AG45-AI45-AK45-AM45-AO45-AQ45-AS45-AU45</f>
        <v>0</v>
      </c>
      <c r="AX45" s="85"/>
      <c r="AY45" s="84">
        <f t="shared" ref="AY45:AY111" si="163">D45-AG45-AI45-AK45-AM45-AO45-AQ45-AS45-AU45-AW45</f>
        <v>0</v>
      </c>
      <c r="AZ45" s="85"/>
      <c r="BA45" s="84">
        <f t="shared" si="42"/>
        <v>0</v>
      </c>
      <c r="BB45" s="85"/>
      <c r="BC45" s="84">
        <f t="shared" si="43"/>
        <v>0</v>
      </c>
      <c r="BD45" s="81"/>
      <c r="BE45" s="214">
        <f t="shared" si="44"/>
        <v>0</v>
      </c>
    </row>
    <row r="46" spans="1:58" ht="13.9" x14ac:dyDescent="0.4">
      <c r="A46" s="368" t="s">
        <v>670</v>
      </c>
      <c r="B46" s="369"/>
      <c r="C46" s="370"/>
      <c r="D46" s="371"/>
      <c r="E46" s="304"/>
      <c r="F46" s="289"/>
      <c r="G46" s="363" t="e">
        <f t="shared" ref="G46:G58" si="164">F46/E46</f>
        <v>#DIV/0!</v>
      </c>
      <c r="H46" s="287"/>
      <c r="I46" s="313" t="e">
        <f t="shared" ref="I46:I58" si="165">H46/E46</f>
        <v>#DIV/0!</v>
      </c>
      <c r="J46" s="287"/>
      <c r="K46" s="288" t="e">
        <f t="shared" si="27"/>
        <v>#DIV/0!</v>
      </c>
      <c r="L46" s="289"/>
      <c r="M46" s="290" t="e">
        <f t="shared" si="28"/>
        <v>#DIV/0!</v>
      </c>
      <c r="N46" s="287"/>
      <c r="O46" s="288"/>
      <c r="P46" s="289"/>
      <c r="Q46" s="290"/>
      <c r="R46" s="287"/>
      <c r="S46" s="288"/>
      <c r="T46" s="287"/>
      <c r="U46" s="288"/>
      <c r="V46" s="289"/>
      <c r="W46" s="290"/>
      <c r="X46" s="287"/>
      <c r="Y46" s="313"/>
      <c r="Z46" s="289"/>
      <c r="AA46" s="363"/>
      <c r="AB46" s="287"/>
      <c r="AC46" s="313"/>
      <c r="AD46" s="289"/>
      <c r="AE46" s="363"/>
      <c r="AF46" s="323"/>
      <c r="AG46" s="81">
        <v>0</v>
      </c>
      <c r="AH46" s="81"/>
      <c r="AI46" s="84">
        <f t="shared" ref="AI46:AI49" si="166">D46-AG46</f>
        <v>0</v>
      </c>
      <c r="AJ46" s="85"/>
      <c r="AK46" s="84">
        <f>D46-AG46-AI46</f>
        <v>0</v>
      </c>
      <c r="AL46" s="81"/>
      <c r="AM46" s="84">
        <f>D46-AG46-AI46-AK46</f>
        <v>0</v>
      </c>
      <c r="AN46" s="85"/>
      <c r="AO46" s="84">
        <f>D46-AG46-AI46-AK46-AM46</f>
        <v>0</v>
      </c>
      <c r="AP46" s="81"/>
      <c r="AQ46" s="84">
        <f>D46-AG46-AI46-AK46-AM46-AO46</f>
        <v>0</v>
      </c>
      <c r="AR46" s="85"/>
      <c r="AS46" s="84">
        <f t="shared" ref="AS46:AS111" si="167">D46-AG46-AI46-AK46-AM46-AO46-AQ46</f>
        <v>0</v>
      </c>
      <c r="AT46" s="85"/>
      <c r="AU46" s="84">
        <f t="shared" ref="AU46:AU111" si="168">D46-AG46-AI46-AK46-AM46-AO46-AQ46-AS46</f>
        <v>0</v>
      </c>
      <c r="AV46" s="85"/>
      <c r="AW46" s="84">
        <f t="shared" si="162"/>
        <v>0</v>
      </c>
      <c r="AX46" s="85"/>
      <c r="AY46" s="84">
        <f t="shared" si="163"/>
        <v>0</v>
      </c>
      <c r="AZ46" s="85"/>
      <c r="BA46" s="84">
        <f t="shared" ref="BA46:BA49" si="169">D46-AG46-AI46-AK46-AM46-AO46-AQ46-AS46-AU46-AW46-AY46</f>
        <v>0</v>
      </c>
      <c r="BB46" s="85"/>
      <c r="BC46" s="84">
        <f t="shared" ref="BC46:BC55" si="170">D46-AG46-AI46-AK46-AM46-AO46-AQ46-AS46-AU46-AW46-AY46-BA46</f>
        <v>0</v>
      </c>
      <c r="BD46" s="81"/>
      <c r="BE46" s="214">
        <f t="shared" ref="BE46:BE58" si="171">D46-AG46-AI46-AK46-AM46-AO46-AQ46-AS46-AU46-AW46-AY46-BA46-BC46</f>
        <v>0</v>
      </c>
    </row>
    <row r="47" spans="1:58" x14ac:dyDescent="0.35">
      <c r="A47" s="159"/>
      <c r="B47" s="180"/>
      <c r="C47" s="83"/>
      <c r="D47" s="142"/>
      <c r="E47" s="304"/>
      <c r="F47" s="289"/>
      <c r="G47" s="363" t="e">
        <f t="shared" si="164"/>
        <v>#DIV/0!</v>
      </c>
      <c r="H47" s="287"/>
      <c r="I47" s="313" t="e">
        <f t="shared" si="165"/>
        <v>#DIV/0!</v>
      </c>
      <c r="J47" s="287"/>
      <c r="K47" s="288" t="e">
        <f t="shared" si="27"/>
        <v>#DIV/0!</v>
      </c>
      <c r="L47" s="289"/>
      <c r="M47" s="290" t="e">
        <f t="shared" si="28"/>
        <v>#DIV/0!</v>
      </c>
      <c r="N47" s="287"/>
      <c r="O47" s="288" t="e">
        <f t="shared" si="29"/>
        <v>#DIV/0!</v>
      </c>
      <c r="P47" s="289"/>
      <c r="Q47" s="290" t="e">
        <f t="shared" si="30"/>
        <v>#DIV/0!</v>
      </c>
      <c r="R47" s="287"/>
      <c r="S47" s="288" t="e">
        <f t="shared" ref="S47:S58" si="172">R47/E47</f>
        <v>#DIV/0!</v>
      </c>
      <c r="T47" s="287"/>
      <c r="U47" s="288" t="e">
        <f t="shared" si="31"/>
        <v>#DIV/0!</v>
      </c>
      <c r="V47" s="289"/>
      <c r="W47" s="290" t="e">
        <f t="shared" si="32"/>
        <v>#DIV/0!</v>
      </c>
      <c r="X47" s="287"/>
      <c r="Y47" s="313" t="e">
        <f t="shared" si="33"/>
        <v>#DIV/0!</v>
      </c>
      <c r="Z47" s="289"/>
      <c r="AA47" s="363" t="e">
        <f t="shared" ref="AA47:AA58" si="173">Z47/E47</f>
        <v>#DIV/0!</v>
      </c>
      <c r="AB47" s="287"/>
      <c r="AC47" s="313" t="e">
        <f t="shared" ref="AC47:AC58" si="174">AB47/E47</f>
        <v>#DIV/0!</v>
      </c>
      <c r="AD47" s="289"/>
      <c r="AE47" s="363" t="e">
        <f t="shared" ref="AE47:AE58" si="175">AD47/E47</f>
        <v>#DIV/0!</v>
      </c>
      <c r="AF47" s="323" t="e">
        <f t="shared" ref="AF47:AF58" si="176">K47+M47+O47+Q47+S47+U47+W47+Y47+AA47+AC47+G47+I47+AE47</f>
        <v>#DIV/0!</v>
      </c>
      <c r="AG47" s="81">
        <v>0</v>
      </c>
      <c r="AH47" s="81"/>
      <c r="AI47" s="84">
        <f t="shared" si="166"/>
        <v>0</v>
      </c>
      <c r="AJ47" s="85"/>
      <c r="AK47" s="84">
        <f t="shared" ref="AK47:AK49" si="177">D47-AG47-AI47</f>
        <v>0</v>
      </c>
      <c r="AL47" s="81"/>
      <c r="AM47" s="84">
        <f t="shared" ref="AM47:AM49" si="178">D47-AG47-AI47-AK47</f>
        <v>0</v>
      </c>
      <c r="AN47" s="85"/>
      <c r="AO47" s="84">
        <f t="shared" ref="AO47:AO49" si="179">D47-AG47-AI47-AK47-AM47</f>
        <v>0</v>
      </c>
      <c r="AP47" s="81"/>
      <c r="AQ47" s="84">
        <f t="shared" ref="AQ47:AQ49" si="180">D47-AG47-AI47-AK47-AM47-AO47</f>
        <v>0</v>
      </c>
      <c r="AR47" s="85"/>
      <c r="AS47" s="84">
        <f t="shared" ref="AS47:AS49" si="181">D47-AG47-AI47-AK47-AM47-AO47-AQ47</f>
        <v>0</v>
      </c>
      <c r="AT47" s="85"/>
      <c r="AU47" s="84">
        <f t="shared" ref="AU47:AU49" si="182">D47-AG47-AI47-AK47-AM47-AO47-AQ47-AS47</f>
        <v>0</v>
      </c>
      <c r="AV47" s="85"/>
      <c r="AW47" s="84">
        <f t="shared" ref="AW47:AW49" si="183">D47-AG47-AI47-AK47-AM47-AO47-AQ47-AS47-AU47</f>
        <v>0</v>
      </c>
      <c r="AX47" s="85"/>
      <c r="AY47" s="84">
        <f t="shared" ref="AY47:AY49" si="184">D47-AG47-AI47-AK47-AM47-AO47-AQ47-AS47-AU47-AW47</f>
        <v>0</v>
      </c>
      <c r="AZ47" s="85"/>
      <c r="BA47" s="84">
        <f t="shared" si="169"/>
        <v>0</v>
      </c>
      <c r="BB47" s="85"/>
      <c r="BC47" s="84">
        <f t="shared" si="170"/>
        <v>0</v>
      </c>
      <c r="BD47" s="81"/>
      <c r="BE47" s="214">
        <f t="shared" si="171"/>
        <v>0</v>
      </c>
    </row>
    <row r="48" spans="1:58" x14ac:dyDescent="0.35">
      <c r="A48" s="159"/>
      <c r="B48" s="180"/>
      <c r="C48" s="83"/>
      <c r="D48" s="142"/>
      <c r="E48" s="304"/>
      <c r="F48" s="289"/>
      <c r="G48" s="363" t="e">
        <f t="shared" si="164"/>
        <v>#DIV/0!</v>
      </c>
      <c r="H48" s="287"/>
      <c r="I48" s="313" t="e">
        <f t="shared" si="165"/>
        <v>#DIV/0!</v>
      </c>
      <c r="J48" s="287"/>
      <c r="K48" s="288" t="e">
        <f t="shared" si="27"/>
        <v>#DIV/0!</v>
      </c>
      <c r="L48" s="289"/>
      <c r="M48" s="290" t="e">
        <f t="shared" si="28"/>
        <v>#DIV/0!</v>
      </c>
      <c r="N48" s="287"/>
      <c r="O48" s="288" t="e">
        <f t="shared" si="29"/>
        <v>#DIV/0!</v>
      </c>
      <c r="P48" s="289"/>
      <c r="Q48" s="290" t="e">
        <f t="shared" si="30"/>
        <v>#DIV/0!</v>
      </c>
      <c r="R48" s="287"/>
      <c r="S48" s="288" t="e">
        <f t="shared" si="172"/>
        <v>#DIV/0!</v>
      </c>
      <c r="T48" s="287"/>
      <c r="U48" s="288" t="e">
        <f t="shared" si="31"/>
        <v>#DIV/0!</v>
      </c>
      <c r="V48" s="289"/>
      <c r="W48" s="290" t="e">
        <f t="shared" si="32"/>
        <v>#DIV/0!</v>
      </c>
      <c r="X48" s="287"/>
      <c r="Y48" s="313" t="e">
        <f t="shared" si="33"/>
        <v>#DIV/0!</v>
      </c>
      <c r="Z48" s="289"/>
      <c r="AA48" s="363" t="e">
        <f t="shared" si="173"/>
        <v>#DIV/0!</v>
      </c>
      <c r="AB48" s="287"/>
      <c r="AC48" s="313" t="e">
        <f t="shared" si="174"/>
        <v>#DIV/0!</v>
      </c>
      <c r="AD48" s="289"/>
      <c r="AE48" s="363" t="e">
        <f t="shared" si="175"/>
        <v>#DIV/0!</v>
      </c>
      <c r="AF48" s="323" t="e">
        <f t="shared" si="176"/>
        <v>#DIV/0!</v>
      </c>
      <c r="AG48" s="81">
        <v>0</v>
      </c>
      <c r="AH48" s="81"/>
      <c r="AI48" s="84">
        <f t="shared" si="166"/>
        <v>0</v>
      </c>
      <c r="AJ48" s="85"/>
      <c r="AK48" s="84">
        <f t="shared" si="177"/>
        <v>0</v>
      </c>
      <c r="AL48" s="81"/>
      <c r="AM48" s="84">
        <f t="shared" si="178"/>
        <v>0</v>
      </c>
      <c r="AN48" s="85"/>
      <c r="AO48" s="84">
        <f t="shared" si="179"/>
        <v>0</v>
      </c>
      <c r="AP48" s="81"/>
      <c r="AQ48" s="84">
        <f t="shared" si="180"/>
        <v>0</v>
      </c>
      <c r="AR48" s="85"/>
      <c r="AS48" s="84">
        <f t="shared" si="181"/>
        <v>0</v>
      </c>
      <c r="AT48" s="85"/>
      <c r="AU48" s="84">
        <f t="shared" si="182"/>
        <v>0</v>
      </c>
      <c r="AV48" s="85"/>
      <c r="AW48" s="84">
        <f t="shared" si="183"/>
        <v>0</v>
      </c>
      <c r="AX48" s="85"/>
      <c r="AY48" s="84">
        <f t="shared" si="184"/>
        <v>0</v>
      </c>
      <c r="AZ48" s="85"/>
      <c r="BA48" s="84">
        <f t="shared" si="169"/>
        <v>0</v>
      </c>
      <c r="BB48" s="85"/>
      <c r="BC48" s="84">
        <f t="shared" si="170"/>
        <v>0</v>
      </c>
      <c r="BD48" s="81"/>
      <c r="BE48" s="214">
        <f t="shared" si="171"/>
        <v>0</v>
      </c>
    </row>
    <row r="49" spans="1:58" x14ac:dyDescent="0.35">
      <c r="A49" s="159"/>
      <c r="B49" s="180"/>
      <c r="C49" s="83"/>
      <c r="D49" s="142"/>
      <c r="E49" s="304"/>
      <c r="F49" s="289"/>
      <c r="G49" s="363" t="e">
        <f t="shared" si="164"/>
        <v>#DIV/0!</v>
      </c>
      <c r="H49" s="287"/>
      <c r="I49" s="313" t="e">
        <f t="shared" si="165"/>
        <v>#DIV/0!</v>
      </c>
      <c r="J49" s="287"/>
      <c r="K49" s="288" t="e">
        <f t="shared" si="27"/>
        <v>#DIV/0!</v>
      </c>
      <c r="L49" s="289"/>
      <c r="M49" s="290" t="e">
        <f t="shared" si="28"/>
        <v>#DIV/0!</v>
      </c>
      <c r="N49" s="287"/>
      <c r="O49" s="288" t="e">
        <f t="shared" si="29"/>
        <v>#DIV/0!</v>
      </c>
      <c r="P49" s="289"/>
      <c r="Q49" s="290" t="e">
        <f t="shared" si="30"/>
        <v>#DIV/0!</v>
      </c>
      <c r="R49" s="287"/>
      <c r="S49" s="288" t="e">
        <f t="shared" si="172"/>
        <v>#DIV/0!</v>
      </c>
      <c r="T49" s="287"/>
      <c r="U49" s="288" t="e">
        <f t="shared" si="31"/>
        <v>#DIV/0!</v>
      </c>
      <c r="V49" s="289"/>
      <c r="W49" s="290" t="e">
        <f t="shared" si="32"/>
        <v>#DIV/0!</v>
      </c>
      <c r="X49" s="287"/>
      <c r="Y49" s="313" t="e">
        <f t="shared" si="33"/>
        <v>#DIV/0!</v>
      </c>
      <c r="Z49" s="289"/>
      <c r="AA49" s="363" t="e">
        <f t="shared" si="173"/>
        <v>#DIV/0!</v>
      </c>
      <c r="AB49" s="287"/>
      <c r="AC49" s="313" t="e">
        <f t="shared" si="174"/>
        <v>#DIV/0!</v>
      </c>
      <c r="AD49" s="289"/>
      <c r="AE49" s="363" t="e">
        <f t="shared" si="175"/>
        <v>#DIV/0!</v>
      </c>
      <c r="AF49" s="323" t="e">
        <f t="shared" si="176"/>
        <v>#DIV/0!</v>
      </c>
      <c r="AG49" s="81">
        <v>0</v>
      </c>
      <c r="AH49" s="81"/>
      <c r="AI49" s="84">
        <f t="shared" si="166"/>
        <v>0</v>
      </c>
      <c r="AJ49" s="85"/>
      <c r="AK49" s="84">
        <f t="shared" si="177"/>
        <v>0</v>
      </c>
      <c r="AL49" s="81"/>
      <c r="AM49" s="84">
        <f t="shared" si="178"/>
        <v>0</v>
      </c>
      <c r="AN49" s="85"/>
      <c r="AO49" s="84">
        <f t="shared" si="179"/>
        <v>0</v>
      </c>
      <c r="AP49" s="81"/>
      <c r="AQ49" s="84">
        <f t="shared" si="180"/>
        <v>0</v>
      </c>
      <c r="AR49" s="85"/>
      <c r="AS49" s="84">
        <f t="shared" si="181"/>
        <v>0</v>
      </c>
      <c r="AT49" s="85"/>
      <c r="AU49" s="84">
        <f t="shared" si="182"/>
        <v>0</v>
      </c>
      <c r="AV49" s="85"/>
      <c r="AW49" s="84">
        <f t="shared" si="183"/>
        <v>0</v>
      </c>
      <c r="AX49" s="85"/>
      <c r="AY49" s="84">
        <f t="shared" si="184"/>
        <v>0</v>
      </c>
      <c r="AZ49" s="85"/>
      <c r="BA49" s="84">
        <f t="shared" si="169"/>
        <v>0</v>
      </c>
      <c r="BB49" s="85"/>
      <c r="BC49" s="84">
        <f t="shared" si="170"/>
        <v>0</v>
      </c>
      <c r="BD49" s="81"/>
      <c r="BE49" s="214">
        <f t="shared" si="171"/>
        <v>0</v>
      </c>
    </row>
    <row r="50" spans="1:58" x14ac:dyDescent="0.35">
      <c r="A50" s="159"/>
      <c r="B50" s="180"/>
      <c r="C50" s="83"/>
      <c r="D50" s="142"/>
      <c r="E50" s="304"/>
      <c r="F50" s="289"/>
      <c r="G50" s="363" t="e">
        <f t="shared" ref="G50:G52" si="185">F50/E50</f>
        <v>#DIV/0!</v>
      </c>
      <c r="H50" s="287"/>
      <c r="I50" s="313" t="e">
        <f t="shared" ref="I50:I52" si="186">H50/E50</f>
        <v>#DIV/0!</v>
      </c>
      <c r="J50" s="287"/>
      <c r="K50" s="288" t="e">
        <f t="shared" ref="K50:K52" si="187">J50/E50</f>
        <v>#DIV/0!</v>
      </c>
      <c r="L50" s="289"/>
      <c r="M50" s="290" t="e">
        <f t="shared" ref="M50:M52" si="188">L50/E50</f>
        <v>#DIV/0!</v>
      </c>
      <c r="N50" s="287"/>
      <c r="O50" s="288" t="e">
        <f t="shared" ref="O50:O52" si="189">N50/E50</f>
        <v>#DIV/0!</v>
      </c>
      <c r="P50" s="289"/>
      <c r="Q50" s="290" t="e">
        <f t="shared" ref="Q50:Q52" si="190">P50/E50</f>
        <v>#DIV/0!</v>
      </c>
      <c r="R50" s="287"/>
      <c r="S50" s="288" t="e">
        <f t="shared" ref="S50:S55" si="191">R50/E50</f>
        <v>#DIV/0!</v>
      </c>
      <c r="T50" s="287"/>
      <c r="U50" s="288" t="e">
        <f t="shared" ref="U50:U52" si="192">T50/E50</f>
        <v>#DIV/0!</v>
      </c>
      <c r="V50" s="289"/>
      <c r="W50" s="290" t="e">
        <f t="shared" ref="W50:W52" si="193">V50/E50</f>
        <v>#DIV/0!</v>
      </c>
      <c r="X50" s="287"/>
      <c r="Y50" s="313" t="e">
        <f t="shared" ref="Y50:Y52" si="194">X50/E50</f>
        <v>#DIV/0!</v>
      </c>
      <c r="Z50" s="289"/>
      <c r="AA50" s="363" t="e">
        <f t="shared" ref="AA50:AA52" si="195">Z50/E50</f>
        <v>#DIV/0!</v>
      </c>
      <c r="AB50" s="287"/>
      <c r="AC50" s="313" t="e">
        <f t="shared" ref="AC50:AC52" si="196">AB50/E50</f>
        <v>#DIV/0!</v>
      </c>
      <c r="AD50" s="289"/>
      <c r="AE50" s="363" t="e">
        <f t="shared" ref="AE50:AE52" si="197">AD50/E50</f>
        <v>#DIV/0!</v>
      </c>
      <c r="AF50" s="323" t="e">
        <f t="shared" ref="AF50:AF52" si="198">K50+M50+O50+Q50+S50+U50+W50+Y50+AA50+AC50+G50+I50+AE50</f>
        <v>#DIV/0!</v>
      </c>
      <c r="AG50" s="81">
        <v>0</v>
      </c>
      <c r="AH50" s="81"/>
      <c r="AI50" s="84">
        <f t="shared" ref="AI50" si="199">D50-AG50</f>
        <v>0</v>
      </c>
      <c r="AJ50" s="85"/>
      <c r="AK50" s="84">
        <f t="shared" ref="AK50" si="200">D50-AG50-AI50</f>
        <v>0</v>
      </c>
      <c r="AL50" s="81"/>
      <c r="AM50" s="84">
        <f t="shared" ref="AM50" si="201">D50-AG50-AI50-AK50</f>
        <v>0</v>
      </c>
      <c r="AN50" s="85"/>
      <c r="AO50" s="84">
        <f t="shared" ref="AO50" si="202">D50-AG50-AI50-AK50-AM50</f>
        <v>0</v>
      </c>
      <c r="AP50" s="81"/>
      <c r="AQ50" s="84">
        <f t="shared" ref="AQ50" si="203">D50-AG50-AI50-AK50-AM50-AO50</f>
        <v>0</v>
      </c>
      <c r="AR50" s="85"/>
      <c r="AS50" s="84">
        <f t="shared" ref="AS50" si="204">D50-AG50-AI50-AK50-AM50-AO50-AQ50</f>
        <v>0</v>
      </c>
      <c r="AT50" s="85"/>
      <c r="AU50" s="84">
        <f t="shared" ref="AU50" si="205">D50-AG50-AI50-AK50-AM50-AO50-AQ50-AS50</f>
        <v>0</v>
      </c>
      <c r="AV50" s="85"/>
      <c r="AW50" s="84">
        <f t="shared" ref="AW50" si="206">D50-AG50-AI50-AK50-AM50-AO50-AQ50-AS50-AU50</f>
        <v>0</v>
      </c>
      <c r="AX50" s="85"/>
      <c r="AY50" s="84">
        <f t="shared" ref="AY50" si="207">D50-AG50-AI50-AK50-AM50-AO50-AQ50-AS50-AU50-AW50</f>
        <v>0</v>
      </c>
      <c r="AZ50" s="85"/>
      <c r="BA50" s="84">
        <f t="shared" ref="BA50" si="208">D50-AG50-AI50-AK50-AM50-AO50-AQ50-AS50-AU50-AW50-AY50</f>
        <v>0</v>
      </c>
      <c r="BB50" s="85"/>
      <c r="BC50" s="84">
        <f t="shared" ref="BC50" si="209">D50-AG50-AI50-AK50-AM50-AO50-AQ50-AS50-AU50-AW50-AY50-BA50</f>
        <v>0</v>
      </c>
      <c r="BD50" s="81"/>
      <c r="BE50" s="214">
        <f t="shared" ref="BE50:BE52" si="210">D50-AG50-AI50-AK50-AM50-AO50-AQ50-AS50-AU50-AW50-AY50-BA50-BC50</f>
        <v>0</v>
      </c>
    </row>
    <row r="51" spans="1:58" x14ac:dyDescent="0.35">
      <c r="A51" s="159" t="s">
        <v>353</v>
      </c>
      <c r="B51" s="180"/>
      <c r="C51" s="83">
        <v>56742.87</v>
      </c>
      <c r="D51" s="142">
        <v>56743</v>
      </c>
      <c r="E51" s="304"/>
      <c r="F51" s="289"/>
      <c r="G51" s="363" t="e">
        <f t="shared" si="185"/>
        <v>#DIV/0!</v>
      </c>
      <c r="H51" s="287"/>
      <c r="I51" s="313" t="e">
        <f t="shared" si="186"/>
        <v>#DIV/0!</v>
      </c>
      <c r="J51" s="287"/>
      <c r="K51" s="288" t="e">
        <f t="shared" si="187"/>
        <v>#DIV/0!</v>
      </c>
      <c r="L51" s="289"/>
      <c r="M51" s="290" t="e">
        <f t="shared" si="188"/>
        <v>#DIV/0!</v>
      </c>
      <c r="N51" s="287"/>
      <c r="O51" s="288" t="e">
        <f t="shared" si="189"/>
        <v>#DIV/0!</v>
      </c>
      <c r="P51" s="289"/>
      <c r="Q51" s="290" t="e">
        <f t="shared" si="190"/>
        <v>#DIV/0!</v>
      </c>
      <c r="R51" s="287"/>
      <c r="S51" s="288" t="e">
        <f t="shared" si="191"/>
        <v>#DIV/0!</v>
      </c>
      <c r="T51" s="287"/>
      <c r="U51" s="288" t="e">
        <f t="shared" si="192"/>
        <v>#DIV/0!</v>
      </c>
      <c r="V51" s="289"/>
      <c r="W51" s="290" t="e">
        <f t="shared" si="193"/>
        <v>#DIV/0!</v>
      </c>
      <c r="X51" s="287"/>
      <c r="Y51" s="313" t="e">
        <f t="shared" si="194"/>
        <v>#DIV/0!</v>
      </c>
      <c r="Z51" s="289"/>
      <c r="AA51" s="363" t="e">
        <f t="shared" si="195"/>
        <v>#DIV/0!</v>
      </c>
      <c r="AB51" s="287"/>
      <c r="AC51" s="313" t="e">
        <f t="shared" si="196"/>
        <v>#DIV/0!</v>
      </c>
      <c r="AD51" s="289"/>
      <c r="AE51" s="363" t="e">
        <f t="shared" si="197"/>
        <v>#DIV/0!</v>
      </c>
      <c r="AF51" s="323" t="e">
        <f t="shared" si="198"/>
        <v>#DIV/0!</v>
      </c>
      <c r="AG51" s="81">
        <v>0</v>
      </c>
      <c r="AH51" s="81"/>
      <c r="AI51" s="84">
        <v>0</v>
      </c>
      <c r="AJ51" s="85"/>
      <c r="AK51" s="84">
        <v>0</v>
      </c>
      <c r="AL51" s="81"/>
      <c r="AM51" s="84">
        <v>0</v>
      </c>
      <c r="AN51" s="85"/>
      <c r="AO51" s="84">
        <v>0</v>
      </c>
      <c r="AP51" s="81"/>
      <c r="AQ51" s="84">
        <v>0</v>
      </c>
      <c r="AR51" s="85"/>
      <c r="AS51" s="84">
        <v>0</v>
      </c>
      <c r="AT51" s="85"/>
      <c r="AU51" s="84">
        <v>0</v>
      </c>
      <c r="AV51" s="85"/>
      <c r="AW51" s="84">
        <v>0</v>
      </c>
      <c r="AX51" s="85"/>
      <c r="AY51" s="84">
        <v>0</v>
      </c>
      <c r="AZ51" s="85"/>
      <c r="BA51" s="84">
        <v>0</v>
      </c>
      <c r="BB51" s="85"/>
      <c r="BC51" s="84">
        <v>0</v>
      </c>
      <c r="BD51" s="81"/>
      <c r="BE51" s="214">
        <f t="shared" si="210"/>
        <v>56743</v>
      </c>
    </row>
    <row r="52" spans="1:58" x14ac:dyDescent="0.35">
      <c r="A52" s="159" t="s">
        <v>629</v>
      </c>
      <c r="B52" s="180"/>
      <c r="C52" s="83">
        <v>42074.15</v>
      </c>
      <c r="D52" s="107">
        <f>C52</f>
        <v>42074.15</v>
      </c>
      <c r="E52" s="304">
        <f>D52</f>
        <v>42074.15</v>
      </c>
      <c r="F52" s="289">
        <v>1690</v>
      </c>
      <c r="G52" s="363">
        <f t="shared" si="185"/>
        <v>4.0167181036337034E-2</v>
      </c>
      <c r="H52" s="287"/>
      <c r="I52" s="313">
        <f t="shared" si="186"/>
        <v>0</v>
      </c>
      <c r="J52" s="287">
        <v>4231.33</v>
      </c>
      <c r="K52" s="288">
        <f t="shared" si="187"/>
        <v>0.10056840126300828</v>
      </c>
      <c r="L52" s="289">
        <v>1764</v>
      </c>
      <c r="M52" s="290">
        <f t="shared" si="188"/>
        <v>4.1925980679348246E-2</v>
      </c>
      <c r="N52" s="287">
        <v>6910.28</v>
      </c>
      <c r="O52" s="288">
        <f t="shared" si="189"/>
        <v>0.1642405134744255</v>
      </c>
      <c r="P52" s="289">
        <v>7853.84</v>
      </c>
      <c r="Q52" s="290">
        <f t="shared" si="190"/>
        <v>0.18666663497658301</v>
      </c>
      <c r="R52" s="287">
        <v>680</v>
      </c>
      <c r="S52" s="288">
        <f t="shared" si="191"/>
        <v>1.6161942665508394E-2</v>
      </c>
      <c r="T52" s="287">
        <f>880.41+570.39</f>
        <v>1450.8</v>
      </c>
      <c r="U52" s="288">
        <f t="shared" si="192"/>
        <v>3.4481980028117025E-2</v>
      </c>
      <c r="V52" s="289">
        <v>3288.33</v>
      </c>
      <c r="W52" s="290">
        <f t="shared" si="193"/>
        <v>7.8155589595987077E-2</v>
      </c>
      <c r="X52" s="287"/>
      <c r="Y52" s="313">
        <f t="shared" si="194"/>
        <v>0</v>
      </c>
      <c r="Z52" s="289"/>
      <c r="AA52" s="363">
        <f t="shared" si="195"/>
        <v>0</v>
      </c>
      <c r="AB52" s="287"/>
      <c r="AC52" s="313">
        <f t="shared" si="196"/>
        <v>0</v>
      </c>
      <c r="AD52" s="289">
        <f>13046+1158.9</f>
        <v>14204.9</v>
      </c>
      <c r="AE52" s="363">
        <f t="shared" si="197"/>
        <v>0.3376158520136473</v>
      </c>
      <c r="AF52" s="323">
        <f t="shared" si="198"/>
        <v>0.99998407573296177</v>
      </c>
      <c r="AG52" s="81">
        <v>0</v>
      </c>
      <c r="AH52" s="81"/>
      <c r="AI52" s="84">
        <v>0</v>
      </c>
      <c r="AJ52" s="85"/>
      <c r="AK52" s="84">
        <v>0</v>
      </c>
      <c r="AL52" s="81"/>
      <c r="AM52" s="84">
        <v>0</v>
      </c>
      <c r="AN52" s="85"/>
      <c r="AO52" s="84">
        <v>0</v>
      </c>
      <c r="AP52" s="81"/>
      <c r="AQ52" s="84">
        <v>0</v>
      </c>
      <c r="AR52" s="85"/>
      <c r="AS52" s="84">
        <v>0</v>
      </c>
      <c r="AT52" s="85"/>
      <c r="AU52" s="84">
        <v>0</v>
      </c>
      <c r="AV52" s="85"/>
      <c r="AW52" s="84">
        <v>0</v>
      </c>
      <c r="AX52" s="85"/>
      <c r="AY52" s="84">
        <v>0</v>
      </c>
      <c r="AZ52" s="85"/>
      <c r="BA52" s="84">
        <v>0</v>
      </c>
      <c r="BB52" s="85"/>
      <c r="BC52" s="230">
        <f>BD52</f>
        <v>10569.44</v>
      </c>
      <c r="BD52" s="195">
        <v>10569.44</v>
      </c>
      <c r="BE52" s="214">
        <f t="shared" si="210"/>
        <v>31504.71</v>
      </c>
      <c r="BF52" s="377" t="s">
        <v>722</v>
      </c>
    </row>
    <row r="53" spans="1:58" x14ac:dyDescent="0.35">
      <c r="A53" s="159" t="s">
        <v>701</v>
      </c>
      <c r="B53" s="180"/>
      <c r="C53" s="83">
        <v>104193.08</v>
      </c>
      <c r="D53" s="63">
        <v>104193.08</v>
      </c>
      <c r="E53" s="304">
        <v>104193.08</v>
      </c>
      <c r="F53" s="289">
        <v>2275</v>
      </c>
      <c r="G53" s="363">
        <f t="shared" si="164"/>
        <v>2.1834463478764617E-2</v>
      </c>
      <c r="H53" s="287">
        <v>6565.21</v>
      </c>
      <c r="I53" s="313">
        <f t="shared" si="165"/>
        <v>6.3010038670514398E-2</v>
      </c>
      <c r="J53" s="287">
        <v>4949.2700000000004</v>
      </c>
      <c r="K53" s="288">
        <f t="shared" si="27"/>
        <v>4.7500947279800157E-2</v>
      </c>
      <c r="L53" s="289">
        <f>3048.04+1612.35</f>
        <v>4660.3899999999994</v>
      </c>
      <c r="M53" s="290">
        <f t="shared" si="28"/>
        <v>4.4728402308483434E-2</v>
      </c>
      <c r="N53" s="287"/>
      <c r="O53" s="288">
        <f t="shared" si="29"/>
        <v>0</v>
      </c>
      <c r="P53" s="289">
        <f>9684.56+11675</f>
        <v>21359.559999999998</v>
      </c>
      <c r="Q53" s="290">
        <f t="shared" si="30"/>
        <v>0.20499979461207979</v>
      </c>
      <c r="R53" s="287">
        <f>1216.54</f>
        <v>1216.54</v>
      </c>
      <c r="S53" s="288">
        <f t="shared" si="191"/>
        <v>1.1675823384815959E-2</v>
      </c>
      <c r="T53" s="287">
        <f>1708.81+1186.26+1914.24+1349.22</f>
        <v>6158.53</v>
      </c>
      <c r="U53" s="288">
        <f t="shared" si="31"/>
        <v>5.9106900381484064E-2</v>
      </c>
      <c r="V53" s="289">
        <f>5509.69+789.86+7549.85+526.24+8215.6+789.36</f>
        <v>23380.6</v>
      </c>
      <c r="W53" s="290">
        <f t="shared" si="32"/>
        <v>0.22439686013696877</v>
      </c>
      <c r="X53" s="287"/>
      <c r="Y53" s="313">
        <f t="shared" si="33"/>
        <v>0</v>
      </c>
      <c r="Z53" s="289"/>
      <c r="AA53" s="363">
        <f t="shared" si="173"/>
        <v>0</v>
      </c>
      <c r="AB53" s="287"/>
      <c r="AC53" s="313">
        <f t="shared" si="174"/>
        <v>0</v>
      </c>
      <c r="AD53" s="289">
        <f>5173.75+4770.24+5078.76</f>
        <v>15022.75</v>
      </c>
      <c r="AE53" s="363">
        <f t="shared" si="175"/>
        <v>0.14418184009916973</v>
      </c>
      <c r="AF53" s="323">
        <f t="shared" si="176"/>
        <v>0.82143507035208096</v>
      </c>
      <c r="AG53" s="81">
        <v>0</v>
      </c>
      <c r="AH53" s="81"/>
      <c r="AI53" s="84">
        <v>0</v>
      </c>
      <c r="AJ53" s="85"/>
      <c r="AK53" s="84">
        <v>0</v>
      </c>
      <c r="AL53" s="81"/>
      <c r="AM53" s="84">
        <v>0</v>
      </c>
      <c r="AN53" s="85"/>
      <c r="AO53" s="84">
        <v>0</v>
      </c>
      <c r="AP53" s="81"/>
      <c r="AQ53" s="84">
        <v>0</v>
      </c>
      <c r="AR53" s="85"/>
      <c r="AS53" s="84">
        <v>0</v>
      </c>
      <c r="AT53" s="85"/>
      <c r="AU53" s="84">
        <v>0</v>
      </c>
      <c r="AV53" s="85"/>
      <c r="AW53" s="84">
        <v>0</v>
      </c>
      <c r="AX53" s="85"/>
      <c r="AY53" s="84">
        <v>0</v>
      </c>
      <c r="AZ53" s="85"/>
      <c r="BA53" s="84">
        <v>0</v>
      </c>
      <c r="BB53" s="85"/>
      <c r="BC53" s="84">
        <v>0</v>
      </c>
      <c r="BD53" s="81"/>
      <c r="BE53" s="214">
        <f t="shared" si="171"/>
        <v>104193.08</v>
      </c>
    </row>
    <row r="54" spans="1:58" x14ac:dyDescent="0.35">
      <c r="A54" s="159" t="s">
        <v>693</v>
      </c>
      <c r="B54" s="180"/>
      <c r="C54" s="83">
        <v>35633.68</v>
      </c>
      <c r="D54" s="142">
        <v>35834</v>
      </c>
      <c r="E54" s="304">
        <f>C54</f>
        <v>35633.68</v>
      </c>
      <c r="F54" s="289">
        <v>1625</v>
      </c>
      <c r="G54" s="363">
        <f t="shared" si="164"/>
        <v>4.5602923975295279E-2</v>
      </c>
      <c r="H54" s="287">
        <v>1465</v>
      </c>
      <c r="I54" s="313">
        <f t="shared" si="165"/>
        <v>4.1112789922343129E-2</v>
      </c>
      <c r="J54" s="287">
        <v>5182.87</v>
      </c>
      <c r="K54" s="288">
        <f t="shared" si="27"/>
        <v>0.14544863174390071</v>
      </c>
      <c r="L54" s="289">
        <v>2075.79</v>
      </c>
      <c r="M54" s="290">
        <f t="shared" si="28"/>
        <v>5.8253596036109655E-2</v>
      </c>
      <c r="N54" s="287">
        <f>6845.66+4144</f>
        <v>10989.66</v>
      </c>
      <c r="O54" s="288">
        <f t="shared" si="29"/>
        <v>0.30840654122728833</v>
      </c>
      <c r="P54" s="289">
        <v>7914.01</v>
      </c>
      <c r="Q54" s="290">
        <f t="shared" si="30"/>
        <v>0.22209353622752406</v>
      </c>
      <c r="R54" s="287">
        <v>861.62</v>
      </c>
      <c r="S54" s="288">
        <f t="shared" si="191"/>
        <v>2.4179933141903951E-2</v>
      </c>
      <c r="T54" s="287">
        <f>823.23+813.83</f>
        <v>1637.06</v>
      </c>
      <c r="U54" s="288">
        <f t="shared" si="31"/>
        <v>4.5941367829536547E-2</v>
      </c>
      <c r="V54" s="289"/>
      <c r="W54" s="290">
        <f t="shared" si="32"/>
        <v>0</v>
      </c>
      <c r="X54" s="287"/>
      <c r="Y54" s="313">
        <f t="shared" si="33"/>
        <v>0</v>
      </c>
      <c r="Z54" s="289"/>
      <c r="AA54" s="363">
        <f t="shared" si="173"/>
        <v>0</v>
      </c>
      <c r="AB54" s="287"/>
      <c r="AC54" s="313">
        <f t="shared" si="174"/>
        <v>0</v>
      </c>
      <c r="AD54" s="289">
        <v>3883.93</v>
      </c>
      <c r="AE54" s="363">
        <f t="shared" si="175"/>
        <v>0.10899603970176529</v>
      </c>
      <c r="AF54" s="323">
        <f t="shared" si="176"/>
        <v>1.0000353598056668</v>
      </c>
      <c r="AG54" s="81">
        <v>0</v>
      </c>
      <c r="AH54" s="81"/>
      <c r="AI54" s="84">
        <v>0</v>
      </c>
      <c r="AJ54" s="85">
        <v>0</v>
      </c>
      <c r="AK54" s="84">
        <v>0</v>
      </c>
      <c r="AL54" s="81">
        <v>0</v>
      </c>
      <c r="AM54" s="84">
        <v>0</v>
      </c>
      <c r="AN54" s="85">
        <v>0</v>
      </c>
      <c r="AO54" s="84">
        <v>0</v>
      </c>
      <c r="AP54" s="81">
        <v>0</v>
      </c>
      <c r="AQ54" s="84">
        <v>0</v>
      </c>
      <c r="AR54" s="85">
        <v>0</v>
      </c>
      <c r="AS54" s="84">
        <v>0</v>
      </c>
      <c r="AT54" s="85">
        <v>0</v>
      </c>
      <c r="AU54" s="84">
        <v>0</v>
      </c>
      <c r="AV54" s="85">
        <v>0</v>
      </c>
      <c r="AW54" s="84">
        <v>0</v>
      </c>
      <c r="AX54" s="85"/>
      <c r="AY54" s="84">
        <v>0</v>
      </c>
      <c r="AZ54" s="85"/>
      <c r="BA54" s="84">
        <v>0</v>
      </c>
      <c r="BB54" s="85"/>
      <c r="BC54" s="84">
        <v>0</v>
      </c>
      <c r="BD54" s="81"/>
      <c r="BE54" s="214">
        <f t="shared" si="171"/>
        <v>35834</v>
      </c>
    </row>
    <row r="55" spans="1:58" x14ac:dyDescent="0.35">
      <c r="A55" s="159" t="s">
        <v>688</v>
      </c>
      <c r="B55" s="180"/>
      <c r="C55" s="83">
        <f>D55</f>
        <v>117477</v>
      </c>
      <c r="D55" s="107">
        <f>113557+3920</f>
        <v>117477</v>
      </c>
      <c r="E55" s="304">
        <f>113557+3920</f>
        <v>117477</v>
      </c>
      <c r="F55" s="289">
        <v>2016</v>
      </c>
      <c r="G55" s="363">
        <f t="shared" si="164"/>
        <v>1.7160805944993487E-2</v>
      </c>
      <c r="H55" s="287">
        <v>3351</v>
      </c>
      <c r="I55" s="313">
        <f t="shared" si="165"/>
        <v>2.8524732500829951E-2</v>
      </c>
      <c r="J55" s="287">
        <v>13763</v>
      </c>
      <c r="K55" s="288">
        <f t="shared" si="27"/>
        <v>0.11715484733181815</v>
      </c>
      <c r="L55" s="289">
        <v>6767</v>
      </c>
      <c r="M55" s="290">
        <f t="shared" si="28"/>
        <v>5.7602764796513363E-2</v>
      </c>
      <c r="N55" s="287">
        <v>34378</v>
      </c>
      <c r="O55" s="288">
        <f t="shared" si="29"/>
        <v>0.29263600534572726</v>
      </c>
      <c r="P55" s="289">
        <v>31450</v>
      </c>
      <c r="Q55" s="290">
        <f t="shared" si="30"/>
        <v>0.26771197766371291</v>
      </c>
      <c r="R55" s="287">
        <v>6311</v>
      </c>
      <c r="S55" s="288">
        <f t="shared" si="191"/>
        <v>5.3721153928002925E-2</v>
      </c>
      <c r="T55" s="287">
        <v>4689</v>
      </c>
      <c r="U55" s="288">
        <f t="shared" si="31"/>
        <v>3.9914195970275033E-2</v>
      </c>
      <c r="V55" s="289"/>
      <c r="W55" s="290">
        <f t="shared" si="32"/>
        <v>0</v>
      </c>
      <c r="X55" s="287"/>
      <c r="Y55" s="313">
        <f t="shared" si="33"/>
        <v>0</v>
      </c>
      <c r="Z55" s="289"/>
      <c r="AA55" s="363">
        <f t="shared" si="173"/>
        <v>0</v>
      </c>
      <c r="AB55" s="287"/>
      <c r="AC55" s="313">
        <f t="shared" si="174"/>
        <v>0</v>
      </c>
      <c r="AD55" s="289">
        <v>10830</v>
      </c>
      <c r="AE55" s="363">
        <f t="shared" si="175"/>
        <v>9.2188258127122752E-2</v>
      </c>
      <c r="AF55" s="323">
        <f t="shared" si="176"/>
        <v>0.96661474160899574</v>
      </c>
      <c r="AG55" s="81">
        <v>0</v>
      </c>
      <c r="AH55" s="81"/>
      <c r="AI55" s="84">
        <v>0</v>
      </c>
      <c r="AJ55" s="85"/>
      <c r="AK55" s="84">
        <v>0</v>
      </c>
      <c r="AL55" s="81"/>
      <c r="AM55" s="84">
        <v>0</v>
      </c>
      <c r="AN55" s="85"/>
      <c r="AO55" s="84">
        <v>0</v>
      </c>
      <c r="AP55" s="81"/>
      <c r="AQ55" s="84">
        <v>0</v>
      </c>
      <c r="AR55" s="85"/>
      <c r="AS55" s="84">
        <v>0</v>
      </c>
      <c r="AT55" s="85"/>
      <c r="AU55" s="230">
        <f>AV55</f>
        <v>15885.55</v>
      </c>
      <c r="AV55" s="231">
        <v>15885.55</v>
      </c>
      <c r="AW55" s="230">
        <f>AX55</f>
        <v>76705.490000000005</v>
      </c>
      <c r="AX55" s="231">
        <f>72785.49+3920</f>
        <v>76705.490000000005</v>
      </c>
      <c r="AY55" s="84">
        <v>0</v>
      </c>
      <c r="AZ55" s="85"/>
      <c r="BA55" s="84">
        <v>0</v>
      </c>
      <c r="BB55" s="85"/>
      <c r="BC55" s="230">
        <f t="shared" si="170"/>
        <v>24885.959999999992</v>
      </c>
      <c r="BD55" s="195">
        <v>24886.42</v>
      </c>
      <c r="BE55" s="214">
        <f t="shared" si="171"/>
        <v>0</v>
      </c>
    </row>
    <row r="56" spans="1:58" x14ac:dyDescent="0.35">
      <c r="A56" s="159" t="s">
        <v>682</v>
      </c>
      <c r="B56" s="180"/>
      <c r="C56" s="83">
        <v>55000</v>
      </c>
      <c r="D56" s="142">
        <v>55000</v>
      </c>
      <c r="E56" s="304"/>
      <c r="F56" s="289"/>
      <c r="G56" s="363" t="e">
        <f t="shared" ref="G56" si="211">F56/E56</f>
        <v>#DIV/0!</v>
      </c>
      <c r="H56" s="287"/>
      <c r="I56" s="313" t="e">
        <f t="shared" ref="I56" si="212">H56/E56</f>
        <v>#DIV/0!</v>
      </c>
      <c r="J56" s="287"/>
      <c r="K56" s="288" t="e">
        <f t="shared" ref="K56" si="213">J56/E56</f>
        <v>#DIV/0!</v>
      </c>
      <c r="L56" s="289"/>
      <c r="M56" s="290" t="e">
        <f t="shared" ref="M56" si="214">L56/E56</f>
        <v>#DIV/0!</v>
      </c>
      <c r="N56" s="287"/>
      <c r="O56" s="288" t="e">
        <f t="shared" ref="O56" si="215">N56/E56</f>
        <v>#DIV/0!</v>
      </c>
      <c r="P56" s="289"/>
      <c r="Q56" s="290" t="e">
        <f t="shared" ref="Q56" si="216">P56/E56</f>
        <v>#DIV/0!</v>
      </c>
      <c r="R56" s="287"/>
      <c r="S56" s="288" t="e">
        <f t="shared" ref="S56" si="217">R56/E56</f>
        <v>#DIV/0!</v>
      </c>
      <c r="T56" s="287"/>
      <c r="U56" s="288" t="e">
        <f t="shared" ref="U56" si="218">T56/E56</f>
        <v>#DIV/0!</v>
      </c>
      <c r="V56" s="289"/>
      <c r="W56" s="290" t="e">
        <f t="shared" ref="W56" si="219">V56/E56</f>
        <v>#DIV/0!</v>
      </c>
      <c r="X56" s="287"/>
      <c r="Y56" s="313" t="e">
        <f t="shared" ref="Y56" si="220">X56/E56</f>
        <v>#DIV/0!</v>
      </c>
      <c r="Z56" s="289"/>
      <c r="AA56" s="363" t="e">
        <f t="shared" ref="AA56" si="221">Z56/E56</f>
        <v>#DIV/0!</v>
      </c>
      <c r="AB56" s="287"/>
      <c r="AC56" s="313" t="e">
        <f t="shared" ref="AC56" si="222">AB56/E56</f>
        <v>#DIV/0!</v>
      </c>
      <c r="AD56" s="289"/>
      <c r="AE56" s="363" t="e">
        <f t="shared" ref="AE56" si="223">AD56/E56</f>
        <v>#DIV/0!</v>
      </c>
      <c r="AF56" s="323" t="e">
        <f t="shared" ref="AF56" si="224">K56+M56+O56+Q56+S56+U56+W56+Y56+AA56+AC56+G56+I56+AE56</f>
        <v>#DIV/0!</v>
      </c>
      <c r="AG56" s="81">
        <v>0</v>
      </c>
      <c r="AH56" s="81"/>
      <c r="AI56" s="84">
        <v>0</v>
      </c>
      <c r="AJ56" s="85"/>
      <c r="AK56" s="84">
        <v>0</v>
      </c>
      <c r="AL56" s="81"/>
      <c r="AM56" s="84">
        <v>0</v>
      </c>
      <c r="AN56" s="85"/>
      <c r="AO56" s="84">
        <v>0</v>
      </c>
      <c r="AP56" s="81"/>
      <c r="AQ56" s="84">
        <v>0</v>
      </c>
      <c r="AR56" s="85"/>
      <c r="AS56" s="84">
        <v>0</v>
      </c>
      <c r="AT56" s="85"/>
      <c r="AU56" s="84">
        <v>0</v>
      </c>
      <c r="AV56" s="85"/>
      <c r="AW56" s="84">
        <v>0</v>
      </c>
      <c r="AX56" s="85"/>
      <c r="AY56" s="84">
        <v>0</v>
      </c>
      <c r="AZ56" s="85"/>
      <c r="BA56" s="84">
        <v>0</v>
      </c>
      <c r="BB56" s="85"/>
      <c r="BC56" s="84">
        <v>0</v>
      </c>
      <c r="BD56" s="81"/>
      <c r="BE56" s="214">
        <f t="shared" ref="BE56" si="225">D56-AG56-AI56-AK56-AM56-AO56-AQ56-AS56-AU56-AW56-AY56-BA56-BC56</f>
        <v>55000</v>
      </c>
    </row>
    <row r="57" spans="1:58" x14ac:dyDescent="0.35">
      <c r="A57" s="159" t="s">
        <v>683</v>
      </c>
      <c r="B57" s="180"/>
      <c r="C57" s="83">
        <v>0</v>
      </c>
      <c r="D57" s="142">
        <v>0</v>
      </c>
      <c r="E57" s="304"/>
      <c r="F57" s="289"/>
      <c r="G57" s="363" t="e">
        <f t="shared" ref="G57" si="226">F57/E57</f>
        <v>#DIV/0!</v>
      </c>
      <c r="H57" s="287"/>
      <c r="I57" s="313" t="e">
        <f t="shared" ref="I57" si="227">H57/E57</f>
        <v>#DIV/0!</v>
      </c>
      <c r="J57" s="287"/>
      <c r="K57" s="288" t="e">
        <f t="shared" ref="K57" si="228">J57/E57</f>
        <v>#DIV/0!</v>
      </c>
      <c r="L57" s="289"/>
      <c r="M57" s="290" t="e">
        <f t="shared" ref="M57" si="229">L57/E57</f>
        <v>#DIV/0!</v>
      </c>
      <c r="N57" s="287"/>
      <c r="O57" s="288" t="e">
        <f t="shared" ref="O57" si="230">N57/E57</f>
        <v>#DIV/0!</v>
      </c>
      <c r="P57" s="289"/>
      <c r="Q57" s="290" t="e">
        <f t="shared" ref="Q57" si="231">P57/E57</f>
        <v>#DIV/0!</v>
      </c>
      <c r="R57" s="287"/>
      <c r="S57" s="288" t="e">
        <f t="shared" ref="S57" si="232">R57/E57</f>
        <v>#DIV/0!</v>
      </c>
      <c r="T57" s="287"/>
      <c r="U57" s="288" t="e">
        <f t="shared" ref="U57" si="233">T57/E57</f>
        <v>#DIV/0!</v>
      </c>
      <c r="V57" s="289"/>
      <c r="W57" s="290" t="e">
        <f t="shared" ref="W57" si="234">V57/E57</f>
        <v>#DIV/0!</v>
      </c>
      <c r="X57" s="287"/>
      <c r="Y57" s="313" t="e">
        <f t="shared" ref="Y57" si="235">X57/E57</f>
        <v>#DIV/0!</v>
      </c>
      <c r="Z57" s="289"/>
      <c r="AA57" s="363" t="e">
        <f t="shared" ref="AA57" si="236">Z57/E57</f>
        <v>#DIV/0!</v>
      </c>
      <c r="AB57" s="287"/>
      <c r="AC57" s="313" t="e">
        <f t="shared" ref="AC57" si="237">AB57/E57</f>
        <v>#DIV/0!</v>
      </c>
      <c r="AD57" s="289"/>
      <c r="AE57" s="363" t="e">
        <f t="shared" ref="AE57" si="238">AD57/E57</f>
        <v>#DIV/0!</v>
      </c>
      <c r="AF57" s="323" t="e">
        <f t="shared" ref="AF57" si="239">K57+M57+O57+Q57+S57+U57+W57+Y57+AA57+AC57+G57+I57+AE57</f>
        <v>#DIV/0!</v>
      </c>
      <c r="AG57" s="81">
        <v>0</v>
      </c>
      <c r="AH57" s="81"/>
      <c r="AI57" s="84">
        <v>0</v>
      </c>
      <c r="AJ57" s="85"/>
      <c r="AK57" s="84">
        <v>0</v>
      </c>
      <c r="AL57" s="81"/>
      <c r="AM57" s="84">
        <v>0</v>
      </c>
      <c r="AN57" s="85"/>
      <c r="AO57" s="84">
        <v>0</v>
      </c>
      <c r="AP57" s="81"/>
      <c r="AQ57" s="84">
        <v>0</v>
      </c>
      <c r="AR57" s="85"/>
      <c r="AS57" s="84">
        <v>0</v>
      </c>
      <c r="AT57" s="85"/>
      <c r="AU57" s="84">
        <v>0</v>
      </c>
      <c r="AV57" s="85"/>
      <c r="AW57" s="84">
        <v>0</v>
      </c>
      <c r="AX57" s="85"/>
      <c r="AY57" s="84">
        <v>0</v>
      </c>
      <c r="AZ57" s="85"/>
      <c r="BA57" s="84">
        <v>0</v>
      </c>
      <c r="BB57" s="85"/>
      <c r="BC57" s="84">
        <v>0</v>
      </c>
      <c r="BD57" s="81"/>
      <c r="BE57" s="214">
        <f t="shared" ref="BE57" si="240">D57-AG57-AI57-AK57-AM57-AO57-AQ57-AS57-AU57-AW57-AY57-BA57-BC57</f>
        <v>0</v>
      </c>
    </row>
    <row r="58" spans="1:58" x14ac:dyDescent="0.35">
      <c r="A58" s="159" t="s">
        <v>677</v>
      </c>
      <c r="B58" s="180"/>
      <c r="C58" s="83">
        <v>25000</v>
      </c>
      <c r="D58" s="142">
        <v>25000</v>
      </c>
      <c r="E58" s="304"/>
      <c r="F58" s="289"/>
      <c r="G58" s="363" t="e">
        <f t="shared" si="164"/>
        <v>#DIV/0!</v>
      </c>
      <c r="H58" s="287"/>
      <c r="I58" s="313" t="e">
        <f t="shared" si="165"/>
        <v>#DIV/0!</v>
      </c>
      <c r="J58" s="287"/>
      <c r="K58" s="288" t="e">
        <f t="shared" ref="K58" si="241">J58/E58</f>
        <v>#DIV/0!</v>
      </c>
      <c r="L58" s="289"/>
      <c r="M58" s="290" t="e">
        <f t="shared" ref="M58" si="242">L58/E58</f>
        <v>#DIV/0!</v>
      </c>
      <c r="N58" s="287"/>
      <c r="O58" s="288" t="e">
        <f t="shared" ref="O58" si="243">N58/E58</f>
        <v>#DIV/0!</v>
      </c>
      <c r="P58" s="289"/>
      <c r="Q58" s="290" t="e">
        <f t="shared" ref="Q58" si="244">P58/E58</f>
        <v>#DIV/0!</v>
      </c>
      <c r="R58" s="287"/>
      <c r="S58" s="288" t="e">
        <f t="shared" si="172"/>
        <v>#DIV/0!</v>
      </c>
      <c r="T58" s="287"/>
      <c r="U58" s="288" t="e">
        <f t="shared" ref="U58" si="245">T58/E58</f>
        <v>#DIV/0!</v>
      </c>
      <c r="V58" s="289"/>
      <c r="W58" s="290" t="e">
        <f t="shared" ref="W58" si="246">V58/E58</f>
        <v>#DIV/0!</v>
      </c>
      <c r="X58" s="287"/>
      <c r="Y58" s="313" t="e">
        <f t="shared" ref="Y58" si="247">X58/E58</f>
        <v>#DIV/0!</v>
      </c>
      <c r="Z58" s="289"/>
      <c r="AA58" s="363" t="e">
        <f t="shared" si="173"/>
        <v>#DIV/0!</v>
      </c>
      <c r="AB58" s="287"/>
      <c r="AC58" s="313" t="e">
        <f t="shared" si="174"/>
        <v>#DIV/0!</v>
      </c>
      <c r="AD58" s="289"/>
      <c r="AE58" s="363" t="e">
        <f t="shared" si="175"/>
        <v>#DIV/0!</v>
      </c>
      <c r="AF58" s="323" t="e">
        <f t="shared" si="176"/>
        <v>#DIV/0!</v>
      </c>
      <c r="AG58" s="81">
        <v>0</v>
      </c>
      <c r="AH58" s="81"/>
      <c r="AI58" s="84">
        <v>0</v>
      </c>
      <c r="AJ58" s="85"/>
      <c r="AK58" s="84">
        <v>0</v>
      </c>
      <c r="AL58" s="81"/>
      <c r="AM58" s="84">
        <v>0</v>
      </c>
      <c r="AN58" s="85"/>
      <c r="AO58" s="84">
        <v>0</v>
      </c>
      <c r="AP58" s="81"/>
      <c r="AQ58" s="84">
        <v>0</v>
      </c>
      <c r="AR58" s="85"/>
      <c r="AS58" s="84">
        <v>0</v>
      </c>
      <c r="AT58" s="85"/>
      <c r="AU58" s="84">
        <v>0</v>
      </c>
      <c r="AV58" s="85"/>
      <c r="AW58" s="84">
        <v>0</v>
      </c>
      <c r="AX58" s="85"/>
      <c r="AY58" s="84">
        <v>0</v>
      </c>
      <c r="AZ58" s="85"/>
      <c r="BA58" s="84">
        <v>0</v>
      </c>
      <c r="BB58" s="85"/>
      <c r="BC58" s="84">
        <v>0</v>
      </c>
      <c r="BD58" s="81"/>
      <c r="BE58" s="214">
        <f t="shared" si="171"/>
        <v>25000</v>
      </c>
    </row>
    <row r="59" spans="1:58" x14ac:dyDescent="0.35">
      <c r="A59" s="159" t="s">
        <v>676</v>
      </c>
      <c r="B59" s="180"/>
      <c r="C59" s="83">
        <v>41396</v>
      </c>
      <c r="D59" s="107">
        <v>41395.86</v>
      </c>
      <c r="E59" s="304">
        <v>41395.86</v>
      </c>
      <c r="F59" s="289">
        <v>1260</v>
      </c>
      <c r="G59" s="363">
        <f t="shared" ref="G59:G62" si="248">F59/E59</f>
        <v>3.0437826391334785E-2</v>
      </c>
      <c r="H59" s="287">
        <v>2250.61</v>
      </c>
      <c r="I59" s="313">
        <f t="shared" ref="I59:I62" si="249">H59/E59</f>
        <v>5.4367997186192049E-2</v>
      </c>
      <c r="J59" s="287">
        <v>12094.18</v>
      </c>
      <c r="K59" s="288">
        <f t="shared" si="27"/>
        <v>0.29215916760758204</v>
      </c>
      <c r="L59" s="289">
        <v>2642.69</v>
      </c>
      <c r="M59" s="290">
        <f t="shared" si="28"/>
        <v>6.3839475735013113E-2</v>
      </c>
      <c r="N59" s="287">
        <v>5151.74</v>
      </c>
      <c r="O59" s="288">
        <f t="shared" si="29"/>
        <v>0.12445060931213893</v>
      </c>
      <c r="P59" s="289">
        <v>3790.07</v>
      </c>
      <c r="Q59" s="290">
        <f t="shared" si="30"/>
        <v>9.1556740215084309E-2</v>
      </c>
      <c r="R59" s="287">
        <f>1246.99+6152.36</f>
        <v>7399.3499999999995</v>
      </c>
      <c r="S59" s="288">
        <f t="shared" ref="S59:S62" si="250">R59/E59</f>
        <v>0.17874613548311352</v>
      </c>
      <c r="T59" s="287">
        <v>3444.66</v>
      </c>
      <c r="U59" s="288">
        <f t="shared" si="31"/>
        <v>8.3212669092996253E-2</v>
      </c>
      <c r="V59" s="289">
        <v>3362.56</v>
      </c>
      <c r="W59" s="290">
        <f t="shared" si="32"/>
        <v>8.1229378976544989E-2</v>
      </c>
      <c r="X59" s="287"/>
      <c r="Y59" s="313">
        <f t="shared" si="33"/>
        <v>0</v>
      </c>
      <c r="Z59" s="289"/>
      <c r="AA59" s="363">
        <f t="shared" ref="AA59:AA62" si="251">Z59/E59</f>
        <v>0</v>
      </c>
      <c r="AB59" s="287"/>
      <c r="AC59" s="313">
        <f t="shared" ref="AC59:AC62" si="252">AB59/E59</f>
        <v>0</v>
      </c>
      <c r="AD59" s="289"/>
      <c r="AE59" s="363">
        <f t="shared" ref="AE59:AE62" si="253">AD59/E59</f>
        <v>0</v>
      </c>
      <c r="AF59" s="323">
        <f t="shared" ref="AF59:AF62" si="254">K59+M59+O59+Q59+S59+U59+W59+Y59+AA59+AC59+G59+I59+AE59</f>
        <v>1</v>
      </c>
      <c r="AG59" s="81">
        <v>0</v>
      </c>
      <c r="AH59" s="81"/>
      <c r="AI59" s="84">
        <v>0</v>
      </c>
      <c r="AJ59" s="85"/>
      <c r="AK59" s="84">
        <v>0</v>
      </c>
      <c r="AL59" s="81"/>
      <c r="AM59" s="84">
        <v>0</v>
      </c>
      <c r="AN59" s="85"/>
      <c r="AO59" s="84">
        <v>0</v>
      </c>
      <c r="AP59" s="81"/>
      <c r="AQ59" s="84">
        <v>0</v>
      </c>
      <c r="AR59" s="85"/>
      <c r="AS59" s="84">
        <v>0</v>
      </c>
      <c r="AT59" s="85"/>
      <c r="AU59" s="84">
        <v>0</v>
      </c>
      <c r="AV59" s="85"/>
      <c r="AW59" s="84">
        <v>0</v>
      </c>
      <c r="AX59" s="85"/>
      <c r="AY59" s="84">
        <v>0</v>
      </c>
      <c r="AZ59" s="85"/>
      <c r="BA59" s="84">
        <v>0</v>
      </c>
      <c r="BB59" s="85"/>
      <c r="BC59" s="84">
        <v>0</v>
      </c>
      <c r="BD59" s="81"/>
      <c r="BE59" s="214">
        <f t="shared" ref="BE59:BE62" si="255">D59-AG59-AI59-AK59-AM59-AO59-AQ59-AS59-AU59-AW59-AY59-BA59-BC59</f>
        <v>41395.86</v>
      </c>
    </row>
    <row r="60" spans="1:58" ht="13.5" customHeight="1" x14ac:dyDescent="0.35">
      <c r="A60" s="159" t="s">
        <v>675</v>
      </c>
      <c r="B60" s="180"/>
      <c r="C60" s="83">
        <v>22549.759999999998</v>
      </c>
      <c r="D60" s="107">
        <f>C60</f>
        <v>22549.759999999998</v>
      </c>
      <c r="E60" s="304">
        <f>22550</f>
        <v>22550</v>
      </c>
      <c r="F60" s="289">
        <v>2810.61</v>
      </c>
      <c r="G60" s="363">
        <f t="shared" ref="G60" si="256">F60/E60</f>
        <v>0.12463902439024391</v>
      </c>
      <c r="H60" s="287"/>
      <c r="I60" s="313">
        <f t="shared" ref="I60" si="257">H60/E60</f>
        <v>0</v>
      </c>
      <c r="J60" s="287">
        <v>3599.37</v>
      </c>
      <c r="K60" s="288">
        <f t="shared" ref="K60" si="258">J60/E60</f>
        <v>0.15961729490022172</v>
      </c>
      <c r="L60" s="289">
        <v>1560.3</v>
      </c>
      <c r="M60" s="290">
        <f t="shared" ref="M60" si="259">L60/E60</f>
        <v>6.919290465631929E-2</v>
      </c>
      <c r="N60" s="287">
        <v>3048.52</v>
      </c>
      <c r="O60" s="288">
        <f t="shared" ref="O60" si="260">N60/E60</f>
        <v>0.13518935698447893</v>
      </c>
      <c r="P60" s="289">
        <v>726.9</v>
      </c>
      <c r="Q60" s="290">
        <f t="shared" ref="Q60" si="261">P60/E60</f>
        <v>3.22350332594235E-2</v>
      </c>
      <c r="R60" s="287">
        <v>901.46</v>
      </c>
      <c r="S60" s="288">
        <f t="shared" ref="S60" si="262">R60/E60</f>
        <v>3.9976053215077606E-2</v>
      </c>
      <c r="T60" s="287">
        <v>1906.06</v>
      </c>
      <c r="U60" s="288">
        <f t="shared" ref="U60" si="263">T60/E60</f>
        <v>8.4525942350332589E-2</v>
      </c>
      <c r="V60" s="289">
        <v>4426.0200000000004</v>
      </c>
      <c r="W60" s="290">
        <f t="shared" ref="W60" si="264">V60/E60</f>
        <v>0.19627583148558761</v>
      </c>
      <c r="X60" s="287"/>
      <c r="Y60" s="313">
        <f t="shared" ref="Y60" si="265">X60/E60</f>
        <v>0</v>
      </c>
      <c r="Z60" s="289"/>
      <c r="AA60" s="363">
        <f t="shared" ref="AA60" si="266">Z60/E60</f>
        <v>0</v>
      </c>
      <c r="AB60" s="287"/>
      <c r="AC60" s="313">
        <f t="shared" ref="AC60" si="267">AB60/E60</f>
        <v>0</v>
      </c>
      <c r="AD60" s="289">
        <v>3570.58</v>
      </c>
      <c r="AE60" s="363">
        <f t="shared" ref="AE60" si="268">AD60/E60</f>
        <v>0.15834057649667405</v>
      </c>
      <c r="AF60" s="323">
        <f t="shared" ref="AF60" si="269">K60+M60+O60+Q60+S60+U60+W60+Y60+AA60+AC60+G60+I60+AE60</f>
        <v>0.99999201773835922</v>
      </c>
      <c r="AG60" s="81">
        <v>0</v>
      </c>
      <c r="AH60" s="81"/>
      <c r="AI60" s="84">
        <v>0</v>
      </c>
      <c r="AJ60" s="85"/>
      <c r="AK60" s="84">
        <v>0</v>
      </c>
      <c r="AL60" s="81"/>
      <c r="AM60" s="84">
        <v>0</v>
      </c>
      <c r="AN60" s="85"/>
      <c r="AO60" s="84">
        <v>0</v>
      </c>
      <c r="AP60" s="81"/>
      <c r="AQ60" s="84">
        <v>0</v>
      </c>
      <c r="AR60" s="85"/>
      <c r="AS60" s="84">
        <v>0</v>
      </c>
      <c r="AT60" s="85"/>
      <c r="AU60" s="84">
        <v>0</v>
      </c>
      <c r="AV60" s="85"/>
      <c r="AW60" s="84">
        <v>0</v>
      </c>
      <c r="AX60" s="85"/>
      <c r="AY60" s="230">
        <f>AZ60</f>
        <v>16858.580000000002</v>
      </c>
      <c r="AZ60" s="231">
        <v>16858.580000000002</v>
      </c>
      <c r="BA60" s="230">
        <f>BB60</f>
        <v>4370.16</v>
      </c>
      <c r="BB60" s="231">
        <v>4370.16</v>
      </c>
      <c r="BC60" s="230">
        <f t="shared" ref="BC60" si="270">D60-AG60-AI60-AK60-AM60-AO60-AQ60-AS60-AU60-AW60-AY60-BA60</f>
        <v>1321.0199999999968</v>
      </c>
      <c r="BD60" s="195">
        <v>1321</v>
      </c>
      <c r="BE60" s="214">
        <f t="shared" ref="BE60" si="271">D60-AG60-AI60-AK60-AM60-AO60-AQ60-AS60-AU60-AW60-AY60-BA60-BC60</f>
        <v>0</v>
      </c>
    </row>
    <row r="61" spans="1:58" x14ac:dyDescent="0.35">
      <c r="A61" s="159" t="s">
        <v>368</v>
      </c>
      <c r="B61" s="180"/>
      <c r="C61" s="83">
        <v>33961</v>
      </c>
      <c r="D61" s="107">
        <v>33961</v>
      </c>
      <c r="E61" s="304">
        <v>33961</v>
      </c>
      <c r="F61" s="289">
        <v>1260</v>
      </c>
      <c r="G61" s="363">
        <f t="shared" si="248"/>
        <v>3.7101380995848178E-2</v>
      </c>
      <c r="H61" s="287">
        <v>2800</v>
      </c>
      <c r="I61" s="313">
        <f t="shared" si="249"/>
        <v>8.2447513324107061E-2</v>
      </c>
      <c r="J61" s="287">
        <v>4515</v>
      </c>
      <c r="K61" s="288">
        <f t="shared" si="27"/>
        <v>0.13294661523512263</v>
      </c>
      <c r="L61" s="289">
        <v>3629.46</v>
      </c>
      <c r="M61" s="290">
        <f t="shared" si="28"/>
        <v>0.10687141132475486</v>
      </c>
      <c r="N61" s="287">
        <v>2613.02</v>
      </c>
      <c r="O61" s="288">
        <f t="shared" si="29"/>
        <v>7.6941786166485088E-2</v>
      </c>
      <c r="P61" s="289">
        <v>7248.5</v>
      </c>
      <c r="Q61" s="290">
        <f t="shared" si="30"/>
        <v>0.21343600011778216</v>
      </c>
      <c r="R61" s="287"/>
      <c r="S61" s="288">
        <f t="shared" si="250"/>
        <v>0</v>
      </c>
      <c r="T61" s="287">
        <v>2013</v>
      </c>
      <c r="U61" s="288">
        <f t="shared" si="31"/>
        <v>5.9273872971938403E-2</v>
      </c>
      <c r="V61" s="289">
        <f>5224.33+263.12</f>
        <v>5487.45</v>
      </c>
      <c r="W61" s="290">
        <f t="shared" si="32"/>
        <v>0.16158093106798974</v>
      </c>
      <c r="X61" s="287"/>
      <c r="Y61" s="313">
        <f t="shared" si="33"/>
        <v>0</v>
      </c>
      <c r="Z61" s="289"/>
      <c r="AA61" s="363">
        <f t="shared" si="251"/>
        <v>0</v>
      </c>
      <c r="AB61" s="287"/>
      <c r="AC61" s="313">
        <f t="shared" si="252"/>
        <v>0</v>
      </c>
      <c r="AD61" s="289">
        <v>4394.2700000000004</v>
      </c>
      <c r="AE61" s="363">
        <f t="shared" si="253"/>
        <v>0.12939165513383</v>
      </c>
      <c r="AF61" s="323">
        <f t="shared" si="254"/>
        <v>0.99999116633785812</v>
      </c>
      <c r="AG61" s="81">
        <v>0</v>
      </c>
      <c r="AH61" s="81"/>
      <c r="AI61" s="84">
        <v>0</v>
      </c>
      <c r="AJ61" s="85"/>
      <c r="AK61" s="84">
        <v>0</v>
      </c>
      <c r="AL61" s="81"/>
      <c r="AM61" s="84">
        <v>0</v>
      </c>
      <c r="AN61" s="85"/>
      <c r="AO61" s="84">
        <v>0</v>
      </c>
      <c r="AP61" s="81"/>
      <c r="AQ61" s="84">
        <v>0</v>
      </c>
      <c r="AR61" s="85"/>
      <c r="AS61" s="84">
        <v>0</v>
      </c>
      <c r="AT61" s="85"/>
      <c r="AU61" s="84">
        <v>0</v>
      </c>
      <c r="AV61" s="85"/>
      <c r="AW61" s="84">
        <v>0</v>
      </c>
      <c r="AX61" s="85"/>
      <c r="AY61" s="84">
        <v>0</v>
      </c>
      <c r="AZ61" s="85"/>
      <c r="BA61" s="230">
        <f>BB61</f>
        <v>5808.17</v>
      </c>
      <c r="BB61" s="231">
        <v>5808.17</v>
      </c>
      <c r="BC61" s="230">
        <f>BD61</f>
        <v>21726.94</v>
      </c>
      <c r="BD61" s="195">
        <v>21726.94</v>
      </c>
      <c r="BE61" s="214">
        <f t="shared" si="255"/>
        <v>6425.8900000000031</v>
      </c>
      <c r="BF61" s="377" t="s">
        <v>722</v>
      </c>
    </row>
    <row r="62" spans="1:58" x14ac:dyDescent="0.35">
      <c r="A62" s="159" t="s">
        <v>674</v>
      </c>
      <c r="B62" s="180"/>
      <c r="C62" s="83">
        <f>D62</f>
        <v>38994.550000000003</v>
      </c>
      <c r="D62" s="107">
        <f>E62</f>
        <v>38994.550000000003</v>
      </c>
      <c r="E62" s="304">
        <v>38994.550000000003</v>
      </c>
      <c r="F62" s="289">
        <v>1260</v>
      </c>
      <c r="G62" s="363">
        <f t="shared" si="248"/>
        <v>3.2312207731593261E-2</v>
      </c>
      <c r="H62" s="287">
        <v>2800.61</v>
      </c>
      <c r="I62" s="313">
        <f t="shared" si="249"/>
        <v>7.1820549281886831E-2</v>
      </c>
      <c r="J62" s="287">
        <v>5556.41</v>
      </c>
      <c r="K62" s="288">
        <f t="shared" ref="K62" si="272">J62/E62</f>
        <v>0.14249196362055722</v>
      </c>
      <c r="L62" s="289">
        <v>3400.16</v>
      </c>
      <c r="M62" s="290">
        <f t="shared" ref="M62" si="273">L62/E62</f>
        <v>8.7195774794169942E-2</v>
      </c>
      <c r="N62" s="287">
        <v>4019.3</v>
      </c>
      <c r="O62" s="288">
        <f t="shared" ref="O62" si="274">N62/E62</f>
        <v>0.10307337820285142</v>
      </c>
      <c r="P62" s="289">
        <f>3491.14+1035.03</f>
        <v>4526.17</v>
      </c>
      <c r="Q62" s="290">
        <f t="shared" ref="Q62" si="275">P62/E62</f>
        <v>0.11607186132421068</v>
      </c>
      <c r="R62" s="287">
        <v>1009.53</v>
      </c>
      <c r="S62" s="288">
        <f t="shared" si="250"/>
        <v>2.5889002437520112E-2</v>
      </c>
      <c r="T62" s="287">
        <v>2243.04</v>
      </c>
      <c r="U62" s="288">
        <f t="shared" ref="U62" si="276">T62/E62</f>
        <v>5.7521884468470591E-2</v>
      </c>
      <c r="V62" s="289">
        <f>5289.4+263.12</f>
        <v>5552.5199999999995</v>
      </c>
      <c r="W62" s="290">
        <f t="shared" ref="W62" si="277">V62/E62</f>
        <v>0.14239220609033823</v>
      </c>
      <c r="X62" s="287"/>
      <c r="Y62" s="313">
        <f t="shared" ref="Y62" si="278">X62/E62</f>
        <v>0</v>
      </c>
      <c r="Z62" s="289"/>
      <c r="AA62" s="363">
        <f t="shared" si="251"/>
        <v>0</v>
      </c>
      <c r="AB62" s="287"/>
      <c r="AC62" s="313">
        <f t="shared" si="252"/>
        <v>0</v>
      </c>
      <c r="AD62" s="289">
        <v>9023.06</v>
      </c>
      <c r="AE62" s="363">
        <f t="shared" si="253"/>
        <v>0.23139284848780148</v>
      </c>
      <c r="AF62" s="323">
        <f t="shared" si="254"/>
        <v>1.0101616764393997</v>
      </c>
      <c r="AG62" s="81">
        <v>0</v>
      </c>
      <c r="AH62" s="81"/>
      <c r="AI62" s="84">
        <v>0</v>
      </c>
      <c r="AJ62" s="85"/>
      <c r="AK62" s="84">
        <v>0</v>
      </c>
      <c r="AL62" s="81"/>
      <c r="AM62" s="84">
        <v>0</v>
      </c>
      <c r="AN62" s="85"/>
      <c r="AO62" s="84">
        <v>0</v>
      </c>
      <c r="AP62" s="81"/>
      <c r="AQ62" s="84">
        <v>0</v>
      </c>
      <c r="AR62" s="85"/>
      <c r="AS62" s="84">
        <v>0</v>
      </c>
      <c r="AT62" s="85"/>
      <c r="AU62" s="230">
        <f>AV62</f>
        <v>12546.46</v>
      </c>
      <c r="AV62" s="231">
        <v>12546.46</v>
      </c>
      <c r="AW62" s="230">
        <f>AX62</f>
        <v>10355.200000000001</v>
      </c>
      <c r="AX62" s="231">
        <v>10355.200000000001</v>
      </c>
      <c r="AY62" s="230">
        <f>AZ62</f>
        <v>14824.07</v>
      </c>
      <c r="AZ62" s="231">
        <v>14824.07</v>
      </c>
      <c r="BA62" s="84">
        <v>0</v>
      </c>
      <c r="BB62" s="85"/>
      <c r="BC62" s="230">
        <f t="shared" ref="BC62" si="279">D62-AG62-AI62-AK62-AM62-AO62-AQ62-AS62-AU62-AW62-AY62-BA62</f>
        <v>1268.8200000000033</v>
      </c>
      <c r="BD62" s="195">
        <v>1268.82</v>
      </c>
      <c r="BE62" s="214">
        <f t="shared" si="255"/>
        <v>0</v>
      </c>
    </row>
    <row r="63" spans="1:58" x14ac:dyDescent="0.35">
      <c r="A63" s="159" t="s">
        <v>680</v>
      </c>
      <c r="B63" s="180"/>
      <c r="C63" s="83">
        <f>99275.55+12350.43+12150.41+11739.31</f>
        <v>135515.70000000001</v>
      </c>
      <c r="D63" s="142">
        <v>76225.350000000006</v>
      </c>
      <c r="E63" s="304">
        <f>D63</f>
        <v>76225.350000000006</v>
      </c>
      <c r="F63" s="289"/>
      <c r="G63" s="363">
        <f>F63/E63</f>
        <v>0</v>
      </c>
      <c r="H63" s="287"/>
      <c r="I63" s="313">
        <f>H63/E63</f>
        <v>0</v>
      </c>
      <c r="J63" s="287">
        <f>14593.09+1094.58</f>
        <v>15687.67</v>
      </c>
      <c r="K63" s="288">
        <f>J63/E63</f>
        <v>0.20580646727105875</v>
      </c>
      <c r="L63" s="289">
        <f>11197.95+13518.71</f>
        <v>24716.66</v>
      </c>
      <c r="M63" s="290">
        <f>L63/E63</f>
        <v>0.32425774365089827</v>
      </c>
      <c r="N63" s="287">
        <f>7740.28+796.01</f>
        <v>8536.2899999999991</v>
      </c>
      <c r="O63" s="288">
        <f>N63/E63</f>
        <v>0.1119875474497657</v>
      </c>
      <c r="P63" s="289">
        <f>15324.65+4571.74</f>
        <v>19896.39</v>
      </c>
      <c r="Q63" s="290">
        <f>P63/E63</f>
        <v>0.2610206447067806</v>
      </c>
      <c r="R63" s="287">
        <f>2111.93+2142.22</f>
        <v>4254.1499999999996</v>
      </c>
      <c r="S63" s="288">
        <f>R63/E63</f>
        <v>5.5810173387199916E-2</v>
      </c>
      <c r="T63" s="287">
        <v>3134.19</v>
      </c>
      <c r="U63" s="288">
        <f>T63/E63</f>
        <v>4.1117423534296656E-2</v>
      </c>
      <c r="V63" s="289"/>
      <c r="W63" s="290">
        <f>V63/E63</f>
        <v>0</v>
      </c>
      <c r="X63" s="287"/>
      <c r="Y63" s="313">
        <f>X63/E63</f>
        <v>0</v>
      </c>
      <c r="Z63" s="289"/>
      <c r="AA63" s="363">
        <f>Z63/E63</f>
        <v>0</v>
      </c>
      <c r="AB63" s="287"/>
      <c r="AC63" s="313">
        <f>AB63/E63</f>
        <v>0</v>
      </c>
      <c r="AD63" s="289"/>
      <c r="AE63" s="363">
        <f>AD63/E63</f>
        <v>0</v>
      </c>
      <c r="AF63" s="323">
        <f>K63+M63+O63+Q63+S63+U63+W63+Y63+AA63+AC63+G63+I63+AE63</f>
        <v>1</v>
      </c>
      <c r="AG63" s="81">
        <v>0</v>
      </c>
      <c r="AH63" s="81"/>
      <c r="AI63" s="84">
        <v>0</v>
      </c>
      <c r="AJ63" s="85"/>
      <c r="AK63" s="84">
        <v>0</v>
      </c>
      <c r="AL63" s="81"/>
      <c r="AM63" s="84">
        <v>0</v>
      </c>
      <c r="AN63" s="85"/>
      <c r="AO63" s="84">
        <v>0</v>
      </c>
      <c r="AP63" s="81"/>
      <c r="AQ63" s="84">
        <v>0</v>
      </c>
      <c r="AR63" s="85"/>
      <c r="AS63" s="84">
        <v>0</v>
      </c>
      <c r="AT63" s="85"/>
      <c r="AU63" s="84">
        <v>0</v>
      </c>
      <c r="AV63" s="85"/>
      <c r="AW63" s="84">
        <v>0</v>
      </c>
      <c r="AX63" s="85"/>
      <c r="AY63" s="84">
        <v>0</v>
      </c>
      <c r="AZ63" s="85"/>
      <c r="BA63" s="84">
        <v>0</v>
      </c>
      <c r="BB63" s="85"/>
      <c r="BC63" s="84">
        <v>0</v>
      </c>
      <c r="BD63" s="81"/>
      <c r="BE63" s="214">
        <f>D63-AG63-AI63-AK63-AM63-AO63-AQ63-AS63-AU63-AW63-AY63-BA63-BC63</f>
        <v>76225.350000000006</v>
      </c>
    </row>
    <row r="64" spans="1:58" x14ac:dyDescent="0.35">
      <c r="A64" s="159" t="s">
        <v>360</v>
      </c>
      <c r="B64" s="180"/>
      <c r="C64" s="83">
        <v>17500</v>
      </c>
      <c r="D64" s="107">
        <v>17500</v>
      </c>
      <c r="E64" s="304">
        <v>17500</v>
      </c>
      <c r="F64" s="289">
        <v>0</v>
      </c>
      <c r="G64" s="363">
        <f t="shared" si="25"/>
        <v>0</v>
      </c>
      <c r="H64" s="287"/>
      <c r="I64" s="313">
        <f t="shared" si="26"/>
        <v>0</v>
      </c>
      <c r="J64" s="287"/>
      <c r="K64" s="288">
        <f t="shared" si="27"/>
        <v>0</v>
      </c>
      <c r="L64" s="289"/>
      <c r="M64" s="290">
        <f t="shared" si="28"/>
        <v>0</v>
      </c>
      <c r="N64" s="287"/>
      <c r="O64" s="288">
        <f t="shared" si="29"/>
        <v>0</v>
      </c>
      <c r="P64" s="289"/>
      <c r="Q64" s="290">
        <f t="shared" si="30"/>
        <v>0</v>
      </c>
      <c r="R64" s="287"/>
      <c r="S64" s="288">
        <f t="shared" si="52"/>
        <v>0</v>
      </c>
      <c r="T64" s="287"/>
      <c r="U64" s="288">
        <f t="shared" si="31"/>
        <v>0</v>
      </c>
      <c r="V64" s="289"/>
      <c r="W64" s="290">
        <f t="shared" si="32"/>
        <v>0</v>
      </c>
      <c r="X64" s="287"/>
      <c r="Y64" s="313">
        <f t="shared" si="33"/>
        <v>0</v>
      </c>
      <c r="Z64" s="289"/>
      <c r="AA64" s="363">
        <f t="shared" si="34"/>
        <v>0</v>
      </c>
      <c r="AB64" s="287"/>
      <c r="AC64" s="313">
        <f t="shared" si="35"/>
        <v>0</v>
      </c>
      <c r="AD64" s="289"/>
      <c r="AE64" s="363">
        <f t="shared" si="36"/>
        <v>0</v>
      </c>
      <c r="AF64" s="323">
        <f t="shared" si="37"/>
        <v>0</v>
      </c>
      <c r="AG64" s="81">
        <v>0</v>
      </c>
      <c r="AH64" s="81"/>
      <c r="AI64" s="84">
        <v>0</v>
      </c>
      <c r="AJ64" s="85"/>
      <c r="AK64" s="84">
        <v>0</v>
      </c>
      <c r="AL64" s="81"/>
      <c r="AM64" s="230">
        <v>17500</v>
      </c>
      <c r="AN64" s="231">
        <v>17500</v>
      </c>
      <c r="AO64" s="84">
        <f t="shared" ref="AO64:AO112" si="280">D64-AG64-AI64-AK64-AM64</f>
        <v>0</v>
      </c>
      <c r="AP64" s="81"/>
      <c r="AQ64" s="84">
        <f t="shared" ref="AQ64:AQ111" si="281">D64-AG64-AI64-AK64-AM64-AO64</f>
        <v>0</v>
      </c>
      <c r="AR64" s="85"/>
      <c r="AS64" s="84">
        <f t="shared" si="167"/>
        <v>0</v>
      </c>
      <c r="AT64" s="85"/>
      <c r="AU64" s="84">
        <f t="shared" si="168"/>
        <v>0</v>
      </c>
      <c r="AV64" s="85"/>
      <c r="AW64" s="84">
        <f t="shared" si="162"/>
        <v>0</v>
      </c>
      <c r="AX64" s="85"/>
      <c r="AY64" s="84">
        <f t="shared" si="163"/>
        <v>0</v>
      </c>
      <c r="AZ64" s="85"/>
      <c r="BA64" s="84">
        <f t="shared" si="42"/>
        <v>0</v>
      </c>
      <c r="BB64" s="85"/>
      <c r="BC64" s="84">
        <f t="shared" si="43"/>
        <v>0</v>
      </c>
      <c r="BD64" s="81"/>
      <c r="BE64" s="214">
        <f t="shared" si="44"/>
        <v>0</v>
      </c>
    </row>
    <row r="65" spans="1:58" ht="15" customHeight="1" x14ac:dyDescent="0.35">
      <c r="A65" s="159" t="s">
        <v>589</v>
      </c>
      <c r="B65" s="180"/>
      <c r="C65" s="83">
        <f>D65</f>
        <v>5784.1699999999955</v>
      </c>
      <c r="D65" s="107">
        <f>'2022-23'!AW79+3721.04</f>
        <v>5784.1699999999955</v>
      </c>
      <c r="E65" s="379">
        <f>'2022-23'!AX79+3721.04</f>
        <v>3721.04</v>
      </c>
      <c r="F65" s="289"/>
      <c r="G65" s="363">
        <f t="shared" si="25"/>
        <v>0</v>
      </c>
      <c r="H65" s="287"/>
      <c r="I65" s="313">
        <f t="shared" si="26"/>
        <v>0</v>
      </c>
      <c r="J65" s="287"/>
      <c r="K65" s="288">
        <f t="shared" ref="K65:K78" si="282">J65/E65</f>
        <v>0</v>
      </c>
      <c r="L65" s="289"/>
      <c r="M65" s="290">
        <f t="shared" ref="M65:M78" si="283">L65/E65</f>
        <v>0</v>
      </c>
      <c r="N65" s="287"/>
      <c r="O65" s="288">
        <f t="shared" ref="O65:O78" si="284">N65/E65</f>
        <v>0</v>
      </c>
      <c r="P65" s="289"/>
      <c r="Q65" s="290">
        <f t="shared" ref="Q65:Q78" si="285">P65/E65</f>
        <v>0</v>
      </c>
      <c r="R65" s="287"/>
      <c r="S65" s="288">
        <f t="shared" si="52"/>
        <v>0</v>
      </c>
      <c r="T65" s="287"/>
      <c r="U65" s="288">
        <f t="shared" ref="U65:U78" si="286">T65/E65</f>
        <v>0</v>
      </c>
      <c r="V65" s="289"/>
      <c r="W65" s="290">
        <f t="shared" ref="W65:W78" si="287">V65/E65</f>
        <v>0</v>
      </c>
      <c r="X65" s="287"/>
      <c r="Y65" s="313">
        <f t="shared" ref="Y65:Y78" si="288">X65/E65</f>
        <v>0</v>
      </c>
      <c r="Z65" s="289"/>
      <c r="AA65" s="363">
        <f t="shared" si="34"/>
        <v>0</v>
      </c>
      <c r="AB65" s="287">
        <v>2063</v>
      </c>
      <c r="AC65" s="313">
        <f t="shared" si="35"/>
        <v>0.55441489476060457</v>
      </c>
      <c r="AD65" s="289"/>
      <c r="AE65" s="363">
        <f t="shared" si="36"/>
        <v>0</v>
      </c>
      <c r="AF65" s="323">
        <f t="shared" si="37"/>
        <v>0.55441489476060457</v>
      </c>
      <c r="AG65" s="195">
        <v>896</v>
      </c>
      <c r="AH65" s="195">
        <v>896</v>
      </c>
      <c r="AI65" s="84">
        <v>0</v>
      </c>
      <c r="AJ65" s="85"/>
      <c r="AK65" s="84">
        <v>0</v>
      </c>
      <c r="AL65" s="81"/>
      <c r="AM65" s="230">
        <v>1167</v>
      </c>
      <c r="AN65" s="231">
        <v>1167.1300000000001</v>
      </c>
      <c r="AO65" s="84">
        <v>0</v>
      </c>
      <c r="AP65" s="81"/>
      <c r="AQ65" s="230">
        <f t="shared" si="281"/>
        <v>3721.1699999999955</v>
      </c>
      <c r="AR65" s="231">
        <v>3721.04</v>
      </c>
      <c r="AS65" s="84">
        <f t="shared" si="167"/>
        <v>0</v>
      </c>
      <c r="AT65" s="85"/>
      <c r="AU65" s="84">
        <f t="shared" si="168"/>
        <v>0</v>
      </c>
      <c r="AV65" s="85"/>
      <c r="AW65" s="84">
        <f t="shared" si="162"/>
        <v>0</v>
      </c>
      <c r="AX65" s="85"/>
      <c r="AY65" s="84">
        <f t="shared" si="163"/>
        <v>0</v>
      </c>
      <c r="AZ65" s="85"/>
      <c r="BA65" s="84">
        <f t="shared" si="42"/>
        <v>0</v>
      </c>
      <c r="BB65" s="85"/>
      <c r="BC65" s="84">
        <f t="shared" si="43"/>
        <v>0</v>
      </c>
      <c r="BD65" s="81"/>
      <c r="BE65" s="214">
        <f t="shared" si="44"/>
        <v>0</v>
      </c>
    </row>
    <row r="66" spans="1:58" x14ac:dyDescent="0.35">
      <c r="B66" s="180"/>
      <c r="C66" s="83">
        <v>2352</v>
      </c>
      <c r="D66" s="107">
        <f>'2022-23'!AW59</f>
        <v>1587.2099999999991</v>
      </c>
      <c r="E66" s="304">
        <f>+D66</f>
        <v>1587.2099999999991</v>
      </c>
      <c r="F66" s="289"/>
      <c r="G66" s="363">
        <f t="shared" si="25"/>
        <v>0</v>
      </c>
      <c r="H66" s="287"/>
      <c r="I66" s="313">
        <f t="shared" si="26"/>
        <v>0</v>
      </c>
      <c r="J66" s="287"/>
      <c r="K66" s="288">
        <f t="shared" si="282"/>
        <v>0</v>
      </c>
      <c r="L66" s="289"/>
      <c r="M66" s="290">
        <f t="shared" si="283"/>
        <v>0</v>
      </c>
      <c r="N66" s="287"/>
      <c r="O66" s="288">
        <f t="shared" si="284"/>
        <v>0</v>
      </c>
      <c r="P66" s="289"/>
      <c r="Q66" s="290">
        <f t="shared" si="285"/>
        <v>0</v>
      </c>
      <c r="R66" s="287"/>
      <c r="S66" s="288">
        <f t="shared" si="52"/>
        <v>0</v>
      </c>
      <c r="T66" s="287"/>
      <c r="U66" s="288">
        <f t="shared" si="286"/>
        <v>0</v>
      </c>
      <c r="V66" s="289"/>
      <c r="W66" s="290">
        <f t="shared" si="287"/>
        <v>0</v>
      </c>
      <c r="X66" s="287"/>
      <c r="Y66" s="313">
        <f t="shared" si="288"/>
        <v>0</v>
      </c>
      <c r="Z66" s="289"/>
      <c r="AA66" s="363">
        <f t="shared" si="34"/>
        <v>0</v>
      </c>
      <c r="AB66" s="287"/>
      <c r="AC66" s="313">
        <f t="shared" si="35"/>
        <v>0</v>
      </c>
      <c r="AD66" s="289"/>
      <c r="AE66" s="363">
        <f t="shared" si="36"/>
        <v>0</v>
      </c>
      <c r="AF66" s="323">
        <f t="shared" si="37"/>
        <v>0</v>
      </c>
      <c r="AG66" s="81">
        <v>0</v>
      </c>
      <c r="AH66" s="81"/>
      <c r="AI66" s="84">
        <v>0</v>
      </c>
      <c r="AJ66" s="85"/>
      <c r="AK66" s="84">
        <v>0</v>
      </c>
      <c r="AL66" s="81"/>
      <c r="AM66" s="84">
        <v>0</v>
      </c>
      <c r="AN66" s="85"/>
      <c r="AO66" s="84">
        <v>0</v>
      </c>
      <c r="AP66" s="81"/>
      <c r="AQ66" s="84">
        <v>0</v>
      </c>
      <c r="AR66" s="85"/>
      <c r="AS66" s="84">
        <v>0</v>
      </c>
      <c r="AT66" s="85"/>
      <c r="AU66" s="84">
        <v>0</v>
      </c>
      <c r="AV66" s="85"/>
      <c r="AW66" s="230">
        <f t="shared" si="162"/>
        <v>1587.2099999999991</v>
      </c>
      <c r="AX66" s="231">
        <v>1587</v>
      </c>
      <c r="AY66" s="84">
        <f t="shared" si="163"/>
        <v>0</v>
      </c>
      <c r="AZ66" s="85"/>
      <c r="BA66" s="84">
        <f t="shared" si="42"/>
        <v>0</v>
      </c>
      <c r="BB66" s="85"/>
      <c r="BC66" s="84">
        <f t="shared" si="43"/>
        <v>0</v>
      </c>
      <c r="BD66" s="81"/>
      <c r="BE66" s="214">
        <f t="shared" si="44"/>
        <v>0</v>
      </c>
    </row>
    <row r="67" spans="1:58" x14ac:dyDescent="0.35">
      <c r="A67" s="159" t="s">
        <v>614</v>
      </c>
      <c r="B67" s="180"/>
      <c r="C67" s="83"/>
      <c r="D67" s="142">
        <f>'2022-23'!AW66</f>
        <v>0</v>
      </c>
      <c r="E67" s="304">
        <v>0</v>
      </c>
      <c r="F67" s="289">
        <v>0</v>
      </c>
      <c r="G67" s="363" t="e">
        <f t="shared" si="25"/>
        <v>#DIV/0!</v>
      </c>
      <c r="H67" s="287"/>
      <c r="I67" s="313" t="e">
        <f t="shared" si="26"/>
        <v>#DIV/0!</v>
      </c>
      <c r="J67" s="287">
        <v>0</v>
      </c>
      <c r="K67" s="288" t="e">
        <f t="shared" si="282"/>
        <v>#DIV/0!</v>
      </c>
      <c r="L67" s="289">
        <v>0</v>
      </c>
      <c r="M67" s="290" t="e">
        <f t="shared" si="283"/>
        <v>#DIV/0!</v>
      </c>
      <c r="N67" s="287">
        <v>0</v>
      </c>
      <c r="O67" s="288" t="e">
        <f t="shared" si="284"/>
        <v>#DIV/0!</v>
      </c>
      <c r="P67" s="289">
        <v>0</v>
      </c>
      <c r="Q67" s="290" t="e">
        <f t="shared" si="285"/>
        <v>#DIV/0!</v>
      </c>
      <c r="R67" s="287"/>
      <c r="S67" s="288" t="e">
        <f t="shared" si="52"/>
        <v>#DIV/0!</v>
      </c>
      <c r="T67" s="287">
        <v>0</v>
      </c>
      <c r="U67" s="288" t="e">
        <f t="shared" si="286"/>
        <v>#DIV/0!</v>
      </c>
      <c r="V67" s="289"/>
      <c r="W67" s="290" t="e">
        <f t="shared" si="287"/>
        <v>#DIV/0!</v>
      </c>
      <c r="X67" s="287"/>
      <c r="Y67" s="313" t="e">
        <f t="shared" si="288"/>
        <v>#DIV/0!</v>
      </c>
      <c r="Z67" s="289"/>
      <c r="AA67" s="363" t="e">
        <f t="shared" si="34"/>
        <v>#DIV/0!</v>
      </c>
      <c r="AB67" s="287"/>
      <c r="AC67" s="313" t="e">
        <f t="shared" si="35"/>
        <v>#DIV/0!</v>
      </c>
      <c r="AD67" s="289"/>
      <c r="AE67" s="363" t="e">
        <f t="shared" si="36"/>
        <v>#DIV/0!</v>
      </c>
      <c r="AF67" s="323" t="e">
        <f t="shared" si="37"/>
        <v>#DIV/0!</v>
      </c>
      <c r="AG67" s="81">
        <v>0</v>
      </c>
      <c r="AH67" s="81"/>
      <c r="AI67" s="84">
        <f>D67-AG67</f>
        <v>0</v>
      </c>
      <c r="AJ67" s="85"/>
      <c r="AK67" s="84">
        <f t="shared" ref="AK67:AK68" si="289">D67-AG67-AI67</f>
        <v>0</v>
      </c>
      <c r="AL67" s="81"/>
      <c r="AM67" s="84">
        <f t="shared" ref="AM67:AM112" si="290">D67-AG67-AI67-AK67</f>
        <v>0</v>
      </c>
      <c r="AN67" s="85"/>
      <c r="AO67" s="84">
        <f t="shared" si="280"/>
        <v>0</v>
      </c>
      <c r="AP67" s="81"/>
      <c r="AQ67" s="84">
        <f t="shared" si="281"/>
        <v>0</v>
      </c>
      <c r="AR67" s="85"/>
      <c r="AS67" s="84">
        <f t="shared" si="167"/>
        <v>0</v>
      </c>
      <c r="AT67" s="85"/>
      <c r="AU67" s="84">
        <f t="shared" si="168"/>
        <v>0</v>
      </c>
      <c r="AV67" s="85"/>
      <c r="AW67" s="84">
        <f t="shared" si="162"/>
        <v>0</v>
      </c>
      <c r="AX67" s="85"/>
      <c r="AY67" s="84">
        <f t="shared" si="163"/>
        <v>0</v>
      </c>
      <c r="AZ67" s="85"/>
      <c r="BA67" s="84">
        <f t="shared" si="42"/>
        <v>0</v>
      </c>
      <c r="BB67" s="85"/>
      <c r="BC67" s="84">
        <f t="shared" si="43"/>
        <v>0</v>
      </c>
      <c r="BD67" s="81"/>
      <c r="BE67" s="214">
        <f t="shared" si="44"/>
        <v>0</v>
      </c>
    </row>
    <row r="68" spans="1:58" x14ac:dyDescent="0.35">
      <c r="A68" s="159" t="s">
        <v>596</v>
      </c>
      <c r="B68" s="180"/>
      <c r="C68" s="83">
        <v>7545</v>
      </c>
      <c r="D68" s="107">
        <f>'2022-23'!AW76-782</f>
        <v>6793</v>
      </c>
      <c r="E68" s="304">
        <v>7545</v>
      </c>
      <c r="F68" s="289">
        <v>0</v>
      </c>
      <c r="G68" s="363">
        <f t="shared" si="25"/>
        <v>0</v>
      </c>
      <c r="H68" s="287"/>
      <c r="I68" s="313">
        <f t="shared" si="26"/>
        <v>0</v>
      </c>
      <c r="J68" s="287">
        <v>0</v>
      </c>
      <c r="K68" s="288">
        <f t="shared" si="282"/>
        <v>0</v>
      </c>
      <c r="L68" s="289">
        <v>0</v>
      </c>
      <c r="M68" s="290">
        <f t="shared" si="283"/>
        <v>0</v>
      </c>
      <c r="N68" s="287">
        <v>0</v>
      </c>
      <c r="O68" s="288">
        <f t="shared" si="284"/>
        <v>0</v>
      </c>
      <c r="P68" s="289">
        <v>0</v>
      </c>
      <c r="Q68" s="290">
        <f t="shared" si="285"/>
        <v>0</v>
      </c>
      <c r="R68" s="287"/>
      <c r="S68" s="288">
        <f t="shared" si="52"/>
        <v>0</v>
      </c>
      <c r="T68" s="287">
        <v>0</v>
      </c>
      <c r="U68" s="288">
        <f t="shared" si="286"/>
        <v>0</v>
      </c>
      <c r="V68" s="289">
        <v>0</v>
      </c>
      <c r="W68" s="290">
        <f t="shared" si="287"/>
        <v>0</v>
      </c>
      <c r="X68" s="287"/>
      <c r="Y68" s="313">
        <f t="shared" si="288"/>
        <v>0</v>
      </c>
      <c r="Z68" s="289"/>
      <c r="AA68" s="363">
        <f t="shared" si="34"/>
        <v>0</v>
      </c>
      <c r="AB68" s="287">
        <v>0</v>
      </c>
      <c r="AC68" s="313">
        <f t="shared" si="35"/>
        <v>0</v>
      </c>
      <c r="AD68" s="289"/>
      <c r="AE68" s="363">
        <f t="shared" si="36"/>
        <v>0</v>
      </c>
      <c r="AF68" s="323">
        <f t="shared" si="37"/>
        <v>0</v>
      </c>
      <c r="AG68" s="81">
        <v>0</v>
      </c>
      <c r="AH68" s="81"/>
      <c r="AI68" s="84">
        <v>0</v>
      </c>
      <c r="AJ68" s="85"/>
      <c r="AK68" s="230">
        <f t="shared" si="289"/>
        <v>6793</v>
      </c>
      <c r="AL68" s="195">
        <v>6792.08</v>
      </c>
      <c r="AM68" s="84">
        <f t="shared" si="290"/>
        <v>0</v>
      </c>
      <c r="AN68" s="85"/>
      <c r="AO68" s="84">
        <f t="shared" si="280"/>
        <v>0</v>
      </c>
      <c r="AP68" s="81"/>
      <c r="AQ68" s="84">
        <f t="shared" si="281"/>
        <v>0</v>
      </c>
      <c r="AR68" s="85"/>
      <c r="AS68" s="84">
        <f t="shared" si="167"/>
        <v>0</v>
      </c>
      <c r="AT68" s="85"/>
      <c r="AU68" s="84">
        <f t="shared" si="168"/>
        <v>0</v>
      </c>
      <c r="AV68" s="85"/>
      <c r="AW68" s="84">
        <f t="shared" si="162"/>
        <v>0</v>
      </c>
      <c r="AX68" s="85"/>
      <c r="AY68" s="84">
        <f t="shared" si="163"/>
        <v>0</v>
      </c>
      <c r="AZ68" s="85"/>
      <c r="BA68" s="84">
        <f t="shared" si="42"/>
        <v>0</v>
      </c>
      <c r="BB68" s="85"/>
      <c r="BC68" s="84">
        <f t="shared" si="43"/>
        <v>0</v>
      </c>
      <c r="BD68" s="81"/>
      <c r="BE68" s="214">
        <f t="shared" si="44"/>
        <v>0</v>
      </c>
    </row>
    <row r="69" spans="1:58" x14ac:dyDescent="0.35">
      <c r="A69" s="159" t="s">
        <v>534</v>
      </c>
      <c r="B69" s="180"/>
      <c r="C69" s="83"/>
      <c r="D69" s="107">
        <f>'2022-23'!AW64</f>
        <v>493.94999999999709</v>
      </c>
      <c r="E69" s="304">
        <f>D69</f>
        <v>493.94999999999709</v>
      </c>
      <c r="F69" s="289"/>
      <c r="G69" s="363">
        <f t="shared" si="25"/>
        <v>0</v>
      </c>
      <c r="H69" s="287"/>
      <c r="I69" s="313">
        <f t="shared" si="26"/>
        <v>0</v>
      </c>
      <c r="J69" s="287"/>
      <c r="K69" s="288">
        <f t="shared" si="282"/>
        <v>0</v>
      </c>
      <c r="L69" s="289"/>
      <c r="M69" s="290">
        <f t="shared" si="283"/>
        <v>0</v>
      </c>
      <c r="N69" s="287"/>
      <c r="O69" s="288">
        <f t="shared" si="284"/>
        <v>0</v>
      </c>
      <c r="P69" s="289">
        <v>494</v>
      </c>
      <c r="Q69" s="290">
        <f t="shared" si="285"/>
        <v>1.0001012248203318</v>
      </c>
      <c r="R69" s="287"/>
      <c r="S69" s="288">
        <f t="shared" si="52"/>
        <v>0</v>
      </c>
      <c r="T69" s="287"/>
      <c r="U69" s="288">
        <f t="shared" si="286"/>
        <v>0</v>
      </c>
      <c r="V69" s="289"/>
      <c r="W69" s="290">
        <f t="shared" si="287"/>
        <v>0</v>
      </c>
      <c r="X69" s="287"/>
      <c r="Y69" s="313">
        <f t="shared" si="288"/>
        <v>0</v>
      </c>
      <c r="Z69" s="289"/>
      <c r="AA69" s="363">
        <f t="shared" si="34"/>
        <v>0</v>
      </c>
      <c r="AB69" s="287"/>
      <c r="AC69" s="313">
        <f t="shared" si="35"/>
        <v>0</v>
      </c>
      <c r="AD69" s="289"/>
      <c r="AE69" s="363">
        <f t="shared" si="36"/>
        <v>0</v>
      </c>
      <c r="AF69" s="323">
        <f t="shared" si="37"/>
        <v>1.0001012248203318</v>
      </c>
      <c r="AG69" s="81">
        <v>0</v>
      </c>
      <c r="AH69" s="81"/>
      <c r="AI69" s="84"/>
      <c r="AJ69" s="85"/>
      <c r="AK69" s="84"/>
      <c r="AL69" s="81"/>
      <c r="AM69" s="230">
        <f>AN69</f>
        <v>494</v>
      </c>
      <c r="AN69" s="231">
        <v>494</v>
      </c>
      <c r="AO69" s="84">
        <f t="shared" si="280"/>
        <v>-5.0000000002910383E-2</v>
      </c>
      <c r="AP69" s="81"/>
      <c r="AQ69" s="84">
        <f t="shared" si="281"/>
        <v>0</v>
      </c>
      <c r="AR69" s="85"/>
      <c r="AS69" s="84">
        <f t="shared" si="167"/>
        <v>0</v>
      </c>
      <c r="AT69" s="85"/>
      <c r="AU69" s="84">
        <f t="shared" si="168"/>
        <v>0</v>
      </c>
      <c r="AV69" s="85"/>
      <c r="AW69" s="84">
        <f t="shared" si="162"/>
        <v>0</v>
      </c>
      <c r="AX69" s="85"/>
      <c r="AY69" s="84">
        <f t="shared" si="163"/>
        <v>0</v>
      </c>
      <c r="AZ69" s="85"/>
      <c r="BA69" s="84">
        <f t="shared" si="42"/>
        <v>0</v>
      </c>
      <c r="BB69" s="85"/>
      <c r="BC69" s="84">
        <f t="shared" si="43"/>
        <v>0</v>
      </c>
      <c r="BD69" s="81"/>
      <c r="BE69" s="214">
        <f t="shared" si="44"/>
        <v>0</v>
      </c>
    </row>
    <row r="70" spans="1:58" x14ac:dyDescent="0.35">
      <c r="A70" s="159" t="s">
        <v>686</v>
      </c>
      <c r="B70" s="180"/>
      <c r="C70" s="83">
        <v>3377</v>
      </c>
      <c r="D70" s="107">
        <f>'2022-23'!AW38</f>
        <v>3376.5199999999968</v>
      </c>
      <c r="E70" s="304">
        <v>3377</v>
      </c>
      <c r="F70" s="289"/>
      <c r="G70" s="363">
        <f t="shared" si="25"/>
        <v>0</v>
      </c>
      <c r="H70" s="287"/>
      <c r="I70" s="313">
        <f t="shared" si="26"/>
        <v>0</v>
      </c>
      <c r="J70" s="287"/>
      <c r="K70" s="288">
        <f t="shared" si="282"/>
        <v>0</v>
      </c>
      <c r="L70" s="289"/>
      <c r="M70" s="290">
        <f t="shared" si="283"/>
        <v>0</v>
      </c>
      <c r="N70" s="287"/>
      <c r="O70" s="288">
        <f t="shared" si="284"/>
        <v>0</v>
      </c>
      <c r="P70" s="289"/>
      <c r="Q70" s="290">
        <f t="shared" si="285"/>
        <v>0</v>
      </c>
      <c r="R70" s="287"/>
      <c r="S70" s="288">
        <f t="shared" si="52"/>
        <v>0</v>
      </c>
      <c r="T70" s="287"/>
      <c r="U70" s="288">
        <f t="shared" si="286"/>
        <v>0</v>
      </c>
      <c r="V70" s="289"/>
      <c r="W70" s="290">
        <f t="shared" si="287"/>
        <v>0</v>
      </c>
      <c r="X70" s="287"/>
      <c r="Y70" s="313">
        <f t="shared" si="288"/>
        <v>0</v>
      </c>
      <c r="Z70" s="289"/>
      <c r="AA70" s="363">
        <f t="shared" si="34"/>
        <v>0</v>
      </c>
      <c r="AB70" s="287"/>
      <c r="AC70" s="313">
        <f t="shared" si="35"/>
        <v>0</v>
      </c>
      <c r="AD70" s="289">
        <v>3377</v>
      </c>
      <c r="AE70" s="363">
        <f t="shared" si="36"/>
        <v>1</v>
      </c>
      <c r="AF70" s="323">
        <f t="shared" si="37"/>
        <v>1</v>
      </c>
      <c r="AG70" s="81">
        <v>0</v>
      </c>
      <c r="AH70" s="81"/>
      <c r="AI70" s="84">
        <v>0</v>
      </c>
      <c r="AJ70" s="85"/>
      <c r="AK70" s="84">
        <v>0</v>
      </c>
      <c r="AL70" s="81"/>
      <c r="AM70" s="84">
        <v>0</v>
      </c>
      <c r="AN70" s="85"/>
      <c r="AO70" s="84">
        <v>0</v>
      </c>
      <c r="AP70" s="81"/>
      <c r="AQ70" s="84">
        <v>0</v>
      </c>
      <c r="AR70" s="85"/>
      <c r="AS70" s="84">
        <v>0</v>
      </c>
      <c r="AT70" s="85"/>
      <c r="AU70" s="84">
        <v>0</v>
      </c>
      <c r="AV70" s="85"/>
      <c r="AW70" s="84">
        <v>0</v>
      </c>
      <c r="AX70" s="85"/>
      <c r="AY70" s="84">
        <v>0</v>
      </c>
      <c r="AZ70" s="85"/>
      <c r="BA70" s="84">
        <v>0</v>
      </c>
      <c r="BB70" s="85"/>
      <c r="BC70" s="84">
        <v>0</v>
      </c>
      <c r="BD70" s="81"/>
      <c r="BE70" s="214">
        <f t="shared" si="44"/>
        <v>3376.5199999999968</v>
      </c>
    </row>
    <row r="71" spans="1:58" x14ac:dyDescent="0.35">
      <c r="A71" s="159" t="s">
        <v>631</v>
      </c>
      <c r="B71" s="180"/>
      <c r="C71" s="83">
        <v>12744</v>
      </c>
      <c r="D71" s="107">
        <f>'2022-23'!AW41+7355.14</f>
        <v>22325.95</v>
      </c>
      <c r="E71" s="304">
        <f>D71</f>
        <v>22325.95</v>
      </c>
      <c r="F71" s="289">
        <v>0</v>
      </c>
      <c r="G71" s="363">
        <f t="shared" si="25"/>
        <v>0</v>
      </c>
      <c r="H71" s="287"/>
      <c r="I71" s="313">
        <f t="shared" si="26"/>
        <v>0</v>
      </c>
      <c r="J71" s="287">
        <v>200</v>
      </c>
      <c r="K71" s="288">
        <f t="shared" si="282"/>
        <v>8.9581854299593065E-3</v>
      </c>
      <c r="L71" s="289">
        <v>200</v>
      </c>
      <c r="M71" s="290">
        <f t="shared" si="283"/>
        <v>8.9581854299593065E-3</v>
      </c>
      <c r="N71" s="287">
        <v>2500</v>
      </c>
      <c r="O71" s="288">
        <f t="shared" si="284"/>
        <v>0.11197731787449133</v>
      </c>
      <c r="P71" s="289">
        <v>2000</v>
      </c>
      <c r="Q71" s="290">
        <f t="shared" si="285"/>
        <v>8.9581854299593075E-2</v>
      </c>
      <c r="R71" s="287"/>
      <c r="S71" s="288">
        <f t="shared" si="52"/>
        <v>0</v>
      </c>
      <c r="T71" s="287">
        <v>441</v>
      </c>
      <c r="U71" s="288">
        <f t="shared" si="286"/>
        <v>1.9752798873060272E-2</v>
      </c>
      <c r="V71" s="289">
        <f>4065+601+2737</f>
        <v>7403</v>
      </c>
      <c r="W71" s="290">
        <f t="shared" si="287"/>
        <v>0.33158723368994375</v>
      </c>
      <c r="X71" s="287">
        <v>7355.14</v>
      </c>
      <c r="Y71" s="313">
        <f t="shared" si="288"/>
        <v>0.32944353991655451</v>
      </c>
      <c r="Z71" s="289"/>
      <c r="AA71" s="363">
        <f t="shared" si="34"/>
        <v>0</v>
      </c>
      <c r="AB71" s="287"/>
      <c r="AC71" s="313">
        <f t="shared" si="35"/>
        <v>0</v>
      </c>
      <c r="AD71" s="289"/>
      <c r="AE71" s="363">
        <f t="shared" si="36"/>
        <v>0</v>
      </c>
      <c r="AF71" s="323">
        <f t="shared" si="37"/>
        <v>0.90025911551356153</v>
      </c>
      <c r="AG71" s="195">
        <v>8179.59</v>
      </c>
      <c r="AH71" s="195">
        <v>8179.59</v>
      </c>
      <c r="AI71" s="230">
        <v>5079.49</v>
      </c>
      <c r="AJ71" s="231">
        <v>5079.49</v>
      </c>
      <c r="AK71" s="84">
        <v>0</v>
      </c>
      <c r="AL71" s="81"/>
      <c r="AM71" s="230">
        <f>AN71</f>
        <v>1711.76</v>
      </c>
      <c r="AN71" s="231">
        <v>1711.76</v>
      </c>
      <c r="AO71" s="84">
        <v>0</v>
      </c>
      <c r="AP71" s="81"/>
      <c r="AQ71" s="230">
        <v>7355.14</v>
      </c>
      <c r="AR71" s="231">
        <v>7355.14</v>
      </c>
      <c r="AS71" s="84">
        <f t="shared" si="167"/>
        <v>-2.9999999999745341E-2</v>
      </c>
      <c r="AT71" s="85"/>
      <c r="AU71" s="84">
        <f t="shared" si="168"/>
        <v>0</v>
      </c>
      <c r="AV71" s="85"/>
      <c r="AW71" s="84">
        <f t="shared" si="162"/>
        <v>0</v>
      </c>
      <c r="AX71" s="85"/>
      <c r="AY71" s="84">
        <f t="shared" si="163"/>
        <v>0</v>
      </c>
      <c r="AZ71" s="85"/>
      <c r="BA71" s="84">
        <f t="shared" si="42"/>
        <v>0</v>
      </c>
      <c r="BB71" s="85"/>
      <c r="BC71" s="84">
        <f t="shared" si="43"/>
        <v>0</v>
      </c>
      <c r="BD71" s="81"/>
      <c r="BE71" s="214">
        <f t="shared" si="44"/>
        <v>0</v>
      </c>
    </row>
    <row r="72" spans="1:58" x14ac:dyDescent="0.35">
      <c r="A72" s="159" t="s">
        <v>617</v>
      </c>
      <c r="B72" s="180"/>
      <c r="C72" s="83">
        <v>20170</v>
      </c>
      <c r="D72" s="107">
        <f>'2022-23'!AW69+833.08+338.46+1595.03+3707.33+277.16-1334.45</f>
        <v>28739.560000000005</v>
      </c>
      <c r="E72" s="304">
        <f>D72</f>
        <v>28739.560000000005</v>
      </c>
      <c r="F72" s="289"/>
      <c r="G72" s="363">
        <f t="shared" si="25"/>
        <v>0</v>
      </c>
      <c r="H72" s="287"/>
      <c r="I72" s="313">
        <f t="shared" si="26"/>
        <v>0</v>
      </c>
      <c r="J72" s="287"/>
      <c r="K72" s="288">
        <f t="shared" si="282"/>
        <v>0</v>
      </c>
      <c r="L72" s="289"/>
      <c r="M72" s="290">
        <f t="shared" si="283"/>
        <v>0</v>
      </c>
      <c r="N72" s="287"/>
      <c r="O72" s="288">
        <f t="shared" si="284"/>
        <v>0</v>
      </c>
      <c r="P72" s="289"/>
      <c r="Q72" s="290">
        <f t="shared" si="285"/>
        <v>0</v>
      </c>
      <c r="R72" s="287"/>
      <c r="S72" s="288">
        <f t="shared" si="52"/>
        <v>0</v>
      </c>
      <c r="T72" s="287"/>
      <c r="U72" s="288">
        <f t="shared" si="286"/>
        <v>0</v>
      </c>
      <c r="V72" s="289">
        <v>20170</v>
      </c>
      <c r="W72" s="290">
        <f t="shared" si="287"/>
        <v>0.70182006961832388</v>
      </c>
      <c r="X72" s="287"/>
      <c r="Y72" s="313">
        <f t="shared" si="288"/>
        <v>0</v>
      </c>
      <c r="Z72" s="289"/>
      <c r="AA72" s="363">
        <f t="shared" si="34"/>
        <v>0</v>
      </c>
      <c r="AB72" s="287"/>
      <c r="AC72" s="313">
        <f t="shared" si="35"/>
        <v>0</v>
      </c>
      <c r="AD72" s="289"/>
      <c r="AE72" s="363">
        <f t="shared" si="36"/>
        <v>0</v>
      </c>
      <c r="AF72" s="323">
        <f t="shared" si="37"/>
        <v>0.70182006961832388</v>
      </c>
      <c r="AG72" s="195">
        <v>7958.18</v>
      </c>
      <c r="AH72" s="195">
        <v>7958</v>
      </c>
      <c r="AI72" s="230">
        <v>10284.530000000001</v>
      </c>
      <c r="AJ72" s="231">
        <v>10284.530000000001</v>
      </c>
      <c r="AK72" s="84">
        <v>0</v>
      </c>
      <c r="AL72" s="81"/>
      <c r="AM72" s="84">
        <v>0</v>
      </c>
      <c r="AN72" s="85">
        <v>0</v>
      </c>
      <c r="AO72" s="230">
        <f t="shared" si="280"/>
        <v>10496.850000000004</v>
      </c>
      <c r="AP72" s="195">
        <f>5080.39+277.16+3707.33+1595.03+338.46+833.08-1334.45</f>
        <v>10497</v>
      </c>
      <c r="AQ72" s="84">
        <f t="shared" si="281"/>
        <v>0</v>
      </c>
      <c r="AR72" s="85"/>
      <c r="AS72" s="84">
        <f t="shared" si="167"/>
        <v>0</v>
      </c>
      <c r="AT72" s="85"/>
      <c r="AU72" s="84">
        <f t="shared" si="168"/>
        <v>0</v>
      </c>
      <c r="AV72" s="85"/>
      <c r="AW72" s="84">
        <f t="shared" si="162"/>
        <v>0</v>
      </c>
      <c r="AX72" s="85"/>
      <c r="AY72" s="84">
        <f t="shared" si="163"/>
        <v>0</v>
      </c>
      <c r="AZ72" s="85"/>
      <c r="BA72" s="84">
        <f t="shared" si="42"/>
        <v>0</v>
      </c>
      <c r="BB72" s="85"/>
      <c r="BC72" s="84">
        <f t="shared" si="43"/>
        <v>0</v>
      </c>
      <c r="BD72" s="81"/>
      <c r="BE72" s="214">
        <f t="shared" si="44"/>
        <v>0</v>
      </c>
    </row>
    <row r="73" spans="1:58" x14ac:dyDescent="0.35">
      <c r="A73" s="159" t="s">
        <v>643</v>
      </c>
      <c r="B73" s="180"/>
      <c r="C73" s="83">
        <v>40108</v>
      </c>
      <c r="D73" s="107">
        <f>'2022-23'!AW32</f>
        <v>40108.28</v>
      </c>
      <c r="E73" s="304">
        <v>40108</v>
      </c>
      <c r="F73" s="289">
        <f>1200-1200</f>
        <v>0</v>
      </c>
      <c r="G73" s="363">
        <f t="shared" si="25"/>
        <v>0</v>
      </c>
      <c r="H73" s="287">
        <f>4648.21-2324.11</f>
        <v>2324.1</v>
      </c>
      <c r="I73" s="313">
        <f t="shared" si="26"/>
        <v>5.7946045676672983E-2</v>
      </c>
      <c r="J73" s="287">
        <f>9467.12-9467.12</f>
        <v>0</v>
      </c>
      <c r="K73" s="288">
        <f t="shared" si="282"/>
        <v>0</v>
      </c>
      <c r="L73" s="289">
        <f>5575.21-5509.11</f>
        <v>66.100000000000364</v>
      </c>
      <c r="M73" s="290">
        <f t="shared" si="283"/>
        <v>1.6480502642864357E-3</v>
      </c>
      <c r="N73" s="287">
        <v>9902.89</v>
      </c>
      <c r="O73" s="288">
        <f t="shared" si="284"/>
        <v>0.24690560486685947</v>
      </c>
      <c r="P73" s="289"/>
      <c r="Q73" s="290">
        <f t="shared" si="285"/>
        <v>0</v>
      </c>
      <c r="R73" s="287">
        <v>4915.1899999999996</v>
      </c>
      <c r="S73" s="288">
        <f t="shared" si="52"/>
        <v>0.12254886805624812</v>
      </c>
      <c r="T73" s="287">
        <v>5807.15</v>
      </c>
      <c r="U73" s="288">
        <f t="shared" si="286"/>
        <v>0.14478782287822878</v>
      </c>
      <c r="V73" s="289">
        <f>13064.49+1333.92</f>
        <v>14398.41</v>
      </c>
      <c r="W73" s="290">
        <f t="shared" si="287"/>
        <v>0.35899097436920313</v>
      </c>
      <c r="X73" s="287"/>
      <c r="Y73" s="313">
        <f t="shared" si="288"/>
        <v>0</v>
      </c>
      <c r="Z73" s="289"/>
      <c r="AA73" s="363">
        <f t="shared" si="34"/>
        <v>0</v>
      </c>
      <c r="AB73" s="287"/>
      <c r="AC73" s="313">
        <f t="shared" si="35"/>
        <v>0</v>
      </c>
      <c r="AD73" s="289">
        <f>11258.1-8563.53</f>
        <v>2694.5699999999997</v>
      </c>
      <c r="AE73" s="363">
        <f t="shared" si="36"/>
        <v>6.7182856288022327E-2</v>
      </c>
      <c r="AF73" s="323">
        <f t="shared" si="37"/>
        <v>1.0000102223995211</v>
      </c>
      <c r="AG73" s="195">
        <v>21849.65</v>
      </c>
      <c r="AH73" s="195">
        <v>21849.65</v>
      </c>
      <c r="AI73" s="230">
        <v>13771.98</v>
      </c>
      <c r="AJ73" s="231">
        <v>13771.98</v>
      </c>
      <c r="AK73" s="84">
        <v>0</v>
      </c>
      <c r="AL73" s="81"/>
      <c r="AM73" s="84">
        <v>0</v>
      </c>
      <c r="AN73" s="85"/>
      <c r="AO73" s="84">
        <v>0</v>
      </c>
      <c r="AP73" s="81"/>
      <c r="AQ73" s="230">
        <f t="shared" si="281"/>
        <v>4486.6499999999978</v>
      </c>
      <c r="AR73" s="231">
        <v>4486.8100000000004</v>
      </c>
      <c r="AS73" s="84">
        <f t="shared" si="167"/>
        <v>0</v>
      </c>
      <c r="AT73" s="85"/>
      <c r="AU73" s="84">
        <f t="shared" si="168"/>
        <v>0</v>
      </c>
      <c r="AV73" s="85"/>
      <c r="AW73" s="84">
        <f t="shared" si="162"/>
        <v>0</v>
      </c>
      <c r="AX73" s="85"/>
      <c r="AY73" s="84">
        <f t="shared" si="163"/>
        <v>0</v>
      </c>
      <c r="AZ73" s="85"/>
      <c r="BA73" s="84">
        <f t="shared" si="42"/>
        <v>0</v>
      </c>
      <c r="BB73" s="85"/>
      <c r="BC73" s="84">
        <f t="shared" si="43"/>
        <v>0</v>
      </c>
      <c r="BD73" s="81"/>
      <c r="BE73" s="214">
        <f t="shared" si="44"/>
        <v>0</v>
      </c>
    </row>
    <row r="74" spans="1:58" x14ac:dyDescent="0.35">
      <c r="A74" s="159" t="s">
        <v>616</v>
      </c>
      <c r="B74" s="180"/>
      <c r="C74" s="83">
        <f>D74</f>
        <v>22928.329999999998</v>
      </c>
      <c r="D74" s="107">
        <f>'2022-23'!AW57</f>
        <v>22928.329999999998</v>
      </c>
      <c r="E74" s="304">
        <f>57246.74-34318</f>
        <v>22928.739999999998</v>
      </c>
      <c r="F74" s="289">
        <f>1200-1200</f>
        <v>0</v>
      </c>
      <c r="G74" s="363">
        <f t="shared" si="25"/>
        <v>0</v>
      </c>
      <c r="H74" s="287">
        <f>5048.21-2019.28</f>
        <v>3028.9300000000003</v>
      </c>
      <c r="I74" s="313">
        <f t="shared" si="26"/>
        <v>0.1321018948271907</v>
      </c>
      <c r="J74" s="287">
        <f>7358.77-7358.77</f>
        <v>0</v>
      </c>
      <c r="K74" s="288">
        <f t="shared" si="282"/>
        <v>0</v>
      </c>
      <c r="L74" s="289">
        <f>4992.81-4992.81</f>
        <v>0</v>
      </c>
      <c r="M74" s="290">
        <f t="shared" si="283"/>
        <v>0</v>
      </c>
      <c r="N74" s="287">
        <f>11674.19-11674.18</f>
        <v>1.0000000000218279E-2</v>
      </c>
      <c r="O74" s="288">
        <f t="shared" si="284"/>
        <v>4.3613386519356404E-7</v>
      </c>
      <c r="P74" s="289">
        <f>13893.28-2961.39</f>
        <v>10931.890000000001</v>
      </c>
      <c r="Q74" s="290">
        <f t="shared" si="285"/>
        <v>0.47677674394668013</v>
      </c>
      <c r="R74" s="287"/>
      <c r="S74" s="288">
        <f t="shared" si="52"/>
        <v>0</v>
      </c>
      <c r="T74" s="287">
        <f>4111.55-4111.56</f>
        <v>-1.0000000000218279E-2</v>
      </c>
      <c r="U74" s="288">
        <f t="shared" si="286"/>
        <v>-4.3613386519356404E-7</v>
      </c>
      <c r="V74" s="289">
        <f>7669.13+1298.8</f>
        <v>8967.93</v>
      </c>
      <c r="W74" s="290">
        <f t="shared" si="287"/>
        <v>0.39112179735999453</v>
      </c>
      <c r="X74" s="287"/>
      <c r="Y74" s="313">
        <f t="shared" si="288"/>
        <v>0</v>
      </c>
      <c r="Z74" s="289"/>
      <c r="AA74" s="363">
        <f t="shared" si="34"/>
        <v>0</v>
      </c>
      <c r="AB74" s="287"/>
      <c r="AC74" s="313">
        <f t="shared" si="35"/>
        <v>0</v>
      </c>
      <c r="AD74" s="289"/>
      <c r="AE74" s="363">
        <f t="shared" si="36"/>
        <v>0</v>
      </c>
      <c r="AF74" s="323">
        <f t="shared" si="37"/>
        <v>1.0000004361338655</v>
      </c>
      <c r="AG74" s="195">
        <v>14698.66</v>
      </c>
      <c r="AH74" s="195">
        <v>14698.66</v>
      </c>
      <c r="AI74" s="230">
        <v>5884.98</v>
      </c>
      <c r="AJ74" s="231">
        <v>5884.98</v>
      </c>
      <c r="AK74" s="230">
        <v>1335.49</v>
      </c>
      <c r="AL74" s="195">
        <v>1335.49</v>
      </c>
      <c r="AM74" s="84">
        <v>0</v>
      </c>
      <c r="AN74" s="85"/>
      <c r="AO74" s="84">
        <v>0</v>
      </c>
      <c r="AP74" s="81"/>
      <c r="AQ74" s="230">
        <v>1009</v>
      </c>
      <c r="AR74" s="231">
        <v>1009.64</v>
      </c>
      <c r="AS74" s="84">
        <f t="shared" si="167"/>
        <v>0.19999999999868123</v>
      </c>
      <c r="AT74" s="85"/>
      <c r="AU74" s="84">
        <f t="shared" si="168"/>
        <v>0</v>
      </c>
      <c r="AV74" s="85"/>
      <c r="AW74" s="84">
        <f t="shared" si="162"/>
        <v>0</v>
      </c>
      <c r="AX74" s="85"/>
      <c r="AY74" s="84">
        <f t="shared" si="163"/>
        <v>0</v>
      </c>
      <c r="AZ74" s="85"/>
      <c r="BA74" s="84">
        <f t="shared" si="42"/>
        <v>0</v>
      </c>
      <c r="BB74" s="85"/>
      <c r="BC74" s="84">
        <f t="shared" si="43"/>
        <v>0</v>
      </c>
      <c r="BD74" s="81"/>
      <c r="BE74" s="214">
        <f t="shared" si="44"/>
        <v>0</v>
      </c>
    </row>
    <row r="75" spans="1:58" x14ac:dyDescent="0.35">
      <c r="A75" s="159" t="s">
        <v>657</v>
      </c>
      <c r="B75" s="180"/>
      <c r="C75" s="83">
        <v>46737.38</v>
      </c>
      <c r="D75" s="107">
        <f>46737.38+557.93</f>
        <v>47295.31</v>
      </c>
      <c r="E75" s="304">
        <f>D75</f>
        <v>47295.31</v>
      </c>
      <c r="F75" s="289">
        <v>1260</v>
      </c>
      <c r="G75" s="363">
        <f t="shared" si="25"/>
        <v>2.664111938371902E-2</v>
      </c>
      <c r="H75" s="287"/>
      <c r="I75" s="313">
        <f t="shared" si="26"/>
        <v>0</v>
      </c>
      <c r="J75" s="287">
        <v>7271.67</v>
      </c>
      <c r="K75" s="288">
        <f t="shared" si="282"/>
        <v>0.15375034015000644</v>
      </c>
      <c r="L75" s="289">
        <v>3086.32</v>
      </c>
      <c r="M75" s="290">
        <f t="shared" si="283"/>
        <v>6.5256364743142614E-2</v>
      </c>
      <c r="N75" s="287"/>
      <c r="O75" s="288">
        <f t="shared" si="284"/>
        <v>0</v>
      </c>
      <c r="P75" s="289">
        <f>4646.39+557.93</f>
        <v>5204.3200000000006</v>
      </c>
      <c r="Q75" s="290">
        <f t="shared" si="285"/>
        <v>0.11003881780244174</v>
      </c>
      <c r="R75" s="287">
        <f>956.42+139.73+353.75+47.7</f>
        <v>1497.6</v>
      </c>
      <c r="S75" s="288">
        <f t="shared" si="52"/>
        <v>3.1664873324648894E-2</v>
      </c>
      <c r="T75" s="287">
        <f>1317.22+1501.83</f>
        <v>2819.05</v>
      </c>
      <c r="U75" s="288">
        <f t="shared" si="286"/>
        <v>5.9605275871962786E-2</v>
      </c>
      <c r="V75" s="289">
        <f>1134+7569.59</f>
        <v>8703.59</v>
      </c>
      <c r="W75" s="290">
        <f t="shared" si="287"/>
        <v>0.1840264922674151</v>
      </c>
      <c r="X75" s="287"/>
      <c r="Y75" s="313">
        <f t="shared" si="288"/>
        <v>0</v>
      </c>
      <c r="Z75" s="289"/>
      <c r="AA75" s="363">
        <f t="shared" si="34"/>
        <v>0</v>
      </c>
      <c r="AB75" s="287">
        <v>3320.16</v>
      </c>
      <c r="AC75" s="313">
        <f t="shared" si="35"/>
        <v>7.0200618200832177E-2</v>
      </c>
      <c r="AD75" s="289">
        <f>8545.67+5586.93</f>
        <v>14132.6</v>
      </c>
      <c r="AE75" s="363">
        <f t="shared" si="36"/>
        <v>0.29881609825583133</v>
      </c>
      <c r="AF75" s="323">
        <f t="shared" si="37"/>
        <v>1</v>
      </c>
      <c r="AG75" s="195">
        <v>5670.01</v>
      </c>
      <c r="AH75" s="195">
        <v>5670.01</v>
      </c>
      <c r="AI75" s="230">
        <v>14722</v>
      </c>
      <c r="AJ75" s="231">
        <v>14721.68</v>
      </c>
      <c r="AK75" s="230">
        <f>AL75</f>
        <v>3467.4</v>
      </c>
      <c r="AL75" s="195">
        <v>3467.4</v>
      </c>
      <c r="AM75" s="230">
        <f>AN75</f>
        <v>2000.34</v>
      </c>
      <c r="AN75" s="231">
        <v>2000.34</v>
      </c>
      <c r="AO75" s="84">
        <v>0</v>
      </c>
      <c r="AP75" s="81"/>
      <c r="AQ75" s="230">
        <v>2387</v>
      </c>
      <c r="AR75" s="231">
        <v>2386.5</v>
      </c>
      <c r="AS75" s="230">
        <f>AT75</f>
        <v>10918.28</v>
      </c>
      <c r="AT75" s="231">
        <v>10918.28</v>
      </c>
      <c r="AU75" s="230">
        <f>AV75</f>
        <v>6902.9400000000005</v>
      </c>
      <c r="AV75" s="231">
        <f>6345.01+557.93</f>
        <v>6902.9400000000005</v>
      </c>
      <c r="AW75" s="84"/>
      <c r="AX75" s="85"/>
      <c r="AY75" s="230">
        <v>1227</v>
      </c>
      <c r="AZ75" s="231">
        <v>1227.1600000000001</v>
      </c>
      <c r="BA75" s="84">
        <v>0</v>
      </c>
      <c r="BB75" s="85"/>
      <c r="BC75" s="84">
        <f t="shared" si="43"/>
        <v>0.33999999999286956</v>
      </c>
      <c r="BD75" s="81"/>
      <c r="BE75" s="214">
        <f t="shared" si="44"/>
        <v>0</v>
      </c>
    </row>
    <row r="76" spans="1:58" x14ac:dyDescent="0.35">
      <c r="A76" s="159" t="s">
        <v>653</v>
      </c>
      <c r="B76" s="180"/>
      <c r="C76" s="83">
        <v>20301.5</v>
      </c>
      <c r="D76" s="107">
        <f>'2022-23'!AW22</f>
        <v>20302</v>
      </c>
      <c r="E76" s="304">
        <v>20302</v>
      </c>
      <c r="F76" s="289">
        <v>806.4</v>
      </c>
      <c r="G76" s="363">
        <f t="shared" si="25"/>
        <v>3.9720224608412964E-2</v>
      </c>
      <c r="H76" s="287"/>
      <c r="I76" s="313">
        <f t="shared" si="26"/>
        <v>0</v>
      </c>
      <c r="J76" s="287"/>
      <c r="K76" s="288">
        <f t="shared" si="282"/>
        <v>0</v>
      </c>
      <c r="L76" s="289">
        <v>3581.4</v>
      </c>
      <c r="M76" s="290">
        <f t="shared" si="283"/>
        <v>0.17640626539257218</v>
      </c>
      <c r="N76" s="287">
        <v>4945.37</v>
      </c>
      <c r="O76" s="288">
        <f t="shared" si="284"/>
        <v>0.24359028667126392</v>
      </c>
      <c r="P76" s="289"/>
      <c r="Q76" s="290">
        <f t="shared" si="285"/>
        <v>0</v>
      </c>
      <c r="R76" s="287"/>
      <c r="S76" s="288">
        <f t="shared" si="52"/>
        <v>0</v>
      </c>
      <c r="T76" s="287"/>
      <c r="U76" s="288">
        <f t="shared" si="286"/>
        <v>0</v>
      </c>
      <c r="V76" s="289">
        <v>10968.39</v>
      </c>
      <c r="W76" s="290">
        <f t="shared" si="287"/>
        <v>0.54026155058614911</v>
      </c>
      <c r="X76" s="287"/>
      <c r="Y76" s="313">
        <f t="shared" si="288"/>
        <v>0</v>
      </c>
      <c r="Z76" s="289"/>
      <c r="AA76" s="363">
        <f t="shared" si="34"/>
        <v>0</v>
      </c>
      <c r="AB76" s="287"/>
      <c r="AC76" s="313">
        <f t="shared" si="35"/>
        <v>0</v>
      </c>
      <c r="AD76" s="289"/>
      <c r="AE76" s="363">
        <f t="shared" si="36"/>
        <v>0</v>
      </c>
      <c r="AF76" s="323">
        <f t="shared" si="37"/>
        <v>0.99997832725839819</v>
      </c>
      <c r="AG76" s="195">
        <v>4156.09</v>
      </c>
      <c r="AH76" s="195">
        <v>4156.09</v>
      </c>
      <c r="AI76" s="84">
        <v>0</v>
      </c>
      <c r="AJ76" s="85"/>
      <c r="AK76" s="230">
        <v>5730.17</v>
      </c>
      <c r="AL76" s="195">
        <v>5730.17</v>
      </c>
      <c r="AM76" s="230">
        <f>AN76</f>
        <v>2949.76</v>
      </c>
      <c r="AN76" s="231">
        <v>2949.76</v>
      </c>
      <c r="AO76" s="230">
        <v>6738.37</v>
      </c>
      <c r="AP76" s="195">
        <v>6738.37</v>
      </c>
      <c r="AQ76" s="230">
        <v>512</v>
      </c>
      <c r="AR76" s="231">
        <v>511.6</v>
      </c>
      <c r="AS76" s="230">
        <v>215.54</v>
      </c>
      <c r="AT76" s="231">
        <v>215.54</v>
      </c>
      <c r="AU76" s="84">
        <f t="shared" si="168"/>
        <v>6.999999999968054E-2</v>
      </c>
      <c r="AV76" s="85"/>
      <c r="AW76" s="84">
        <f t="shared" si="162"/>
        <v>0</v>
      </c>
      <c r="AX76" s="85"/>
      <c r="AY76" s="84">
        <f t="shared" si="163"/>
        <v>0</v>
      </c>
      <c r="AZ76" s="85"/>
      <c r="BA76" s="84">
        <f t="shared" si="42"/>
        <v>0</v>
      </c>
      <c r="BB76" s="85"/>
      <c r="BC76" s="84">
        <f t="shared" si="43"/>
        <v>0</v>
      </c>
      <c r="BD76" s="81"/>
      <c r="BE76" s="214">
        <f t="shared" si="44"/>
        <v>0</v>
      </c>
    </row>
    <row r="77" spans="1:58" x14ac:dyDescent="0.35">
      <c r="A77" s="159" t="s">
        <v>639</v>
      </c>
      <c r="B77" s="180"/>
      <c r="C77" s="83">
        <f>51877.08-101.11</f>
        <v>51775.97</v>
      </c>
      <c r="D77" s="107">
        <f>C77</f>
        <v>51775.97</v>
      </c>
      <c r="E77" s="304">
        <f>D77</f>
        <v>51775.97</v>
      </c>
      <c r="F77" s="289">
        <v>3128</v>
      </c>
      <c r="G77" s="363">
        <f t="shared" si="25"/>
        <v>6.0414126476046708E-2</v>
      </c>
      <c r="H77" s="287"/>
      <c r="I77" s="313">
        <f t="shared" si="26"/>
        <v>0</v>
      </c>
      <c r="J77" s="287">
        <f>7033+634</f>
        <v>7667</v>
      </c>
      <c r="K77" s="288">
        <f t="shared" si="282"/>
        <v>0.14808027739509275</v>
      </c>
      <c r="L77" s="289">
        <v>4643</v>
      </c>
      <c r="M77" s="290">
        <f t="shared" si="283"/>
        <v>8.9674804740500269E-2</v>
      </c>
      <c r="N77" s="287">
        <v>9085</v>
      </c>
      <c r="O77" s="288">
        <f t="shared" si="284"/>
        <v>0.17546749969145919</v>
      </c>
      <c r="P77" s="289">
        <f>1632+10335</f>
        <v>11967</v>
      </c>
      <c r="Q77" s="290">
        <f t="shared" si="285"/>
        <v>0.23113038732060451</v>
      </c>
      <c r="R77" s="287"/>
      <c r="S77" s="288">
        <f t="shared" si="52"/>
        <v>0</v>
      </c>
      <c r="T77" s="287">
        <v>3324</v>
      </c>
      <c r="U77" s="288">
        <f t="shared" si="286"/>
        <v>6.4199666370325842E-2</v>
      </c>
      <c r="V77" s="289">
        <f>5329+245</f>
        <v>5574</v>
      </c>
      <c r="W77" s="290">
        <f t="shared" si="287"/>
        <v>0.1076561192383262</v>
      </c>
      <c r="X77" s="287"/>
      <c r="Y77" s="313">
        <f t="shared" si="288"/>
        <v>0</v>
      </c>
      <c r="Z77" s="289"/>
      <c r="AA77" s="363">
        <f t="shared" si="34"/>
        <v>0</v>
      </c>
      <c r="AB77" s="287"/>
      <c r="AC77" s="313">
        <f t="shared" si="35"/>
        <v>0</v>
      </c>
      <c r="AD77" s="289">
        <v>7122</v>
      </c>
      <c r="AE77" s="363">
        <f t="shared" si="36"/>
        <v>0.13755415881151042</v>
      </c>
      <c r="AF77" s="323">
        <f t="shared" si="37"/>
        <v>1.0141770400438659</v>
      </c>
      <c r="AG77" s="81">
        <v>0</v>
      </c>
      <c r="AH77" s="81"/>
      <c r="AI77" s="84">
        <v>0</v>
      </c>
      <c r="AJ77" s="85"/>
      <c r="AK77" s="230">
        <f>AL77</f>
        <v>6299.45</v>
      </c>
      <c r="AL77" s="195">
        <v>6299.45</v>
      </c>
      <c r="AM77" s="230">
        <f>AN77</f>
        <v>30708.6</v>
      </c>
      <c r="AN77" s="231">
        <v>30708.6</v>
      </c>
      <c r="AO77" s="230">
        <f>AP77</f>
        <v>13604.6</v>
      </c>
      <c r="AP77" s="195">
        <v>13604.6</v>
      </c>
      <c r="AQ77" s="230">
        <f t="shared" si="281"/>
        <v>1163.3200000000052</v>
      </c>
      <c r="AR77" s="231">
        <f>1264.43-101.11</f>
        <v>1163.3200000000002</v>
      </c>
      <c r="AS77" s="84">
        <f t="shared" si="167"/>
        <v>0</v>
      </c>
      <c r="AT77" s="85"/>
      <c r="AU77" s="84">
        <f t="shared" si="168"/>
        <v>0</v>
      </c>
      <c r="AV77" s="85"/>
      <c r="AW77" s="84">
        <f t="shared" si="162"/>
        <v>0</v>
      </c>
      <c r="AX77" s="85"/>
      <c r="AY77" s="84">
        <f t="shared" si="163"/>
        <v>0</v>
      </c>
      <c r="AZ77" s="85"/>
      <c r="BA77" s="84">
        <f t="shared" si="42"/>
        <v>0</v>
      </c>
      <c r="BB77" s="85"/>
      <c r="BC77" s="84">
        <f t="shared" si="43"/>
        <v>0</v>
      </c>
      <c r="BD77" s="81"/>
      <c r="BE77" s="214">
        <f t="shared" si="44"/>
        <v>0</v>
      </c>
    </row>
    <row r="78" spans="1:58" x14ac:dyDescent="0.35">
      <c r="A78" s="159" t="s">
        <v>638</v>
      </c>
      <c r="B78" s="180"/>
      <c r="C78" s="83">
        <v>54245.46</v>
      </c>
      <c r="D78" s="142">
        <v>0</v>
      </c>
      <c r="E78" s="304"/>
      <c r="F78" s="289"/>
      <c r="G78" s="363" t="e">
        <f t="shared" si="25"/>
        <v>#DIV/0!</v>
      </c>
      <c r="H78" s="287"/>
      <c r="I78" s="313" t="e">
        <f t="shared" si="26"/>
        <v>#DIV/0!</v>
      </c>
      <c r="J78" s="287"/>
      <c r="K78" s="288" t="e">
        <f t="shared" si="282"/>
        <v>#DIV/0!</v>
      </c>
      <c r="L78" s="289"/>
      <c r="M78" s="290" t="e">
        <f t="shared" si="283"/>
        <v>#DIV/0!</v>
      </c>
      <c r="N78" s="287"/>
      <c r="O78" s="288" t="e">
        <f t="shared" si="284"/>
        <v>#DIV/0!</v>
      </c>
      <c r="P78" s="289"/>
      <c r="Q78" s="290" t="e">
        <f t="shared" si="285"/>
        <v>#DIV/0!</v>
      </c>
      <c r="R78" s="287"/>
      <c r="S78" s="288" t="e">
        <f t="shared" si="52"/>
        <v>#DIV/0!</v>
      </c>
      <c r="T78" s="287"/>
      <c r="U78" s="288" t="e">
        <f t="shared" si="286"/>
        <v>#DIV/0!</v>
      </c>
      <c r="V78" s="289"/>
      <c r="W78" s="290" t="e">
        <f t="shared" si="287"/>
        <v>#DIV/0!</v>
      </c>
      <c r="X78" s="287"/>
      <c r="Y78" s="313" t="e">
        <f t="shared" si="288"/>
        <v>#DIV/0!</v>
      </c>
      <c r="Z78" s="289"/>
      <c r="AA78" s="363" t="e">
        <f t="shared" si="34"/>
        <v>#DIV/0!</v>
      </c>
      <c r="AB78" s="287"/>
      <c r="AC78" s="313" t="e">
        <f t="shared" si="35"/>
        <v>#DIV/0!</v>
      </c>
      <c r="AD78" s="289"/>
      <c r="AE78" s="363" t="e">
        <f t="shared" si="36"/>
        <v>#DIV/0!</v>
      </c>
      <c r="AF78" s="323" t="e">
        <f t="shared" si="37"/>
        <v>#DIV/0!</v>
      </c>
      <c r="AG78" s="81">
        <v>0</v>
      </c>
      <c r="AH78" s="81"/>
      <c r="AI78" s="84">
        <v>0</v>
      </c>
      <c r="AJ78" s="85"/>
      <c r="AK78" s="84">
        <v>0</v>
      </c>
      <c r="AL78" s="81"/>
      <c r="AM78" s="84">
        <v>0</v>
      </c>
      <c r="AN78" s="85"/>
      <c r="AO78" s="84">
        <v>0</v>
      </c>
      <c r="AP78" s="81"/>
      <c r="AQ78" s="84">
        <v>0</v>
      </c>
      <c r="AR78" s="85"/>
      <c r="AS78" s="84">
        <f t="shared" si="167"/>
        <v>0</v>
      </c>
      <c r="AT78" s="85"/>
      <c r="AU78" s="84">
        <f t="shared" si="168"/>
        <v>0</v>
      </c>
      <c r="AV78" s="85"/>
      <c r="AW78" s="84">
        <f t="shared" si="162"/>
        <v>0</v>
      </c>
      <c r="AX78" s="85"/>
      <c r="AY78" s="84">
        <f t="shared" si="163"/>
        <v>0</v>
      </c>
      <c r="AZ78" s="85"/>
      <c r="BA78" s="84">
        <f t="shared" si="42"/>
        <v>0</v>
      </c>
      <c r="BB78" s="85"/>
      <c r="BC78" s="84">
        <f t="shared" si="43"/>
        <v>0</v>
      </c>
      <c r="BD78" s="81"/>
      <c r="BE78" s="214">
        <f t="shared" si="44"/>
        <v>0</v>
      </c>
    </row>
    <row r="79" spans="1:58" x14ac:dyDescent="0.35">
      <c r="A79" s="159" t="s">
        <v>679</v>
      </c>
      <c r="B79" s="180"/>
      <c r="C79" s="83">
        <f>50425.43+85574.95</f>
        <v>136000.38</v>
      </c>
      <c r="D79" s="107">
        <f>85574.95+50425.43-3172.69</f>
        <v>132827.69</v>
      </c>
      <c r="E79" s="304">
        <f>D79</f>
        <v>132827.69</v>
      </c>
      <c r="F79" s="289">
        <f>1260+806.4</f>
        <v>2066.4</v>
      </c>
      <c r="G79" s="363">
        <f t="shared" si="25"/>
        <v>1.5556997189366163E-2</v>
      </c>
      <c r="H79" s="287"/>
      <c r="I79" s="313">
        <f t="shared" si="26"/>
        <v>0</v>
      </c>
      <c r="J79" s="287">
        <f>7116.64+10439.11</f>
        <v>17555.75</v>
      </c>
      <c r="K79" s="288">
        <f t="shared" si="27"/>
        <v>0.13216935414596159</v>
      </c>
      <c r="L79" s="289">
        <f>6459.76+7870.93</f>
        <v>14330.69</v>
      </c>
      <c r="M79" s="290">
        <f t="shared" si="28"/>
        <v>0.10788932638970082</v>
      </c>
      <c r="N79" s="287">
        <f>19413.94+6475.2</f>
        <v>25889.14</v>
      </c>
      <c r="O79" s="288">
        <f t="shared" si="29"/>
        <v>0.19490770335613003</v>
      </c>
      <c r="P79" s="289">
        <f>23077.32+16348.81+2149.24</f>
        <v>41575.369999999995</v>
      </c>
      <c r="Q79" s="290">
        <f t="shared" si="30"/>
        <v>0.31300228137672192</v>
      </c>
      <c r="R79" s="287">
        <f>2115.59+12738.81</f>
        <v>14854.4</v>
      </c>
      <c r="S79" s="288">
        <f t="shared" si="52"/>
        <v>0.11183210368259811</v>
      </c>
      <c r="T79" s="287">
        <f>4589.12</f>
        <v>4589.12</v>
      </c>
      <c r="U79" s="288">
        <f t="shared" si="31"/>
        <v>3.4549422639210244E-2</v>
      </c>
      <c r="V79" s="289">
        <f>8803.77</f>
        <v>8803.77</v>
      </c>
      <c r="W79" s="290">
        <f t="shared" si="32"/>
        <v>6.6279628893644096E-2</v>
      </c>
      <c r="X79" s="287"/>
      <c r="Y79" s="313">
        <f t="shared" si="33"/>
        <v>0</v>
      </c>
      <c r="Z79" s="289"/>
      <c r="AA79" s="363">
        <f t="shared" si="34"/>
        <v>0</v>
      </c>
      <c r="AB79" s="287"/>
      <c r="AC79" s="313">
        <f t="shared" si="35"/>
        <v>0</v>
      </c>
      <c r="AD79" s="289">
        <v>6335.74</v>
      </c>
      <c r="AE79" s="363">
        <f t="shared" si="36"/>
        <v>4.7698939882188721E-2</v>
      </c>
      <c r="AF79" s="323">
        <f t="shared" si="37"/>
        <v>1.0238857575555218</v>
      </c>
      <c r="AG79" s="81">
        <v>0</v>
      </c>
      <c r="AH79" s="81"/>
      <c r="AI79" s="84">
        <v>0</v>
      </c>
      <c r="AJ79" s="85"/>
      <c r="AK79" s="84">
        <v>0</v>
      </c>
      <c r="AL79" s="81"/>
      <c r="AM79" s="84">
        <v>0</v>
      </c>
      <c r="AN79" s="85"/>
      <c r="AO79" s="84">
        <v>0</v>
      </c>
      <c r="AP79" s="81"/>
      <c r="AQ79" s="84">
        <v>0</v>
      </c>
      <c r="AR79" s="85"/>
      <c r="AS79" s="84">
        <v>0</v>
      </c>
      <c r="AT79" s="85"/>
      <c r="AU79" s="84">
        <v>0</v>
      </c>
      <c r="AV79" s="85"/>
      <c r="AW79" s="230">
        <f>AX79</f>
        <v>40695.619999999995</v>
      </c>
      <c r="AX79" s="231">
        <f>18782.46+21913.16</f>
        <v>40695.619999999995</v>
      </c>
      <c r="AY79" s="230">
        <f>AZ79</f>
        <v>41579.31</v>
      </c>
      <c r="AZ79" s="231">
        <f>18733.73+22845.58</f>
        <v>41579.31</v>
      </c>
      <c r="BA79" s="230">
        <f>BB79</f>
        <v>23377.21</v>
      </c>
      <c r="BB79" s="231">
        <f>21569.16+1808.05</f>
        <v>23377.21</v>
      </c>
      <c r="BC79" s="343">
        <f>BD79</f>
        <v>16074.33</v>
      </c>
      <c r="BD79" s="195">
        <f>19247.02-3172.69</f>
        <v>16074.33</v>
      </c>
      <c r="BE79" s="214">
        <f t="shared" si="44"/>
        <v>11101.22000000001</v>
      </c>
      <c r="BF79" s="377" t="s">
        <v>723</v>
      </c>
    </row>
    <row r="80" spans="1:58" x14ac:dyDescent="0.35">
      <c r="A80" s="159"/>
      <c r="B80" s="180"/>
      <c r="C80" s="83"/>
      <c r="D80" s="142"/>
      <c r="E80" s="304"/>
      <c r="F80" s="289"/>
      <c r="G80" s="363" t="e">
        <f t="shared" ref="G80:G142" si="291">F80/E80</f>
        <v>#DIV/0!</v>
      </c>
      <c r="H80" s="287"/>
      <c r="I80" s="313" t="e">
        <f t="shared" ref="I80:I142" si="292">H80/E80</f>
        <v>#DIV/0!</v>
      </c>
      <c r="J80" s="287"/>
      <c r="K80" s="288" t="e">
        <f t="shared" ref="K80" si="293">J80/E80</f>
        <v>#DIV/0!</v>
      </c>
      <c r="L80" s="289"/>
      <c r="M80" s="290" t="e">
        <f t="shared" ref="M80" si="294">L80/E80</f>
        <v>#DIV/0!</v>
      </c>
      <c r="N80" s="287"/>
      <c r="O80" s="288" t="e">
        <f t="shared" si="29"/>
        <v>#DIV/0!</v>
      </c>
      <c r="P80" s="289"/>
      <c r="Q80" s="290" t="e">
        <f t="shared" ref="Q80" si="295">P80/E80</f>
        <v>#DIV/0!</v>
      </c>
      <c r="R80" s="287"/>
      <c r="S80" s="288" t="e">
        <f t="shared" si="52"/>
        <v>#DIV/0!</v>
      </c>
      <c r="T80" s="287"/>
      <c r="U80" s="288" t="e">
        <f t="shared" ref="U80" si="296">T80/E80</f>
        <v>#DIV/0!</v>
      </c>
      <c r="V80" s="289"/>
      <c r="W80" s="290" t="e">
        <f t="shared" ref="W80" si="297">V80/E80</f>
        <v>#DIV/0!</v>
      </c>
      <c r="X80" s="287"/>
      <c r="Y80" s="313" t="e">
        <f t="shared" ref="Y80" si="298">X80/E80</f>
        <v>#DIV/0!</v>
      </c>
      <c r="Z80" s="289"/>
      <c r="AA80" s="363" t="e">
        <f t="shared" ref="AA80:AA142" si="299">Z80/E80</f>
        <v>#DIV/0!</v>
      </c>
      <c r="AB80" s="287"/>
      <c r="AC80" s="313" t="e">
        <f t="shared" ref="AC80:AC142" si="300">AB80/E80</f>
        <v>#DIV/0!</v>
      </c>
      <c r="AD80" s="289"/>
      <c r="AE80" s="363" t="e">
        <f t="shared" ref="AE80:AE142" si="301">AD80/E80</f>
        <v>#DIV/0!</v>
      </c>
      <c r="AF80" s="323" t="e">
        <f t="shared" ref="AF80:AF142" si="302">K80+M80+O80+Q80+S80+U80+W80+Y80+AA80+AC80+G80+I80+AE80</f>
        <v>#DIV/0!</v>
      </c>
      <c r="AG80" s="81">
        <v>0</v>
      </c>
      <c r="AH80" s="81"/>
      <c r="AI80" s="84">
        <f t="shared" ref="AI80" si="303">D80-AG80</f>
        <v>0</v>
      </c>
      <c r="AJ80" s="85"/>
      <c r="AK80" s="84">
        <f t="shared" ref="AK80" si="304">D80-AG80-AI80</f>
        <v>0</v>
      </c>
      <c r="AL80" s="81"/>
      <c r="AM80" s="84">
        <f t="shared" ref="AM80" si="305">D80-AG80-AI80-AK80</f>
        <v>0</v>
      </c>
      <c r="AN80" s="85"/>
      <c r="AO80" s="84">
        <f t="shared" ref="AO80" si="306">D80-AG80-AI80-AK80-AM80</f>
        <v>0</v>
      </c>
      <c r="AP80" s="81"/>
      <c r="AQ80" s="84">
        <f t="shared" si="281"/>
        <v>0</v>
      </c>
      <c r="AR80" s="85"/>
      <c r="AS80" s="84">
        <f t="shared" si="167"/>
        <v>0</v>
      </c>
      <c r="AT80" s="85"/>
      <c r="AU80" s="84">
        <f t="shared" si="168"/>
        <v>0</v>
      </c>
      <c r="AV80" s="85"/>
      <c r="AW80" s="84">
        <f t="shared" si="162"/>
        <v>0</v>
      </c>
      <c r="AX80" s="85"/>
      <c r="AY80" s="84">
        <f t="shared" si="163"/>
        <v>0</v>
      </c>
      <c r="AZ80" s="85"/>
      <c r="BA80" s="84">
        <f t="shared" ref="BA80:BA142" si="307">D80-AG80-AI80-AK80-AM80-AO80-AQ80-AS80-AU80-AW80-AY80</f>
        <v>0</v>
      </c>
      <c r="BB80" s="85"/>
      <c r="BC80" s="84">
        <f t="shared" ref="BC80:BC142" si="308">D80-AG80-AI80-AK80-AM80-AO80-AQ80-AS80-AU80-AW80-AY80-BA80</f>
        <v>0</v>
      </c>
      <c r="BD80" s="81"/>
      <c r="BE80" s="214">
        <f t="shared" ref="BE80:BE142" si="309">D80-AG80-AI80-AK80-AM80-AO80-AQ80-AS80-AU80-AW80-AY80-BA80-BC80</f>
        <v>0</v>
      </c>
    </row>
    <row r="81" spans="1:58" ht="13.9" x14ac:dyDescent="0.4">
      <c r="A81" s="368" t="s">
        <v>671</v>
      </c>
      <c r="B81" s="369"/>
      <c r="C81" s="370"/>
      <c r="D81" s="371"/>
      <c r="E81" s="304"/>
      <c r="F81" s="289"/>
      <c r="G81" s="363" t="e">
        <f t="shared" si="291"/>
        <v>#DIV/0!</v>
      </c>
      <c r="H81" s="287"/>
      <c r="I81" s="313" t="e">
        <f t="shared" si="292"/>
        <v>#DIV/0!</v>
      </c>
      <c r="J81" s="287"/>
      <c r="K81" s="288" t="e">
        <f t="shared" ref="K81" si="310">J81/E81</f>
        <v>#DIV/0!</v>
      </c>
      <c r="L81" s="289"/>
      <c r="M81" s="290" t="e">
        <f t="shared" ref="M81" si="311">L81/E81</f>
        <v>#DIV/0!</v>
      </c>
      <c r="N81" s="287"/>
      <c r="O81" s="288" t="e">
        <f t="shared" si="29"/>
        <v>#DIV/0!</v>
      </c>
      <c r="P81" s="289"/>
      <c r="Q81" s="290"/>
      <c r="R81" s="287"/>
      <c r="S81" s="288"/>
      <c r="T81" s="287"/>
      <c r="U81" s="288"/>
      <c r="V81" s="289"/>
      <c r="W81" s="290"/>
      <c r="X81" s="287"/>
      <c r="Y81" s="313"/>
      <c r="Z81" s="289"/>
      <c r="AA81" s="363"/>
      <c r="AB81" s="287"/>
      <c r="AC81" s="313"/>
      <c r="AD81" s="289"/>
      <c r="AE81" s="363"/>
      <c r="AF81" s="323"/>
      <c r="AG81" s="81">
        <v>0</v>
      </c>
      <c r="AH81" s="81"/>
      <c r="AI81" s="84">
        <f>D81-AG81</f>
        <v>0</v>
      </c>
      <c r="AJ81" s="85"/>
      <c r="AK81" s="84">
        <f>D81-AG81-AI81</f>
        <v>0</v>
      </c>
      <c r="AL81" s="81"/>
      <c r="AM81" s="84">
        <f>D81-AG81-AI81-AK81</f>
        <v>0</v>
      </c>
      <c r="AN81" s="85"/>
      <c r="AO81" s="84">
        <f>D81-AG81-AI81-AK81-AM81</f>
        <v>0</v>
      </c>
      <c r="AP81" s="81"/>
      <c r="AQ81" s="84">
        <f>D81-AG81-AI81-AK81-AM81-AO81</f>
        <v>0</v>
      </c>
      <c r="AR81" s="85"/>
      <c r="AS81" s="84">
        <f t="shared" ref="AS81" si="312">D81-AG81-AI81-AK81-AM81-AO81-AQ81</f>
        <v>0</v>
      </c>
      <c r="AT81" s="85"/>
      <c r="AU81" s="84">
        <f t="shared" ref="AU81" si="313">D81-AG81-AI81-AK81-AM81-AO81-AQ81-AS81</f>
        <v>0</v>
      </c>
      <c r="AV81" s="85"/>
      <c r="AW81" s="84">
        <f t="shared" ref="AW81" si="314">D81-AG81-AI81-AK81-AM81-AO81-AQ81-AS81-AU81</f>
        <v>0</v>
      </c>
      <c r="AX81" s="85"/>
      <c r="AY81" s="84">
        <f>D81-AG81-AI81-AK81-AM81-AO81-AQ81-AS81-AU81-AW81</f>
        <v>0</v>
      </c>
      <c r="AZ81" s="85"/>
      <c r="BA81" s="84">
        <f t="shared" si="307"/>
        <v>0</v>
      </c>
      <c r="BB81" s="85"/>
      <c r="BC81" s="84">
        <f t="shared" si="308"/>
        <v>0</v>
      </c>
      <c r="BD81" s="81"/>
      <c r="BE81" s="214">
        <f t="shared" si="309"/>
        <v>0</v>
      </c>
    </row>
    <row r="82" spans="1:58" x14ac:dyDescent="0.35">
      <c r="A82" s="353"/>
      <c r="B82" s="180"/>
      <c r="C82" s="83"/>
      <c r="D82" s="142"/>
      <c r="E82" s="304"/>
      <c r="F82" s="289"/>
      <c r="G82" s="363" t="e">
        <f>F82/E82</f>
        <v>#DIV/0!</v>
      </c>
      <c r="H82" s="287"/>
      <c r="I82" s="313" t="e">
        <f>H82/E82</f>
        <v>#DIV/0!</v>
      </c>
      <c r="J82" s="287"/>
      <c r="K82" s="288" t="e">
        <f>J82/E82</f>
        <v>#DIV/0!</v>
      </c>
      <c r="L82" s="289"/>
      <c r="M82" s="290" t="e">
        <f>L82/E82</f>
        <v>#DIV/0!</v>
      </c>
      <c r="N82" s="287"/>
      <c r="O82" s="288" t="e">
        <f t="shared" si="29"/>
        <v>#DIV/0!</v>
      </c>
      <c r="P82" s="289"/>
      <c r="Q82" s="290" t="e">
        <f>P82/E82</f>
        <v>#DIV/0!</v>
      </c>
      <c r="R82" s="287"/>
      <c r="S82" s="288" t="e">
        <f t="shared" ref="S82" si="315">R82/E82</f>
        <v>#DIV/0!</v>
      </c>
      <c r="T82" s="287"/>
      <c r="U82" s="288" t="e">
        <f>T82/E82</f>
        <v>#DIV/0!</v>
      </c>
      <c r="V82" s="289"/>
      <c r="W82" s="290" t="e">
        <f>V82/E82</f>
        <v>#DIV/0!</v>
      </c>
      <c r="X82" s="287"/>
      <c r="Y82" s="313" t="e">
        <f>X82/E82</f>
        <v>#DIV/0!</v>
      </c>
      <c r="Z82" s="289"/>
      <c r="AA82" s="363" t="e">
        <f>Z82/E82</f>
        <v>#DIV/0!</v>
      </c>
      <c r="AB82" s="287"/>
      <c r="AC82" s="313" t="e">
        <f>AB82/E82</f>
        <v>#DIV/0!</v>
      </c>
      <c r="AD82" s="289"/>
      <c r="AE82" s="363" t="e">
        <f>AD82/E82</f>
        <v>#DIV/0!</v>
      </c>
      <c r="AF82" s="323" t="e">
        <f>K82+M82+O82+Q82+S82+U82+W82+Y82+AA82+AC82+G82+I82+AE82</f>
        <v>#DIV/0!</v>
      </c>
      <c r="AG82" s="81">
        <v>0</v>
      </c>
      <c r="AH82" s="81"/>
      <c r="AI82" s="84">
        <f t="shared" ref="AI82" si="316">D82-AG82</f>
        <v>0</v>
      </c>
      <c r="AJ82" s="85"/>
      <c r="AK82" s="84">
        <f t="shared" ref="AK82" si="317">D82-AG82-AI82</f>
        <v>0</v>
      </c>
      <c r="AL82" s="81"/>
      <c r="AM82" s="84">
        <f t="shared" ref="AM82" si="318">D82-AG82-AI82-AK82</f>
        <v>0</v>
      </c>
      <c r="AN82" s="85"/>
      <c r="AO82" s="84">
        <f t="shared" ref="AO82" si="319">D82-AG82-AI82-AK82-AM82</f>
        <v>0</v>
      </c>
      <c r="AP82" s="81"/>
      <c r="AQ82" s="84">
        <f t="shared" ref="AQ82" si="320">D82-AG82-AI82-AK82-AM82-AO82</f>
        <v>0</v>
      </c>
      <c r="AR82" s="85"/>
      <c r="AS82" s="84">
        <f>D82-AG82-AI82-AK82-AM82-AO82-AQ82</f>
        <v>0</v>
      </c>
      <c r="AT82" s="85"/>
      <c r="AU82" s="84">
        <f>D82-AG82-AI82-AK82-AM82-AO82-AQ82-AS82</f>
        <v>0</v>
      </c>
      <c r="AV82" s="85"/>
      <c r="AW82" s="84">
        <f>D82-AG82-AI82-AK82-AM82-AO82-AQ82-AS82-AU82</f>
        <v>0</v>
      </c>
      <c r="AX82" s="85"/>
      <c r="AY82" s="84">
        <f>D82-AG82-AI82-AK82-AM82-AO82-AQ82-AS82-AU82-AW82</f>
        <v>0</v>
      </c>
      <c r="AZ82" s="85"/>
      <c r="BA82" s="84">
        <f>D82-AG82-AI82-AK82-AM82-AO82-AQ82-AS82-AU82-AW82-AY82</f>
        <v>0</v>
      </c>
      <c r="BB82" s="85"/>
      <c r="BC82" s="84">
        <f>D82-AG82-AI82-AK82-AM82-AO82-AQ82-AS82-AU82-AW82-AY82-BA82</f>
        <v>0</v>
      </c>
      <c r="BD82" s="81"/>
      <c r="BE82" s="214">
        <f>D82-AG82-AI82-AK82-AM82-AO82-AQ82-AS82-AU82-AW82-AY82-BA82-BC82</f>
        <v>0</v>
      </c>
    </row>
    <row r="83" spans="1:58" x14ac:dyDescent="0.35">
      <c r="A83" s="353" t="s">
        <v>717</v>
      </c>
      <c r="B83" s="180"/>
      <c r="C83" s="83"/>
      <c r="D83" s="142">
        <v>2671.2</v>
      </c>
      <c r="E83" s="304"/>
      <c r="F83" s="289"/>
      <c r="G83" s="363" t="e">
        <f t="shared" ref="G83:G84" si="321">F83/E83</f>
        <v>#DIV/0!</v>
      </c>
      <c r="H83" s="287"/>
      <c r="I83" s="313" t="e">
        <f t="shared" ref="I83:I84" si="322">H83/E83</f>
        <v>#DIV/0!</v>
      </c>
      <c r="J83" s="287"/>
      <c r="K83" s="288" t="e">
        <f t="shared" ref="K83:K84" si="323">J83/E83</f>
        <v>#DIV/0!</v>
      </c>
      <c r="L83" s="289"/>
      <c r="M83" s="290" t="e">
        <f t="shared" ref="M83:M84" si="324">L83/E83</f>
        <v>#DIV/0!</v>
      </c>
      <c r="N83" s="287"/>
      <c r="O83" s="288" t="e">
        <f t="shared" si="29"/>
        <v>#DIV/0!</v>
      </c>
      <c r="P83" s="289"/>
      <c r="Q83" s="290" t="e">
        <f t="shared" ref="Q83:Q84" si="325">P83/E83</f>
        <v>#DIV/0!</v>
      </c>
      <c r="R83" s="287"/>
      <c r="S83" s="288" t="e">
        <f t="shared" ref="S83:S90" si="326">R83/E83</f>
        <v>#DIV/0!</v>
      </c>
      <c r="T83" s="287"/>
      <c r="U83" s="288" t="e">
        <f t="shared" ref="U83:U84" si="327">T83/E83</f>
        <v>#DIV/0!</v>
      </c>
      <c r="V83" s="289"/>
      <c r="W83" s="290" t="e">
        <f t="shared" ref="W83:W84" si="328">V83/E83</f>
        <v>#DIV/0!</v>
      </c>
      <c r="X83" s="287"/>
      <c r="Y83" s="313" t="e">
        <f t="shared" ref="Y83:Y84" si="329">X83/E83</f>
        <v>#DIV/0!</v>
      </c>
      <c r="Z83" s="289"/>
      <c r="AA83" s="363" t="e">
        <f t="shared" ref="AA83:AA84" si="330">Z83/E83</f>
        <v>#DIV/0!</v>
      </c>
      <c r="AB83" s="287"/>
      <c r="AC83" s="313" t="e">
        <f t="shared" ref="AC83:AC84" si="331">AB83/E83</f>
        <v>#DIV/0!</v>
      </c>
      <c r="AD83" s="289"/>
      <c r="AE83" s="363" t="e">
        <f t="shared" ref="AE83:AE84" si="332">AD83/E83</f>
        <v>#DIV/0!</v>
      </c>
      <c r="AF83" s="323" t="e">
        <f t="shared" ref="AF83:AF84" si="333">K83+M83+O83+Q83+S83+U83+W83+Y83+AA83+AC83+G83+I83+AE83</f>
        <v>#DIV/0!</v>
      </c>
      <c r="AG83" s="81">
        <v>0</v>
      </c>
      <c r="AH83" s="81"/>
      <c r="AI83" s="84">
        <v>0</v>
      </c>
      <c r="AJ83" s="85"/>
      <c r="AK83" s="84">
        <v>0</v>
      </c>
      <c r="AL83" s="81"/>
      <c r="AM83" s="84">
        <v>0</v>
      </c>
      <c r="AN83" s="85"/>
      <c r="AO83" s="84">
        <v>0</v>
      </c>
      <c r="AP83" s="81"/>
      <c r="AQ83" s="84">
        <v>0</v>
      </c>
      <c r="AR83" s="85"/>
      <c r="AS83" s="84">
        <v>0</v>
      </c>
      <c r="AT83" s="85"/>
      <c r="AU83" s="84">
        <v>0</v>
      </c>
      <c r="AV83" s="85"/>
      <c r="AW83" s="84">
        <v>0</v>
      </c>
      <c r="AX83" s="85"/>
      <c r="AY83" s="84">
        <v>0</v>
      </c>
      <c r="AZ83" s="85"/>
      <c r="BA83" s="84">
        <v>0</v>
      </c>
      <c r="BB83" s="85"/>
      <c r="BC83" s="230">
        <f t="shared" ref="BC83" si="334">D83-AG83-AI83-AK83-AM83-AO83-AQ83-AS83-AU83-AW83-AY83-BA83</f>
        <v>2671.2</v>
      </c>
      <c r="BD83" s="195">
        <v>2671.2</v>
      </c>
      <c r="BE83" s="214">
        <f t="shared" ref="BE83:BE84" si="335">D83-AG83-AI83-AK83-AM83-AO83-AQ83-AS83-AU83-AW83-AY83-BA83-BC83</f>
        <v>0</v>
      </c>
    </row>
    <row r="84" spans="1:58" x14ac:dyDescent="0.35">
      <c r="A84" s="353" t="s">
        <v>360</v>
      </c>
      <c r="B84" s="180"/>
      <c r="C84" s="83">
        <v>2380.21</v>
      </c>
      <c r="D84" s="142">
        <v>2380.21</v>
      </c>
      <c r="E84" s="304">
        <v>2380.21</v>
      </c>
      <c r="F84" s="289"/>
      <c r="G84" s="363">
        <f t="shared" si="321"/>
        <v>0</v>
      </c>
      <c r="H84" s="287"/>
      <c r="I84" s="313">
        <f t="shared" si="322"/>
        <v>0</v>
      </c>
      <c r="J84" s="287"/>
      <c r="K84" s="288">
        <f t="shared" si="323"/>
        <v>0</v>
      </c>
      <c r="L84" s="289"/>
      <c r="M84" s="290">
        <f t="shared" si="324"/>
        <v>0</v>
      </c>
      <c r="N84" s="287"/>
      <c r="O84" s="288">
        <f t="shared" si="29"/>
        <v>0</v>
      </c>
      <c r="P84" s="289"/>
      <c r="Q84" s="290">
        <f t="shared" si="325"/>
        <v>0</v>
      </c>
      <c r="R84" s="287"/>
      <c r="S84" s="288">
        <f t="shared" si="326"/>
        <v>0</v>
      </c>
      <c r="T84" s="287"/>
      <c r="U84" s="288">
        <f t="shared" si="327"/>
        <v>0</v>
      </c>
      <c r="V84" s="289"/>
      <c r="W84" s="290">
        <f t="shared" si="328"/>
        <v>0</v>
      </c>
      <c r="X84" s="287"/>
      <c r="Y84" s="313">
        <f t="shared" si="329"/>
        <v>0</v>
      </c>
      <c r="Z84" s="289"/>
      <c r="AA84" s="363">
        <f t="shared" si="330"/>
        <v>0</v>
      </c>
      <c r="AB84" s="287"/>
      <c r="AC84" s="313">
        <f t="shared" si="331"/>
        <v>0</v>
      </c>
      <c r="AD84" s="289"/>
      <c r="AE84" s="363">
        <f t="shared" si="332"/>
        <v>0</v>
      </c>
      <c r="AF84" s="323">
        <f t="shared" si="333"/>
        <v>0</v>
      </c>
      <c r="AG84" s="81">
        <v>0</v>
      </c>
      <c r="AH84" s="81"/>
      <c r="AI84" s="84">
        <v>0</v>
      </c>
      <c r="AJ84" s="85"/>
      <c r="AK84" s="84">
        <v>0</v>
      </c>
      <c r="AL84" s="81"/>
      <c r="AM84" s="84">
        <v>0</v>
      </c>
      <c r="AN84" s="85"/>
      <c r="AO84" s="84">
        <v>0</v>
      </c>
      <c r="AP84" s="81"/>
      <c r="AQ84" s="84">
        <v>0</v>
      </c>
      <c r="AR84" s="85"/>
      <c r="AS84" s="84">
        <v>0</v>
      </c>
      <c r="AT84" s="85"/>
      <c r="AU84" s="84">
        <v>0</v>
      </c>
      <c r="AV84" s="85"/>
      <c r="AW84" s="84">
        <v>0</v>
      </c>
      <c r="AX84" s="85"/>
      <c r="AY84" s="84">
        <v>0</v>
      </c>
      <c r="AZ84" s="85"/>
      <c r="BA84" s="84">
        <v>0</v>
      </c>
      <c r="BB84" s="85"/>
      <c r="BC84" s="375">
        <f>BD84</f>
        <v>1360.8</v>
      </c>
      <c r="BD84" s="376">
        <v>1360.8</v>
      </c>
      <c r="BE84" s="214">
        <f t="shared" si="335"/>
        <v>1019.4100000000001</v>
      </c>
    </row>
    <row r="85" spans="1:58" x14ac:dyDescent="0.35">
      <c r="A85" s="353" t="s">
        <v>707</v>
      </c>
      <c r="B85" s="180"/>
      <c r="C85" s="83">
        <v>21381</v>
      </c>
      <c r="D85" s="107">
        <f>16290.92+5089.97+2250.92</f>
        <v>23631.809999999998</v>
      </c>
      <c r="E85" s="304">
        <f>D85</f>
        <v>23631.809999999998</v>
      </c>
      <c r="F85" s="289"/>
      <c r="G85" s="363">
        <f t="shared" ref="G85:G86" si="336">F85/E85</f>
        <v>0</v>
      </c>
      <c r="H85" s="287"/>
      <c r="I85" s="313">
        <f t="shared" ref="I85:I86" si="337">H85/E85</f>
        <v>0</v>
      </c>
      <c r="J85" s="287"/>
      <c r="K85" s="288">
        <f t="shared" ref="K85:K86" si="338">J85/E85</f>
        <v>0</v>
      </c>
      <c r="L85" s="289">
        <v>21381</v>
      </c>
      <c r="M85" s="290">
        <f t="shared" ref="M85:M86" si="339">L85/E85</f>
        <v>0.90475507377555942</v>
      </c>
      <c r="N85" s="287">
        <v>0</v>
      </c>
      <c r="O85" s="288">
        <f t="shared" ref="O85:O86" si="340">N85/E85</f>
        <v>0</v>
      </c>
      <c r="P85" s="289"/>
      <c r="Q85" s="290">
        <f t="shared" ref="Q85:Q86" si="341">P85/E85</f>
        <v>0</v>
      </c>
      <c r="R85" s="287"/>
      <c r="S85" s="288">
        <f t="shared" si="326"/>
        <v>0</v>
      </c>
      <c r="T85" s="287"/>
      <c r="U85" s="288">
        <f t="shared" ref="U85:U86" si="342">T85/E85</f>
        <v>0</v>
      </c>
      <c r="V85" s="289"/>
      <c r="W85" s="290">
        <f t="shared" ref="W85:W86" si="343">V85/E85</f>
        <v>0</v>
      </c>
      <c r="X85" s="287"/>
      <c r="Y85" s="313">
        <f t="shared" ref="Y85:Y86" si="344">X85/E85</f>
        <v>0</v>
      </c>
      <c r="Z85" s="289"/>
      <c r="AA85" s="363">
        <f t="shared" ref="AA85:AA86" si="345">Z85/E85</f>
        <v>0</v>
      </c>
      <c r="AB85" s="287"/>
      <c r="AC85" s="313">
        <f t="shared" ref="AC85:AC86" si="346">AB85/E85</f>
        <v>0</v>
      </c>
      <c r="AD85" s="289"/>
      <c r="AE85" s="363">
        <f t="shared" ref="AE85:AE86" si="347">AD85/E85</f>
        <v>0</v>
      </c>
      <c r="AF85" s="323">
        <f t="shared" ref="AF85:AF86" si="348">K85+M85+O85+Q85+S85+U85+W85+Y85+AA85+AC85+G85+I85+AE85</f>
        <v>0.90475507377555942</v>
      </c>
      <c r="AG85" s="81">
        <v>0</v>
      </c>
      <c r="AH85" s="81"/>
      <c r="AI85" s="84">
        <v>0</v>
      </c>
      <c r="AJ85" s="85"/>
      <c r="AK85" s="84">
        <v>0</v>
      </c>
      <c r="AL85" s="81"/>
      <c r="AM85" s="84">
        <v>0</v>
      </c>
      <c r="AN85" s="85"/>
      <c r="AO85" s="84">
        <v>0</v>
      </c>
      <c r="AP85" s="81"/>
      <c r="AQ85" s="84">
        <v>0</v>
      </c>
      <c r="AR85" s="85"/>
      <c r="AS85" s="84">
        <v>0</v>
      </c>
      <c r="AT85" s="85"/>
      <c r="AU85" s="84">
        <v>0</v>
      </c>
      <c r="AV85" s="85"/>
      <c r="AW85" s="84">
        <v>0</v>
      </c>
      <c r="AX85" s="85"/>
      <c r="AY85" s="84">
        <v>0</v>
      </c>
      <c r="AZ85" s="85"/>
      <c r="BA85" s="84">
        <v>0</v>
      </c>
      <c r="BB85" s="85"/>
      <c r="BC85" s="230">
        <f t="shared" ref="BC85" si="349">D85-AG85-AI85-AK85-AM85-AO85-AQ85-AS85-AU85-AW85-AY85-BA85</f>
        <v>23631.809999999998</v>
      </c>
      <c r="BD85" s="195">
        <f>16290.92+5089.97+2250.92</f>
        <v>23631.809999999998</v>
      </c>
      <c r="BE85" s="214">
        <f t="shared" ref="BE85:BE86" si="350">D85-AG85-AI85-AK85-AM85-AO85-AQ85-AS85-AU85-AW85-AY85-BA85-BC85</f>
        <v>0</v>
      </c>
    </row>
    <row r="86" spans="1:58" x14ac:dyDescent="0.35">
      <c r="A86" s="353" t="s">
        <v>689</v>
      </c>
      <c r="B86" s="180"/>
      <c r="C86" s="83">
        <f>13105.62-1590.18</f>
        <v>11515.44</v>
      </c>
      <c r="D86" s="107">
        <f>C86</f>
        <v>11515.44</v>
      </c>
      <c r="E86" s="304">
        <f>D86</f>
        <v>11515.44</v>
      </c>
      <c r="F86" s="289"/>
      <c r="G86" s="363">
        <f t="shared" si="336"/>
        <v>0</v>
      </c>
      <c r="H86" s="287"/>
      <c r="I86" s="313">
        <f t="shared" si="337"/>
        <v>0</v>
      </c>
      <c r="J86" s="287"/>
      <c r="K86" s="288">
        <f t="shared" si="338"/>
        <v>0</v>
      </c>
      <c r="L86" s="289">
        <v>13106</v>
      </c>
      <c r="M86" s="290">
        <f t="shared" si="339"/>
        <v>1.1381241185747135</v>
      </c>
      <c r="N86" s="287"/>
      <c r="O86" s="288">
        <f t="shared" si="340"/>
        <v>0</v>
      </c>
      <c r="P86" s="289"/>
      <c r="Q86" s="290">
        <f t="shared" si="341"/>
        <v>0</v>
      </c>
      <c r="R86" s="287"/>
      <c r="S86" s="288">
        <f t="shared" si="326"/>
        <v>0</v>
      </c>
      <c r="T86" s="287"/>
      <c r="U86" s="288">
        <f t="shared" si="342"/>
        <v>0</v>
      </c>
      <c r="V86" s="289"/>
      <c r="W86" s="290">
        <f t="shared" si="343"/>
        <v>0</v>
      </c>
      <c r="X86" s="287"/>
      <c r="Y86" s="313">
        <f t="shared" si="344"/>
        <v>0</v>
      </c>
      <c r="Z86" s="289"/>
      <c r="AA86" s="363">
        <f t="shared" si="345"/>
        <v>0</v>
      </c>
      <c r="AB86" s="287"/>
      <c r="AC86" s="313">
        <f t="shared" si="346"/>
        <v>0</v>
      </c>
      <c r="AD86" s="289"/>
      <c r="AE86" s="363">
        <f t="shared" si="347"/>
        <v>0</v>
      </c>
      <c r="AF86" s="323">
        <f t="shared" si="348"/>
        <v>1.1381241185747135</v>
      </c>
      <c r="AG86" s="81">
        <v>0</v>
      </c>
      <c r="AH86" s="81"/>
      <c r="AI86" s="84">
        <v>0</v>
      </c>
      <c r="AJ86" s="85">
        <v>0</v>
      </c>
      <c r="AK86" s="84">
        <v>0</v>
      </c>
      <c r="AL86" s="81">
        <v>0</v>
      </c>
      <c r="AM86" s="84">
        <v>0</v>
      </c>
      <c r="AN86" s="85"/>
      <c r="AO86" s="84">
        <v>0</v>
      </c>
      <c r="AP86" s="81"/>
      <c r="AQ86" s="84">
        <v>0</v>
      </c>
      <c r="AR86" s="85"/>
      <c r="AS86" s="84">
        <v>0</v>
      </c>
      <c r="AT86" s="85"/>
      <c r="AU86" s="84">
        <v>0</v>
      </c>
      <c r="AV86" s="85"/>
      <c r="AW86" s="84">
        <v>0</v>
      </c>
      <c r="AX86" s="85"/>
      <c r="AY86" s="84">
        <v>0</v>
      </c>
      <c r="AZ86" s="85"/>
      <c r="BA86" s="84">
        <v>0</v>
      </c>
      <c r="BB86" s="85"/>
      <c r="BC86" s="230">
        <f>BD86</f>
        <v>11515.44</v>
      </c>
      <c r="BD86" s="195">
        <f>13105.62-1590.18</f>
        <v>11515.44</v>
      </c>
      <c r="BE86" s="214">
        <f t="shared" si="350"/>
        <v>0</v>
      </c>
    </row>
    <row r="87" spans="1:58" x14ac:dyDescent="0.35">
      <c r="A87" s="353" t="s">
        <v>684</v>
      </c>
      <c r="B87" s="180"/>
      <c r="C87" s="83">
        <f>9355.6+19671.84+5041.11+2010+1131.84</f>
        <v>37210.39</v>
      </c>
      <c r="D87" s="107">
        <f>19671.84+9355.6+1131.84+5041.11+2010</f>
        <v>37210.39</v>
      </c>
      <c r="E87" s="304">
        <f>D87</f>
        <v>37210.39</v>
      </c>
      <c r="F87" s="289">
        <v>604.79999999999995</v>
      </c>
      <c r="G87" s="363">
        <f>F87/E87</f>
        <v>1.6253524889150581E-2</v>
      </c>
      <c r="H87" s="287"/>
      <c r="I87" s="313">
        <f>H87/E87</f>
        <v>0</v>
      </c>
      <c r="J87" s="287"/>
      <c r="K87" s="288">
        <f>J87/E87</f>
        <v>0</v>
      </c>
      <c r="L87" s="289">
        <v>4436.3100000000004</v>
      </c>
      <c r="M87" s="290">
        <f>L87/E87</f>
        <v>0.11922234623179172</v>
      </c>
      <c r="N87" s="287"/>
      <c r="O87" s="288">
        <f>N87/E87</f>
        <v>0</v>
      </c>
      <c r="P87" s="289"/>
      <c r="Q87" s="290">
        <f>P87/E87</f>
        <v>0</v>
      </c>
      <c r="R87" s="287"/>
      <c r="S87" s="288">
        <f t="shared" si="326"/>
        <v>0</v>
      </c>
      <c r="T87" s="287">
        <v>2648.91</v>
      </c>
      <c r="U87" s="288">
        <f>T87/E87</f>
        <v>7.1187375354034174E-2</v>
      </c>
      <c r="V87" s="289"/>
      <c r="W87" s="290">
        <f>V87/E87</f>
        <v>0</v>
      </c>
      <c r="X87" s="287"/>
      <c r="Y87" s="313">
        <f>X87/E87</f>
        <v>0</v>
      </c>
      <c r="Z87" s="289"/>
      <c r="AA87" s="363">
        <f>Z87/E87</f>
        <v>0</v>
      </c>
      <c r="AB87" s="287"/>
      <c r="AC87" s="313">
        <f>AB87/E87</f>
        <v>0</v>
      </c>
      <c r="AD87" s="289">
        <f>19671.84+6706.69+1131.84+2010</f>
        <v>29520.37</v>
      </c>
      <c r="AE87" s="363">
        <f>AD87/E87</f>
        <v>0.79333675352502353</v>
      </c>
      <c r="AF87" s="323">
        <f>K87+M87+O87+Q87+S87+U87+W87+Y87+AA87+AC87+G87+I87+AE87</f>
        <v>1</v>
      </c>
      <c r="AG87" s="81">
        <v>0</v>
      </c>
      <c r="AH87" s="81"/>
      <c r="AI87" s="84">
        <v>0</v>
      </c>
      <c r="AJ87" s="85"/>
      <c r="AK87" s="84">
        <v>0</v>
      </c>
      <c r="AL87" s="81"/>
      <c r="AM87" s="84">
        <v>0</v>
      </c>
      <c r="AN87" s="85"/>
      <c r="AO87" s="84">
        <v>0</v>
      </c>
      <c r="AP87" s="81"/>
      <c r="AQ87" s="84">
        <v>0</v>
      </c>
      <c r="AR87" s="85"/>
      <c r="AS87" s="230">
        <f>AT87</f>
        <v>19671.84</v>
      </c>
      <c r="AT87" s="231">
        <v>19671.84</v>
      </c>
      <c r="AU87" s="84">
        <v>0</v>
      </c>
      <c r="AV87" s="85"/>
      <c r="AW87" s="84">
        <v>0</v>
      </c>
      <c r="AX87" s="85"/>
      <c r="AY87" s="230">
        <f>AZ87</f>
        <v>17538.55</v>
      </c>
      <c r="AZ87" s="231">
        <f>5041.11+9355.6+1131.84+2010</f>
        <v>17538.55</v>
      </c>
      <c r="BA87" s="84">
        <f>D87-AG87-AI87-AK87-AM87-AO87-AQ87-AS87-AU87-AW87-AY87</f>
        <v>0</v>
      </c>
      <c r="BB87" s="85"/>
      <c r="BC87" s="84">
        <f>D87-AG87-AI87-AK87-AM87-AO87-AQ87-AS87-AU87-AW87-AY87-BA87</f>
        <v>0</v>
      </c>
      <c r="BD87" s="81"/>
      <c r="BE87" s="214">
        <f>D87-AG87-AI87-AK87-AM87-AO87-AQ87-AS87-AU87-AW87-AY87-BA87-BC87</f>
        <v>0</v>
      </c>
    </row>
    <row r="88" spans="1:58" x14ac:dyDescent="0.35">
      <c r="A88" s="187" t="s">
        <v>610</v>
      </c>
      <c r="B88" s="180"/>
      <c r="C88" s="83">
        <f>43673.49+15094.72+31159.71+4859.26+666.67-389.85</f>
        <v>95063.999999999985</v>
      </c>
      <c r="D88" s="107">
        <f>C88</f>
        <v>95063.999999999985</v>
      </c>
      <c r="E88" s="304">
        <f>D88</f>
        <v>95063.999999999985</v>
      </c>
      <c r="F88" s="289">
        <v>1411</v>
      </c>
      <c r="G88" s="363">
        <f>F88/E88</f>
        <v>1.484263233190272E-2</v>
      </c>
      <c r="H88" s="287"/>
      <c r="I88" s="313">
        <f>H88/E88</f>
        <v>0</v>
      </c>
      <c r="J88" s="287"/>
      <c r="K88" s="288">
        <f>J88/E88</f>
        <v>0</v>
      </c>
      <c r="L88" s="289">
        <f>22190.31+1920</f>
        <v>24110.31</v>
      </c>
      <c r="M88" s="290">
        <f>L88/E88</f>
        <v>0.25362187578894224</v>
      </c>
      <c r="N88" s="287"/>
      <c r="O88" s="288">
        <f>N88/E88</f>
        <v>0</v>
      </c>
      <c r="P88" s="289"/>
      <c r="Q88" s="290">
        <f>P88/E88</f>
        <v>0</v>
      </c>
      <c r="R88" s="287"/>
      <c r="S88" s="288">
        <f t="shared" si="326"/>
        <v>0</v>
      </c>
      <c r="T88" s="287">
        <f>14840.24+7469.56</f>
        <v>22309.8</v>
      </c>
      <c r="U88" s="288">
        <f>T88/E88</f>
        <v>0.23468189851047719</v>
      </c>
      <c r="V88" s="289"/>
      <c r="W88" s="290">
        <f>V88/E88</f>
        <v>0</v>
      </c>
      <c r="X88" s="287"/>
      <c r="Y88" s="313">
        <f>X88/E88</f>
        <v>0</v>
      </c>
      <c r="Z88" s="289"/>
      <c r="AA88" s="363">
        <f>Z88/E88</f>
        <v>0</v>
      </c>
      <c r="AB88" s="287"/>
      <c r="AC88" s="313">
        <f>AB88/E88</f>
        <v>0</v>
      </c>
      <c r="AD88" s="289">
        <v>42096.9</v>
      </c>
      <c r="AE88" s="363">
        <f>AD88/E88</f>
        <v>0.4428269376420097</v>
      </c>
      <c r="AF88" s="323">
        <f>K88+M88+O88+Q88+S88+U88+W88+Y88+AA88+AC88+G88+I88+AE88</f>
        <v>0.9459733442733318</v>
      </c>
      <c r="AG88" s="81">
        <v>0</v>
      </c>
      <c r="AH88" s="81"/>
      <c r="AI88" s="84">
        <v>0</v>
      </c>
      <c r="AJ88" s="85"/>
      <c r="AK88" s="84">
        <v>0</v>
      </c>
      <c r="AL88" s="81"/>
      <c r="AM88" s="84">
        <v>0</v>
      </c>
      <c r="AN88" s="85"/>
      <c r="AO88" s="84">
        <v>0</v>
      </c>
      <c r="AP88" s="81"/>
      <c r="AQ88" s="230">
        <f>AR88</f>
        <v>15885.04</v>
      </c>
      <c r="AR88" s="231">
        <f>7938.61+7946.43</f>
        <v>15885.04</v>
      </c>
      <c r="AS88" s="84"/>
      <c r="AT88" s="85"/>
      <c r="AU88" s="230">
        <f>AV88</f>
        <v>11675.37</v>
      </c>
      <c r="AV88" s="231">
        <v>11675.37</v>
      </c>
      <c r="AW88" s="230">
        <f>AX88</f>
        <v>4820.95</v>
      </c>
      <c r="AX88" s="231">
        <f>4820.95</f>
        <v>4820.95</v>
      </c>
      <c r="AY88" s="230">
        <f>AZ88</f>
        <v>12706.26</v>
      </c>
      <c r="AZ88" s="231">
        <f>4160.33+8545.93</f>
        <v>12706.26</v>
      </c>
      <c r="BA88" s="84">
        <v>0</v>
      </c>
      <c r="BB88" s="85"/>
      <c r="BC88" s="230">
        <f>BD88</f>
        <v>31889.420000000002</v>
      </c>
      <c r="BD88" s="195">
        <f>15078.23+14667.35-764.21+2908.05</f>
        <v>31889.420000000002</v>
      </c>
      <c r="BE88" s="214">
        <f>D88-AG88-AI88-AK88-AM88-AO88-AQ88-AS88-AU88-AW88-AY88-BA88-BC88</f>
        <v>18086.959999999995</v>
      </c>
      <c r="BF88" s="377" t="s">
        <v>724</v>
      </c>
    </row>
    <row r="89" spans="1:58" x14ac:dyDescent="0.35">
      <c r="A89" s="353" t="s">
        <v>652</v>
      </c>
      <c r="B89" s="180"/>
      <c r="C89" s="83">
        <v>3811.58</v>
      </c>
      <c r="D89" s="107">
        <v>3811.58</v>
      </c>
      <c r="E89" s="304">
        <v>3811.58</v>
      </c>
      <c r="F89" s="289">
        <v>0</v>
      </c>
      <c r="G89" s="363">
        <f>F89/E89</f>
        <v>0</v>
      </c>
      <c r="H89" s="287"/>
      <c r="I89" s="313">
        <f>H89/E89</f>
        <v>0</v>
      </c>
      <c r="J89" s="287"/>
      <c r="K89" s="288">
        <f>J89/E89</f>
        <v>0</v>
      </c>
      <c r="L89" s="289">
        <v>3811.58</v>
      </c>
      <c r="M89" s="290">
        <f>L89/E89</f>
        <v>1</v>
      </c>
      <c r="N89" s="287"/>
      <c r="O89" s="288">
        <f>N89/E89</f>
        <v>0</v>
      </c>
      <c r="P89" s="289"/>
      <c r="Q89" s="290">
        <f>P89/E89</f>
        <v>0</v>
      </c>
      <c r="R89" s="287"/>
      <c r="S89" s="288">
        <f t="shared" si="326"/>
        <v>0</v>
      </c>
      <c r="T89" s="287"/>
      <c r="U89" s="288">
        <f>T89/E89</f>
        <v>0</v>
      </c>
      <c r="V89" s="289"/>
      <c r="W89" s="290">
        <f>V89/E89</f>
        <v>0</v>
      </c>
      <c r="X89" s="287"/>
      <c r="Y89" s="313">
        <f>X89/E89</f>
        <v>0</v>
      </c>
      <c r="Z89" s="289"/>
      <c r="AA89" s="363">
        <f>Z89/E89</f>
        <v>0</v>
      </c>
      <c r="AB89" s="287"/>
      <c r="AC89" s="313">
        <f>AB89/E89</f>
        <v>0</v>
      </c>
      <c r="AD89" s="289"/>
      <c r="AE89" s="363">
        <f>AD89/E89</f>
        <v>0</v>
      </c>
      <c r="AF89" s="323">
        <f>K89+M89+O89+Q89+S89+U89+W89+Y89+AA89+AC89+G89+I89+AE89</f>
        <v>1</v>
      </c>
      <c r="AG89" s="81">
        <v>0</v>
      </c>
      <c r="AH89" s="81"/>
      <c r="AI89" s="84">
        <v>0</v>
      </c>
      <c r="AJ89" s="85"/>
      <c r="AK89" s="84">
        <v>0</v>
      </c>
      <c r="AL89" s="81"/>
      <c r="AM89" s="84">
        <v>0</v>
      </c>
      <c r="AN89" s="85"/>
      <c r="AO89" s="230">
        <f>D89-AG89-AI89-AK89-AM89</f>
        <v>3811.58</v>
      </c>
      <c r="AP89" s="195">
        <v>3811.58</v>
      </c>
      <c r="AQ89" s="84">
        <f>D89-AG89-AI89-AK89-AM89-AO89</f>
        <v>0</v>
      </c>
      <c r="AR89" s="85"/>
      <c r="AS89" s="84">
        <f>D89-AG89-AI89-AK89-AM89-AO89-AQ89</f>
        <v>0</v>
      </c>
      <c r="AT89" s="85"/>
      <c r="AU89" s="84">
        <f>D89-AG89-AI89-AK89-AM89-AO89-AQ89-AS89</f>
        <v>0</v>
      </c>
      <c r="AV89" s="85"/>
      <c r="AW89" s="84">
        <f>D89-AG89-AI89-AK89-AM89-AO89-AQ89-AS89-AU89</f>
        <v>0</v>
      </c>
      <c r="AX89" s="85"/>
      <c r="AY89" s="84">
        <f>D89-AG89-AI89-AK89-AM89-AO89-AQ89-AS89-AU89-AW89</f>
        <v>0</v>
      </c>
      <c r="AZ89" s="85"/>
      <c r="BA89" s="84">
        <f>D89-AG89-AI89-AK89-AM89-AO89-AQ89-AS89-AU89-AW89-AY89</f>
        <v>0</v>
      </c>
      <c r="BB89" s="85"/>
      <c r="BC89" s="84">
        <f>D89-AG89-AI89-AK89-AM89-AO89-AQ89-AS89-AU89-AW89-AY89-BA89</f>
        <v>0</v>
      </c>
      <c r="BD89" s="81"/>
      <c r="BE89" s="214">
        <f>D89-AG89-AI89-AK89-AM89-AO89-AQ89-AS89-AU89-AW89-AY89-BA89-BC89</f>
        <v>0</v>
      </c>
    </row>
    <row r="90" spans="1:58" x14ac:dyDescent="0.35">
      <c r="A90" s="187" t="s">
        <v>630</v>
      </c>
      <c r="B90" s="180"/>
      <c r="C90" s="83">
        <v>46206</v>
      </c>
      <c r="D90" s="107">
        <f>'2022-23'!AW42+1260+2685.91-503.75+2759.31+1792.09</f>
        <v>54199.56</v>
      </c>
      <c r="E90" s="304">
        <f>+D90</f>
        <v>54199.56</v>
      </c>
      <c r="F90" s="289">
        <v>1260</v>
      </c>
      <c r="G90" s="363">
        <f>F90/E90</f>
        <v>2.3247421196777245E-2</v>
      </c>
      <c r="H90" s="287"/>
      <c r="I90" s="313">
        <f>H90/E90</f>
        <v>0</v>
      </c>
      <c r="J90" s="287">
        <v>7046</v>
      </c>
      <c r="K90" s="288">
        <f>J90/E90</f>
        <v>0.13000105535912101</v>
      </c>
      <c r="L90" s="289">
        <f>25182+503+2342</f>
        <v>28027</v>
      </c>
      <c r="M90" s="290">
        <f>L90/E90</f>
        <v>0.5171075189540284</v>
      </c>
      <c r="N90" s="287"/>
      <c r="O90" s="288">
        <f>N90/E90</f>
        <v>0</v>
      </c>
      <c r="P90" s="289">
        <f>11133</f>
        <v>11133</v>
      </c>
      <c r="Q90" s="290">
        <f>P90/E90</f>
        <v>0.2054075715743818</v>
      </c>
      <c r="R90" s="287"/>
      <c r="S90" s="288">
        <f t="shared" si="326"/>
        <v>0</v>
      </c>
      <c r="T90" s="287"/>
      <c r="U90" s="288">
        <f>T90/E90</f>
        <v>0</v>
      </c>
      <c r="V90" s="289"/>
      <c r="W90" s="290">
        <f>V90/E90</f>
        <v>0</v>
      </c>
      <c r="X90" s="287"/>
      <c r="Y90" s="313">
        <f>X90/E90</f>
        <v>0</v>
      </c>
      <c r="Z90" s="289"/>
      <c r="AA90" s="363">
        <f>Z90/E90</f>
        <v>0</v>
      </c>
      <c r="AB90" s="287">
        <f>1792.09+2759.31+2685.91</f>
        <v>7237.3099999999995</v>
      </c>
      <c r="AC90" s="313">
        <f>AB90/E90</f>
        <v>0.13353078881083166</v>
      </c>
      <c r="AD90" s="289"/>
      <c r="AE90" s="363">
        <f>AD90/E90</f>
        <v>0</v>
      </c>
      <c r="AF90" s="323">
        <f>K90+M90+O90+Q90+S90+U90+W90+Y90+AA90+AC90+G90+I90+AE90</f>
        <v>1.0092943558951402</v>
      </c>
      <c r="AG90" s="81">
        <v>0</v>
      </c>
      <c r="AH90" s="81"/>
      <c r="AI90" s="230">
        <v>17012</v>
      </c>
      <c r="AJ90" s="231">
        <f>1260+15751.84</f>
        <v>17011.84</v>
      </c>
      <c r="AK90" s="230">
        <f>AL90</f>
        <v>12802.39</v>
      </c>
      <c r="AL90" s="195">
        <v>12802.39</v>
      </c>
      <c r="AM90" s="84">
        <v>0</v>
      </c>
      <c r="AN90" s="85"/>
      <c r="AO90" s="84">
        <v>0</v>
      </c>
      <c r="AP90" s="81"/>
      <c r="AQ90" s="84">
        <v>0</v>
      </c>
      <c r="AR90" s="85"/>
      <c r="AS90" s="84">
        <v>0</v>
      </c>
      <c r="AT90" s="85"/>
      <c r="AU90" s="84">
        <v>0</v>
      </c>
      <c r="AV90" s="85"/>
      <c r="AW90" s="84">
        <v>0</v>
      </c>
      <c r="AX90" s="85"/>
      <c r="AY90" s="84">
        <v>0</v>
      </c>
      <c r="AZ90" s="85"/>
      <c r="BA90" s="84">
        <v>0</v>
      </c>
      <c r="BB90" s="85"/>
      <c r="BC90" s="230">
        <f>BD90</f>
        <v>7370.5499999999993</v>
      </c>
      <c r="BD90" s="195">
        <f>9559.82-1685.52-503.75</f>
        <v>7370.5499999999993</v>
      </c>
      <c r="BE90" s="214">
        <f>D90-AG90-AI90-AK90-AM90-AO90-AQ90-AS90-AU90-AW90-AY90-BA90-BC90</f>
        <v>17014.62</v>
      </c>
      <c r="BF90" s="378" t="s">
        <v>725</v>
      </c>
    </row>
    <row r="91" spans="1:58" x14ac:dyDescent="0.35">
      <c r="A91" s="187" t="s">
        <v>585</v>
      </c>
      <c r="B91" s="180"/>
      <c r="C91" s="83">
        <v>6213</v>
      </c>
      <c r="D91" s="107">
        <f>6213+5249</f>
        <v>11462</v>
      </c>
      <c r="E91" s="304">
        <v>6213</v>
      </c>
      <c r="F91" s="289"/>
      <c r="G91" s="363">
        <f t="shared" si="291"/>
        <v>0</v>
      </c>
      <c r="H91" s="287"/>
      <c r="I91" s="313">
        <f t="shared" si="292"/>
        <v>0</v>
      </c>
      <c r="J91" s="287"/>
      <c r="K91" s="288">
        <f t="shared" ref="K91:K96" si="351">J91/E91</f>
        <v>0</v>
      </c>
      <c r="L91" s="289"/>
      <c r="M91" s="290">
        <f t="shared" ref="M91:M96" si="352">L91/E91</f>
        <v>0</v>
      </c>
      <c r="N91" s="287"/>
      <c r="O91" s="288">
        <f t="shared" ref="O91:O96" si="353">N91/E91</f>
        <v>0</v>
      </c>
      <c r="P91" s="289"/>
      <c r="Q91" s="290">
        <f t="shared" ref="Q91:Q96" si="354">P91/E91</f>
        <v>0</v>
      </c>
      <c r="R91" s="287"/>
      <c r="S91" s="288">
        <f t="shared" si="52"/>
        <v>0</v>
      </c>
      <c r="T91" s="287"/>
      <c r="U91" s="288">
        <f t="shared" ref="U91:U96" si="355">T91/E91</f>
        <v>0</v>
      </c>
      <c r="V91" s="289"/>
      <c r="W91" s="290">
        <f t="shared" ref="W91:W96" si="356">V91/E91</f>
        <v>0</v>
      </c>
      <c r="X91" s="287"/>
      <c r="Y91" s="313">
        <f t="shared" ref="Y91:Y96" si="357">X91/E91</f>
        <v>0</v>
      </c>
      <c r="Z91" s="289"/>
      <c r="AA91" s="363">
        <f t="shared" si="299"/>
        <v>0</v>
      </c>
      <c r="AB91" s="287">
        <v>6213</v>
      </c>
      <c r="AC91" s="313">
        <f t="shared" si="300"/>
        <v>1</v>
      </c>
      <c r="AD91" s="289"/>
      <c r="AE91" s="363">
        <f t="shared" si="301"/>
        <v>0</v>
      </c>
      <c r="AF91" s="323">
        <f t="shared" si="302"/>
        <v>1</v>
      </c>
      <c r="AG91" s="195">
        <f>AH91</f>
        <v>6406.6</v>
      </c>
      <c r="AH91" s="195">
        <v>6406.6</v>
      </c>
      <c r="AI91" s="230">
        <v>5055</v>
      </c>
      <c r="AJ91" s="231">
        <v>5054.7</v>
      </c>
      <c r="AK91" s="84">
        <v>0</v>
      </c>
      <c r="AL91" s="81"/>
      <c r="AM91" s="84">
        <f t="shared" si="290"/>
        <v>0.3999999999996362</v>
      </c>
      <c r="AN91" s="85"/>
      <c r="AO91" s="84">
        <f t="shared" si="280"/>
        <v>0</v>
      </c>
      <c r="AP91" s="81"/>
      <c r="AQ91" s="84">
        <f t="shared" si="281"/>
        <v>0</v>
      </c>
      <c r="AR91" s="85"/>
      <c r="AS91" s="84">
        <f t="shared" si="167"/>
        <v>0</v>
      </c>
      <c r="AT91" s="85"/>
      <c r="AU91" s="84">
        <f t="shared" si="168"/>
        <v>0</v>
      </c>
      <c r="AV91" s="85"/>
      <c r="AW91" s="84">
        <f t="shared" si="162"/>
        <v>0</v>
      </c>
      <c r="AX91" s="85"/>
      <c r="AY91" s="84">
        <f t="shared" si="163"/>
        <v>0</v>
      </c>
      <c r="AZ91" s="85"/>
      <c r="BA91" s="84">
        <f t="shared" si="307"/>
        <v>0</v>
      </c>
      <c r="BB91" s="85"/>
      <c r="BC91" s="84">
        <f t="shared" si="308"/>
        <v>0</v>
      </c>
      <c r="BD91" s="81"/>
      <c r="BE91" s="214">
        <f t="shared" si="309"/>
        <v>0</v>
      </c>
    </row>
    <row r="92" spans="1:58" x14ac:dyDescent="0.35">
      <c r="A92" s="187" t="s">
        <v>612</v>
      </c>
      <c r="B92" s="180"/>
      <c r="C92" s="83">
        <v>856.57</v>
      </c>
      <c r="D92" s="107">
        <v>857</v>
      </c>
      <c r="E92" s="304">
        <v>857</v>
      </c>
      <c r="F92" s="289"/>
      <c r="G92" s="363">
        <f t="shared" si="291"/>
        <v>0</v>
      </c>
      <c r="H92" s="287"/>
      <c r="I92" s="313">
        <f t="shared" si="292"/>
        <v>0</v>
      </c>
      <c r="J92" s="287"/>
      <c r="K92" s="288">
        <f t="shared" si="351"/>
        <v>0</v>
      </c>
      <c r="L92" s="289"/>
      <c r="M92" s="290">
        <f t="shared" si="352"/>
        <v>0</v>
      </c>
      <c r="N92" s="287"/>
      <c r="O92" s="288">
        <f t="shared" si="353"/>
        <v>0</v>
      </c>
      <c r="P92" s="289"/>
      <c r="Q92" s="290">
        <f t="shared" si="354"/>
        <v>0</v>
      </c>
      <c r="R92" s="287"/>
      <c r="S92" s="288">
        <f t="shared" si="52"/>
        <v>0</v>
      </c>
      <c r="T92" s="287"/>
      <c r="U92" s="288">
        <f t="shared" si="355"/>
        <v>0</v>
      </c>
      <c r="V92" s="289"/>
      <c r="W92" s="290">
        <f t="shared" si="356"/>
        <v>0</v>
      </c>
      <c r="X92" s="287"/>
      <c r="Y92" s="313">
        <f t="shared" si="357"/>
        <v>0</v>
      </c>
      <c r="Z92" s="289"/>
      <c r="AA92" s="363">
        <f t="shared" si="299"/>
        <v>0</v>
      </c>
      <c r="AB92" s="287">
        <v>857</v>
      </c>
      <c r="AC92" s="313">
        <f t="shared" si="300"/>
        <v>1</v>
      </c>
      <c r="AD92" s="289"/>
      <c r="AE92" s="363">
        <f t="shared" si="301"/>
        <v>0</v>
      </c>
      <c r="AF92" s="323">
        <f t="shared" si="302"/>
        <v>1</v>
      </c>
      <c r="AG92" s="81">
        <v>0</v>
      </c>
      <c r="AH92" s="81"/>
      <c r="AI92" s="84">
        <v>0</v>
      </c>
      <c r="AJ92" s="85"/>
      <c r="AK92" s="84">
        <v>0</v>
      </c>
      <c r="AL92" s="81"/>
      <c r="AM92" s="230">
        <f>AN92</f>
        <v>716.05</v>
      </c>
      <c r="AN92" s="231">
        <v>716.05</v>
      </c>
      <c r="AO92" s="230">
        <f t="shared" si="280"/>
        <v>140.95000000000005</v>
      </c>
      <c r="AP92" s="195">
        <v>140.52000000000001</v>
      </c>
      <c r="AQ92" s="84">
        <f t="shared" si="281"/>
        <v>0</v>
      </c>
      <c r="AR92" s="85"/>
      <c r="AS92" s="84">
        <f t="shared" si="167"/>
        <v>0</v>
      </c>
      <c r="AT92" s="85"/>
      <c r="AU92" s="84">
        <f t="shared" si="168"/>
        <v>0</v>
      </c>
      <c r="AV92" s="85"/>
      <c r="AW92" s="84">
        <f t="shared" si="162"/>
        <v>0</v>
      </c>
      <c r="AX92" s="85"/>
      <c r="AY92" s="84">
        <f t="shared" si="163"/>
        <v>0</v>
      </c>
      <c r="AZ92" s="85"/>
      <c r="BA92" s="84">
        <f t="shared" si="307"/>
        <v>0</v>
      </c>
      <c r="BB92" s="85"/>
      <c r="BC92" s="84">
        <f t="shared" si="308"/>
        <v>0</v>
      </c>
      <c r="BD92" s="81"/>
      <c r="BE92" s="214">
        <f t="shared" si="309"/>
        <v>0</v>
      </c>
    </row>
    <row r="93" spans="1:58" x14ac:dyDescent="0.35">
      <c r="A93" s="160" t="s">
        <v>651</v>
      </c>
      <c r="B93" s="180"/>
      <c r="C93" s="83">
        <v>15674</v>
      </c>
      <c r="D93" s="107">
        <f>'2022-23'!AW24</f>
        <v>15674</v>
      </c>
      <c r="E93" s="304">
        <v>15674</v>
      </c>
      <c r="F93" s="289">
        <v>806.4</v>
      </c>
      <c r="G93" s="363">
        <f t="shared" si="291"/>
        <v>5.1448258262090082E-2</v>
      </c>
      <c r="H93" s="287"/>
      <c r="I93" s="313">
        <f t="shared" si="292"/>
        <v>0</v>
      </c>
      <c r="J93" s="287">
        <f>15674-806.4</f>
        <v>14867.6</v>
      </c>
      <c r="K93" s="288">
        <f t="shared" si="351"/>
        <v>0.9485517417379099</v>
      </c>
      <c r="L93" s="289"/>
      <c r="M93" s="290">
        <f t="shared" si="352"/>
        <v>0</v>
      </c>
      <c r="N93" s="287"/>
      <c r="O93" s="288">
        <f t="shared" si="353"/>
        <v>0</v>
      </c>
      <c r="P93" s="289"/>
      <c r="Q93" s="290">
        <f t="shared" si="354"/>
        <v>0</v>
      </c>
      <c r="R93" s="287"/>
      <c r="S93" s="288">
        <f t="shared" si="52"/>
        <v>0</v>
      </c>
      <c r="T93" s="287"/>
      <c r="U93" s="288">
        <f t="shared" si="355"/>
        <v>0</v>
      </c>
      <c r="V93" s="289"/>
      <c r="W93" s="290">
        <f t="shared" si="356"/>
        <v>0</v>
      </c>
      <c r="X93" s="287"/>
      <c r="Y93" s="313">
        <f t="shared" si="357"/>
        <v>0</v>
      </c>
      <c r="Z93" s="289"/>
      <c r="AA93" s="363">
        <f t="shared" si="299"/>
        <v>0</v>
      </c>
      <c r="AB93" s="287"/>
      <c r="AC93" s="313">
        <f t="shared" si="300"/>
        <v>0</v>
      </c>
      <c r="AD93" s="289"/>
      <c r="AE93" s="363">
        <f t="shared" si="301"/>
        <v>0</v>
      </c>
      <c r="AF93" s="323">
        <f t="shared" si="302"/>
        <v>1</v>
      </c>
      <c r="AG93" s="81"/>
      <c r="AH93" s="81"/>
      <c r="AI93" s="230">
        <v>15674</v>
      </c>
      <c r="AJ93" s="231">
        <v>15674</v>
      </c>
      <c r="AK93" s="84">
        <f t="shared" ref="AK93:AK95" si="358">D93-AG93-AI93</f>
        <v>0</v>
      </c>
      <c r="AL93" s="81"/>
      <c r="AM93" s="84">
        <f t="shared" si="290"/>
        <v>0</v>
      </c>
      <c r="AN93" s="85"/>
      <c r="AO93" s="84">
        <f t="shared" si="280"/>
        <v>0</v>
      </c>
      <c r="AP93" s="81"/>
      <c r="AQ93" s="84">
        <f t="shared" si="281"/>
        <v>0</v>
      </c>
      <c r="AR93" s="85"/>
      <c r="AS93" s="84">
        <f t="shared" si="167"/>
        <v>0</v>
      </c>
      <c r="AT93" s="85"/>
      <c r="AU93" s="84">
        <f t="shared" si="168"/>
        <v>0</v>
      </c>
      <c r="AV93" s="85"/>
      <c r="AW93" s="84">
        <f t="shared" si="162"/>
        <v>0</v>
      </c>
      <c r="AX93" s="85"/>
      <c r="AY93" s="84">
        <f t="shared" si="163"/>
        <v>0</v>
      </c>
      <c r="AZ93" s="85"/>
      <c r="BA93" s="84">
        <f t="shared" si="307"/>
        <v>0</v>
      </c>
      <c r="BB93" s="85"/>
      <c r="BC93" s="84">
        <f t="shared" si="308"/>
        <v>0</v>
      </c>
      <c r="BD93" s="81"/>
      <c r="BE93" s="214">
        <f t="shared" si="309"/>
        <v>0</v>
      </c>
    </row>
    <row r="94" spans="1:58" x14ac:dyDescent="0.35">
      <c r="A94" s="187" t="s">
        <v>655</v>
      </c>
      <c r="B94" s="180"/>
      <c r="C94" s="83">
        <v>7252.87</v>
      </c>
      <c r="D94" s="107">
        <f>'2022-23'!AW20</f>
        <v>7252.87</v>
      </c>
      <c r="E94" s="304">
        <f>D94</f>
        <v>7252.87</v>
      </c>
      <c r="F94" s="289"/>
      <c r="G94" s="363">
        <f t="shared" si="291"/>
        <v>0</v>
      </c>
      <c r="H94" s="287"/>
      <c r="I94" s="313">
        <f t="shared" si="292"/>
        <v>0</v>
      </c>
      <c r="J94" s="287"/>
      <c r="K94" s="288">
        <f t="shared" si="351"/>
        <v>0</v>
      </c>
      <c r="L94" s="289">
        <f>E94</f>
        <v>7252.87</v>
      </c>
      <c r="M94" s="290">
        <f t="shared" si="352"/>
        <v>1</v>
      </c>
      <c r="N94" s="287"/>
      <c r="O94" s="288">
        <f t="shared" si="353"/>
        <v>0</v>
      </c>
      <c r="P94" s="289"/>
      <c r="Q94" s="290">
        <f t="shared" si="354"/>
        <v>0</v>
      </c>
      <c r="R94" s="287"/>
      <c r="S94" s="288">
        <f t="shared" si="52"/>
        <v>0</v>
      </c>
      <c r="T94" s="287"/>
      <c r="U94" s="288">
        <f t="shared" si="355"/>
        <v>0</v>
      </c>
      <c r="V94" s="289"/>
      <c r="W94" s="290">
        <f t="shared" si="356"/>
        <v>0</v>
      </c>
      <c r="X94" s="287"/>
      <c r="Y94" s="313">
        <f t="shared" si="357"/>
        <v>0</v>
      </c>
      <c r="Z94" s="289"/>
      <c r="AA94" s="363">
        <f t="shared" si="299"/>
        <v>0</v>
      </c>
      <c r="AB94" s="287"/>
      <c r="AC94" s="313">
        <f t="shared" si="300"/>
        <v>0</v>
      </c>
      <c r="AD94" s="289"/>
      <c r="AE94" s="363">
        <f t="shared" si="301"/>
        <v>0</v>
      </c>
      <c r="AF94" s="323">
        <f t="shared" si="302"/>
        <v>1</v>
      </c>
      <c r="AG94" s="195">
        <v>7252.87</v>
      </c>
      <c r="AH94" s="195">
        <v>7252.87</v>
      </c>
      <c r="AI94" s="84">
        <f>D94-AG94</f>
        <v>0</v>
      </c>
      <c r="AJ94" s="85"/>
      <c r="AK94" s="84">
        <f t="shared" si="358"/>
        <v>0</v>
      </c>
      <c r="AL94" s="81"/>
      <c r="AM94" s="84">
        <f t="shared" si="290"/>
        <v>0</v>
      </c>
      <c r="AN94" s="85"/>
      <c r="AO94" s="84">
        <f t="shared" si="280"/>
        <v>0</v>
      </c>
      <c r="AP94" s="81"/>
      <c r="AQ94" s="84">
        <f t="shared" si="281"/>
        <v>0</v>
      </c>
      <c r="AR94" s="85"/>
      <c r="AS94" s="84">
        <f t="shared" si="167"/>
        <v>0</v>
      </c>
      <c r="AT94" s="85"/>
      <c r="AU94" s="84">
        <f t="shared" si="168"/>
        <v>0</v>
      </c>
      <c r="AV94" s="85"/>
      <c r="AW94" s="84">
        <f t="shared" si="162"/>
        <v>0</v>
      </c>
      <c r="AX94" s="85"/>
      <c r="AY94" s="84">
        <f t="shared" si="163"/>
        <v>0</v>
      </c>
      <c r="AZ94" s="85"/>
      <c r="BA94" s="84">
        <f t="shared" si="307"/>
        <v>0</v>
      </c>
      <c r="BB94" s="85"/>
      <c r="BC94" s="84">
        <f t="shared" si="308"/>
        <v>0</v>
      </c>
      <c r="BD94" s="81"/>
      <c r="BE94" s="214">
        <f t="shared" si="309"/>
        <v>0</v>
      </c>
    </row>
    <row r="95" spans="1:58" x14ac:dyDescent="0.35">
      <c r="A95" s="187" t="s">
        <v>634</v>
      </c>
      <c r="B95" s="180"/>
      <c r="C95" s="83">
        <v>10614</v>
      </c>
      <c r="D95" s="107">
        <v>10273.23</v>
      </c>
      <c r="E95" s="304">
        <v>10614</v>
      </c>
      <c r="F95" s="289">
        <v>352</v>
      </c>
      <c r="G95" s="363">
        <f t="shared" si="291"/>
        <v>3.3163745995854532E-2</v>
      </c>
      <c r="H95" s="287"/>
      <c r="I95" s="313">
        <f t="shared" si="292"/>
        <v>0</v>
      </c>
      <c r="J95" s="287"/>
      <c r="K95" s="288">
        <f t="shared" si="351"/>
        <v>0</v>
      </c>
      <c r="L95" s="289">
        <v>5253</v>
      </c>
      <c r="M95" s="290">
        <f t="shared" si="352"/>
        <v>0.49491237987563597</v>
      </c>
      <c r="N95" s="287"/>
      <c r="O95" s="288">
        <f t="shared" si="353"/>
        <v>0</v>
      </c>
      <c r="P95" s="289"/>
      <c r="Q95" s="290">
        <f t="shared" si="354"/>
        <v>0</v>
      </c>
      <c r="R95" s="287"/>
      <c r="S95" s="288">
        <f t="shared" si="52"/>
        <v>0</v>
      </c>
      <c r="T95" s="287"/>
      <c r="U95" s="288">
        <f t="shared" si="355"/>
        <v>0</v>
      </c>
      <c r="V95" s="289"/>
      <c r="W95" s="290">
        <f t="shared" si="356"/>
        <v>0</v>
      </c>
      <c r="X95" s="287"/>
      <c r="Y95" s="313">
        <f t="shared" si="357"/>
        <v>0</v>
      </c>
      <c r="Z95" s="289"/>
      <c r="AA95" s="363">
        <f t="shared" si="299"/>
        <v>0</v>
      </c>
      <c r="AB95" s="287"/>
      <c r="AC95" s="313">
        <f t="shared" si="300"/>
        <v>0</v>
      </c>
      <c r="AD95" s="289">
        <v>5008</v>
      </c>
      <c r="AE95" s="363">
        <f t="shared" si="301"/>
        <v>0.4718296589410213</v>
      </c>
      <c r="AF95" s="323">
        <f t="shared" si="302"/>
        <v>0.99990578481251191</v>
      </c>
      <c r="AG95" s="195">
        <v>10273.23</v>
      </c>
      <c r="AH95" s="195">
        <v>10273.23</v>
      </c>
      <c r="AI95" s="84">
        <f>D95-AG95</f>
        <v>0</v>
      </c>
      <c r="AJ95" s="85"/>
      <c r="AK95" s="84">
        <f t="shared" si="358"/>
        <v>0</v>
      </c>
      <c r="AL95" s="81"/>
      <c r="AM95" s="84">
        <f t="shared" si="290"/>
        <v>0</v>
      </c>
      <c r="AN95" s="85"/>
      <c r="AO95" s="84">
        <f t="shared" si="280"/>
        <v>0</v>
      </c>
      <c r="AP95" s="81"/>
      <c r="AQ95" s="84">
        <f t="shared" si="281"/>
        <v>0</v>
      </c>
      <c r="AR95" s="85"/>
      <c r="AS95" s="84">
        <f t="shared" si="167"/>
        <v>0</v>
      </c>
      <c r="AT95" s="85"/>
      <c r="AU95" s="84">
        <f t="shared" si="168"/>
        <v>0</v>
      </c>
      <c r="AV95" s="85"/>
      <c r="AW95" s="84">
        <f t="shared" si="162"/>
        <v>0</v>
      </c>
      <c r="AX95" s="85"/>
      <c r="AY95" s="84">
        <f t="shared" si="163"/>
        <v>0</v>
      </c>
      <c r="AZ95" s="85"/>
      <c r="BA95" s="84">
        <f t="shared" si="307"/>
        <v>0</v>
      </c>
      <c r="BB95" s="85"/>
      <c r="BC95" s="84">
        <f t="shared" si="308"/>
        <v>0</v>
      </c>
      <c r="BD95" s="81"/>
      <c r="BE95" s="214">
        <f t="shared" si="309"/>
        <v>0</v>
      </c>
    </row>
    <row r="96" spans="1:58" x14ac:dyDescent="0.35">
      <c r="A96" s="187" t="s">
        <v>632</v>
      </c>
      <c r="B96" s="180"/>
      <c r="C96" s="83">
        <v>22497</v>
      </c>
      <c r="D96" s="107">
        <f>E96</f>
        <v>22496.53</v>
      </c>
      <c r="E96" s="304">
        <v>22496.53</v>
      </c>
      <c r="F96" s="289">
        <v>1612.8</v>
      </c>
      <c r="G96" s="363">
        <f t="shared" si="291"/>
        <v>7.1691056354024382E-2</v>
      </c>
      <c r="H96" s="287"/>
      <c r="I96" s="313">
        <f t="shared" si="292"/>
        <v>0</v>
      </c>
      <c r="J96" s="287"/>
      <c r="K96" s="288">
        <f t="shared" si="351"/>
        <v>0</v>
      </c>
      <c r="L96" s="289">
        <v>20884</v>
      </c>
      <c r="M96" s="290">
        <f t="shared" si="352"/>
        <v>0.92832094549692779</v>
      </c>
      <c r="N96" s="287"/>
      <c r="O96" s="288">
        <f t="shared" si="353"/>
        <v>0</v>
      </c>
      <c r="P96" s="289"/>
      <c r="Q96" s="290">
        <f t="shared" si="354"/>
        <v>0</v>
      </c>
      <c r="R96" s="287"/>
      <c r="S96" s="288">
        <f t="shared" si="52"/>
        <v>0</v>
      </c>
      <c r="T96" s="287"/>
      <c r="U96" s="288">
        <f t="shared" si="355"/>
        <v>0</v>
      </c>
      <c r="V96" s="289"/>
      <c r="W96" s="290">
        <f t="shared" si="356"/>
        <v>0</v>
      </c>
      <c r="X96" s="287"/>
      <c r="Y96" s="313">
        <f t="shared" si="357"/>
        <v>0</v>
      </c>
      <c r="Z96" s="289"/>
      <c r="AA96" s="363">
        <f t="shared" si="299"/>
        <v>0</v>
      </c>
      <c r="AB96" s="287"/>
      <c r="AC96" s="313">
        <f t="shared" si="300"/>
        <v>0</v>
      </c>
      <c r="AD96" s="289"/>
      <c r="AE96" s="363">
        <f t="shared" si="301"/>
        <v>0</v>
      </c>
      <c r="AF96" s="323">
        <f t="shared" si="302"/>
        <v>1.0000120018509522</v>
      </c>
      <c r="AG96" s="81">
        <v>0</v>
      </c>
      <c r="AH96" s="81"/>
      <c r="AI96" s="84">
        <v>0</v>
      </c>
      <c r="AJ96" s="85"/>
      <c r="AK96" s="84">
        <v>0</v>
      </c>
      <c r="AL96" s="81"/>
      <c r="AM96" s="230">
        <f>AN96</f>
        <v>22496.53</v>
      </c>
      <c r="AN96" s="231">
        <v>22496.53</v>
      </c>
      <c r="AO96" s="84">
        <f t="shared" si="280"/>
        <v>0</v>
      </c>
      <c r="AP96" s="81"/>
      <c r="AQ96" s="84">
        <f t="shared" si="281"/>
        <v>0</v>
      </c>
      <c r="AR96" s="85"/>
      <c r="AS96" s="84">
        <f t="shared" si="167"/>
        <v>0</v>
      </c>
      <c r="AT96" s="85"/>
      <c r="AU96" s="84">
        <f t="shared" si="168"/>
        <v>0</v>
      </c>
      <c r="AV96" s="85"/>
      <c r="AW96" s="84">
        <f t="shared" si="162"/>
        <v>0</v>
      </c>
      <c r="AX96" s="85"/>
      <c r="AY96" s="84">
        <f t="shared" si="163"/>
        <v>0</v>
      </c>
      <c r="AZ96" s="85"/>
      <c r="BA96" s="84">
        <f t="shared" si="307"/>
        <v>0</v>
      </c>
      <c r="BB96" s="85"/>
      <c r="BC96" s="84">
        <f t="shared" si="308"/>
        <v>0</v>
      </c>
      <c r="BD96" s="81"/>
      <c r="BE96" s="214">
        <f t="shared" si="309"/>
        <v>0</v>
      </c>
    </row>
    <row r="97" spans="1:57" x14ac:dyDescent="0.35">
      <c r="A97" s="159"/>
      <c r="B97" s="180"/>
      <c r="C97" s="83"/>
      <c r="D97" s="142"/>
      <c r="E97" s="304"/>
      <c r="F97" s="289"/>
      <c r="G97" s="363" t="e">
        <f t="shared" si="291"/>
        <v>#DIV/0!</v>
      </c>
      <c r="H97" s="287"/>
      <c r="I97" s="313" t="e">
        <f t="shared" si="292"/>
        <v>#DIV/0!</v>
      </c>
      <c r="J97" s="287"/>
      <c r="K97" s="288" t="e">
        <f t="shared" ref="K97:K128" si="359">J97/E97</f>
        <v>#DIV/0!</v>
      </c>
      <c r="L97" s="289"/>
      <c r="M97" s="290" t="e">
        <f t="shared" ref="M97:M128" si="360">L97/E97</f>
        <v>#DIV/0!</v>
      </c>
      <c r="N97" s="287"/>
      <c r="O97" s="288" t="e">
        <f t="shared" ref="O97:O128" si="361">N97/E97</f>
        <v>#DIV/0!</v>
      </c>
      <c r="P97" s="289"/>
      <c r="Q97" s="290" t="e">
        <f t="shared" ref="Q97:Q128" si="362">P97/E97</f>
        <v>#DIV/0!</v>
      </c>
      <c r="R97" s="287"/>
      <c r="S97" s="288" t="e">
        <f t="shared" si="52"/>
        <v>#DIV/0!</v>
      </c>
      <c r="T97" s="287"/>
      <c r="U97" s="288" t="e">
        <f t="shared" ref="U97:U128" si="363">T97/E97</f>
        <v>#DIV/0!</v>
      </c>
      <c r="V97" s="289"/>
      <c r="W97" s="290" t="e">
        <f t="shared" ref="W97:W128" si="364">V97/E97</f>
        <v>#DIV/0!</v>
      </c>
      <c r="X97" s="287"/>
      <c r="Y97" s="313" t="e">
        <f t="shared" ref="Y97:Y128" si="365">X97/E97</f>
        <v>#DIV/0!</v>
      </c>
      <c r="Z97" s="289"/>
      <c r="AA97" s="363" t="e">
        <f t="shared" si="299"/>
        <v>#DIV/0!</v>
      </c>
      <c r="AB97" s="287"/>
      <c r="AC97" s="313" t="e">
        <f t="shared" si="300"/>
        <v>#DIV/0!</v>
      </c>
      <c r="AD97" s="289"/>
      <c r="AE97" s="363" t="e">
        <f t="shared" si="301"/>
        <v>#DIV/0!</v>
      </c>
      <c r="AF97" s="323" t="e">
        <f t="shared" si="302"/>
        <v>#DIV/0!</v>
      </c>
      <c r="AG97" s="81">
        <v>0</v>
      </c>
      <c r="AH97" s="81"/>
      <c r="AI97" s="84">
        <f t="shared" ref="AI97:AI112" si="366">D97-AG97</f>
        <v>0</v>
      </c>
      <c r="AJ97" s="85"/>
      <c r="AK97" s="84">
        <f t="shared" ref="AK97:AK112" si="367">D97-AG97-AI97</f>
        <v>0</v>
      </c>
      <c r="AL97" s="81"/>
      <c r="AM97" s="84">
        <f t="shared" si="290"/>
        <v>0</v>
      </c>
      <c r="AN97" s="85"/>
      <c r="AO97" s="84">
        <f t="shared" si="280"/>
        <v>0</v>
      </c>
      <c r="AP97" s="81"/>
      <c r="AQ97" s="84">
        <f t="shared" si="281"/>
        <v>0</v>
      </c>
      <c r="AR97" s="85"/>
      <c r="AS97" s="84">
        <f t="shared" si="167"/>
        <v>0</v>
      </c>
      <c r="AT97" s="85"/>
      <c r="AU97" s="84">
        <f t="shared" si="168"/>
        <v>0</v>
      </c>
      <c r="AV97" s="85"/>
      <c r="AW97" s="84">
        <f t="shared" si="162"/>
        <v>0</v>
      </c>
      <c r="AX97" s="85"/>
      <c r="AY97" s="84">
        <f t="shared" si="163"/>
        <v>0</v>
      </c>
      <c r="AZ97" s="85"/>
      <c r="BA97" s="84">
        <f t="shared" si="307"/>
        <v>0</v>
      </c>
      <c r="BB97" s="85"/>
      <c r="BC97" s="84">
        <f t="shared" si="308"/>
        <v>0</v>
      </c>
      <c r="BD97" s="81"/>
      <c r="BE97" s="214">
        <f t="shared" si="309"/>
        <v>0</v>
      </c>
    </row>
    <row r="98" spans="1:57" ht="13.9" x14ac:dyDescent="0.4">
      <c r="A98" s="368" t="s">
        <v>525</v>
      </c>
      <c r="B98" s="369"/>
      <c r="C98" s="370"/>
      <c r="D98" s="371"/>
      <c r="E98" s="304"/>
      <c r="F98" s="289"/>
      <c r="G98" s="363" t="e">
        <f t="shared" ref="G98:G108" si="368">F98/E98</f>
        <v>#DIV/0!</v>
      </c>
      <c r="H98" s="287"/>
      <c r="I98" s="313" t="e">
        <f t="shared" ref="I98:I108" si="369">H98/E98</f>
        <v>#DIV/0!</v>
      </c>
      <c r="J98" s="287"/>
      <c r="K98" s="288" t="e">
        <f t="shared" si="359"/>
        <v>#DIV/0!</v>
      </c>
      <c r="L98" s="289"/>
      <c r="M98" s="290" t="e">
        <f t="shared" si="360"/>
        <v>#DIV/0!</v>
      </c>
      <c r="N98" s="287"/>
      <c r="O98" s="288"/>
      <c r="P98" s="289"/>
      <c r="Q98" s="290"/>
      <c r="R98" s="287"/>
      <c r="S98" s="288"/>
      <c r="T98" s="287"/>
      <c r="U98" s="288"/>
      <c r="V98" s="289"/>
      <c r="W98" s="290"/>
      <c r="X98" s="287"/>
      <c r="Y98" s="313"/>
      <c r="Z98" s="289"/>
      <c r="AA98" s="363"/>
      <c r="AB98" s="287"/>
      <c r="AC98" s="313"/>
      <c r="AD98" s="289"/>
      <c r="AE98" s="363"/>
      <c r="AF98" s="323"/>
      <c r="AG98" s="81">
        <v>0</v>
      </c>
      <c r="AH98" s="81"/>
      <c r="AI98" s="84">
        <f t="shared" ref="AI98:AI105" si="370">D98-AG98</f>
        <v>0</v>
      </c>
      <c r="AJ98" s="85"/>
      <c r="AK98" s="84">
        <f>D98-AG98-AI98</f>
        <v>0</v>
      </c>
      <c r="AL98" s="81"/>
      <c r="AM98" s="84">
        <f>D98-AG98-AI98-AK98</f>
        <v>0</v>
      </c>
      <c r="AN98" s="85"/>
      <c r="AO98" s="84">
        <f>D98-AG98-AI98-AK98-AM98</f>
        <v>0</v>
      </c>
      <c r="AP98" s="81"/>
      <c r="AQ98" s="84">
        <f>D98-AG98-AI98-AK98-AM98-AO98</f>
        <v>0</v>
      </c>
      <c r="AR98" s="85"/>
      <c r="AS98" s="84">
        <f t="shared" si="167"/>
        <v>0</v>
      </c>
      <c r="AT98" s="85"/>
      <c r="AU98" s="84">
        <f t="shared" si="168"/>
        <v>0</v>
      </c>
      <c r="AV98" s="85"/>
      <c r="AW98" s="84">
        <f t="shared" si="162"/>
        <v>0</v>
      </c>
      <c r="AX98" s="85"/>
      <c r="AY98" s="84">
        <f t="shared" si="163"/>
        <v>0</v>
      </c>
      <c r="AZ98" s="85"/>
      <c r="BA98" s="84">
        <f t="shared" ref="BA98:BA108" si="371">D98-AG98-AI98-AK98-AM98-AO98-AQ98-AS98-AU98-AW98-AY98</f>
        <v>0</v>
      </c>
      <c r="BB98" s="85"/>
      <c r="BC98" s="84">
        <f t="shared" ref="BC98:BC108" si="372">D98-AG98-AI98-AK98-AM98-AO98-AQ98-AS98-AU98-AW98-AY98-BA98</f>
        <v>0</v>
      </c>
      <c r="BD98" s="81"/>
      <c r="BE98" s="214">
        <f t="shared" ref="BE98:BE108" si="373">D98-AG98-AI98-AK98-AM98-AO98-AQ98-AS98-AU98-AW98-AY98-BA98-BC98</f>
        <v>0</v>
      </c>
    </row>
    <row r="99" spans="1:57" x14ac:dyDescent="0.35">
      <c r="A99" s="151"/>
      <c r="B99" s="180"/>
      <c r="C99" s="83"/>
      <c r="D99" s="142"/>
      <c r="E99" s="304"/>
      <c r="F99" s="289"/>
      <c r="G99" s="363"/>
      <c r="H99" s="287"/>
      <c r="I99" s="313"/>
      <c r="J99" s="287"/>
      <c r="K99" s="288"/>
      <c r="L99" s="289"/>
      <c r="M99" s="290"/>
      <c r="N99" s="287"/>
      <c r="O99" s="288"/>
      <c r="P99" s="289"/>
      <c r="Q99" s="290"/>
      <c r="R99" s="287"/>
      <c r="S99" s="288"/>
      <c r="T99" s="287"/>
      <c r="U99" s="288"/>
      <c r="V99" s="289"/>
      <c r="W99" s="290"/>
      <c r="X99" s="287"/>
      <c r="Y99" s="313"/>
      <c r="Z99" s="289"/>
      <c r="AA99" s="363"/>
      <c r="AB99" s="287"/>
      <c r="AC99" s="313"/>
      <c r="AD99" s="289"/>
      <c r="AE99" s="363"/>
      <c r="AF99" s="323"/>
      <c r="AG99" s="81"/>
      <c r="AH99" s="81"/>
      <c r="AI99" s="84"/>
      <c r="AJ99" s="85"/>
      <c r="AK99" s="84"/>
      <c r="AL99" s="81"/>
      <c r="AM99" s="84"/>
      <c r="AN99" s="85"/>
      <c r="AO99" s="84"/>
      <c r="AP99" s="81"/>
      <c r="AQ99" s="84"/>
      <c r="AR99" s="85"/>
      <c r="AS99" s="84"/>
      <c r="AT99" s="85"/>
      <c r="AU99" s="84"/>
      <c r="AV99" s="85"/>
      <c r="AW99" s="84"/>
      <c r="AX99" s="85"/>
      <c r="AY99" s="84"/>
      <c r="AZ99" s="85"/>
      <c r="BA99" s="84"/>
      <c r="BB99" s="85"/>
      <c r="BC99" s="84"/>
      <c r="BD99" s="81"/>
      <c r="BE99" s="214"/>
    </row>
    <row r="100" spans="1:57" x14ac:dyDescent="0.35">
      <c r="A100" s="151" t="s">
        <v>726</v>
      </c>
      <c r="B100" s="180"/>
      <c r="C100" s="83">
        <v>2332.64</v>
      </c>
      <c r="D100" s="142">
        <v>2332.64</v>
      </c>
      <c r="E100" s="304"/>
      <c r="F100" s="289"/>
      <c r="G100" s="363"/>
      <c r="H100" s="287"/>
      <c r="I100" s="313"/>
      <c r="J100" s="287"/>
      <c r="K100" s="288"/>
      <c r="L100" s="289"/>
      <c r="M100" s="290"/>
      <c r="N100" s="287"/>
      <c r="O100" s="288"/>
      <c r="P100" s="289">
        <v>2332.64</v>
      </c>
      <c r="Q100" s="290"/>
      <c r="R100" s="287"/>
      <c r="S100" s="288"/>
      <c r="T100" s="287"/>
      <c r="U100" s="288"/>
      <c r="V100" s="289"/>
      <c r="W100" s="290"/>
      <c r="X100" s="287"/>
      <c r="Y100" s="313"/>
      <c r="Z100" s="289"/>
      <c r="AA100" s="363"/>
      <c r="AB100" s="287"/>
      <c r="AC100" s="313"/>
      <c r="AD100" s="289"/>
      <c r="AE100" s="363"/>
      <c r="AF100" s="323"/>
      <c r="AG100" s="81"/>
      <c r="AH100" s="81"/>
      <c r="AI100" s="84"/>
      <c r="AJ100" s="85"/>
      <c r="AK100" s="84"/>
      <c r="AL100" s="81"/>
      <c r="AM100" s="84"/>
      <c r="AN100" s="85"/>
      <c r="AO100" s="84"/>
      <c r="AP100" s="81"/>
      <c r="AQ100" s="84"/>
      <c r="AR100" s="85"/>
      <c r="AS100" s="84"/>
      <c r="AT100" s="85"/>
      <c r="AU100" s="84"/>
      <c r="AV100" s="85"/>
      <c r="AW100" s="84"/>
      <c r="AX100" s="85"/>
      <c r="AY100" s="84"/>
      <c r="AZ100" s="85"/>
      <c r="BA100" s="84"/>
      <c r="BB100" s="85"/>
      <c r="BC100" s="84"/>
      <c r="BD100" s="81"/>
      <c r="BE100" s="214"/>
    </row>
    <row r="101" spans="1:57" x14ac:dyDescent="0.35">
      <c r="A101" s="151" t="s">
        <v>710</v>
      </c>
      <c r="B101" s="180"/>
      <c r="C101" s="83">
        <v>98.03</v>
      </c>
      <c r="D101" s="107">
        <v>98.03</v>
      </c>
      <c r="E101" s="304">
        <v>98.03</v>
      </c>
      <c r="F101" s="289"/>
      <c r="G101" s="363">
        <f t="shared" ref="G101" si="374">F101/E101</f>
        <v>0</v>
      </c>
      <c r="H101" s="287"/>
      <c r="I101" s="313">
        <f t="shared" ref="I101" si="375">H101/E101</f>
        <v>0</v>
      </c>
      <c r="J101" s="287"/>
      <c r="K101" s="288">
        <f t="shared" ref="K101" si="376">J101/E101</f>
        <v>0</v>
      </c>
      <c r="L101" s="289"/>
      <c r="M101" s="290">
        <f t="shared" ref="M101" si="377">L101/E101</f>
        <v>0</v>
      </c>
      <c r="N101" s="287"/>
      <c r="O101" s="288">
        <f t="shared" ref="O101" si="378">N101/E101</f>
        <v>0</v>
      </c>
      <c r="P101" s="289"/>
      <c r="Q101" s="290">
        <f t="shared" ref="Q101" si="379">P101/E101</f>
        <v>0</v>
      </c>
      <c r="R101" s="287"/>
      <c r="S101" s="288">
        <f>R101/E101</f>
        <v>0</v>
      </c>
      <c r="T101" s="287"/>
      <c r="U101" s="288">
        <f t="shared" ref="U101" si="380">T101/E101</f>
        <v>0</v>
      </c>
      <c r="V101" s="289"/>
      <c r="W101" s="290">
        <f t="shared" ref="W101" si="381">V101/E101</f>
        <v>0</v>
      </c>
      <c r="X101" s="287"/>
      <c r="Y101" s="313">
        <f t="shared" ref="Y101" si="382">X101/E101</f>
        <v>0</v>
      </c>
      <c r="Z101" s="289"/>
      <c r="AA101" s="363">
        <f t="shared" ref="AA101" si="383">Z101/E101</f>
        <v>0</v>
      </c>
      <c r="AB101" s="287">
        <v>98.03</v>
      </c>
      <c r="AC101" s="313">
        <f t="shared" ref="AC101" si="384">AB101/E101</f>
        <v>1</v>
      </c>
      <c r="AD101" s="289"/>
      <c r="AE101" s="363">
        <f t="shared" ref="AE101" si="385">AD101/E101</f>
        <v>0</v>
      </c>
      <c r="AF101" s="323">
        <f t="shared" ref="AF101" si="386">K101+M101+O101+Q101+S101+U101+W101+Y101+AA101+AC101+G101+I101+AE101</f>
        <v>1</v>
      </c>
      <c r="AG101" s="81">
        <v>0</v>
      </c>
      <c r="AH101" s="81"/>
      <c r="AI101" s="84">
        <v>0</v>
      </c>
      <c r="AJ101" s="85"/>
      <c r="AK101" s="84">
        <v>0</v>
      </c>
      <c r="AL101" s="81"/>
      <c r="AM101" s="84">
        <v>0</v>
      </c>
      <c r="AN101" s="85"/>
      <c r="AO101" s="84">
        <v>0</v>
      </c>
      <c r="AP101" s="81"/>
      <c r="AQ101" s="84">
        <v>0</v>
      </c>
      <c r="AR101" s="85"/>
      <c r="AS101" s="84">
        <v>0</v>
      </c>
      <c r="AT101" s="85"/>
      <c r="AU101" s="230">
        <v>98.03</v>
      </c>
      <c r="AV101" s="231">
        <v>98.03</v>
      </c>
      <c r="AW101" s="84">
        <f t="shared" ref="AW101" si="387">D101-AG101-AI101-AK101-AM101-AO101-AQ101-AS101-AU101</f>
        <v>0</v>
      </c>
      <c r="AX101" s="85"/>
      <c r="AY101" s="84">
        <f t="shared" ref="AY101" si="388">D101-AG101-AI101-AK101-AM101-AO101-AQ101-AS101-AU101-AW101</f>
        <v>0</v>
      </c>
      <c r="AZ101" s="85"/>
      <c r="BA101" s="84">
        <f t="shared" ref="BA101" si="389">D101-AG101-AI101-AK101-AM101-AO101-AQ101-AS101-AU101-AW101-AY101</f>
        <v>0</v>
      </c>
      <c r="BB101" s="85"/>
      <c r="BC101" s="84">
        <f t="shared" ref="BC101" si="390">D101-AG101-AI101-AK101-AM101-AO101-AQ101-AS101-AU101-AW101-AY101-BA101</f>
        <v>0</v>
      </c>
      <c r="BD101" s="81"/>
      <c r="BE101" s="214">
        <f t="shared" ref="BE101" si="391">D101-AG101-AI101-AK101-AM101-AO101-AQ101-AS101-AU101-AW101-AY101-BA101-BC101</f>
        <v>0</v>
      </c>
    </row>
    <row r="102" spans="1:57" x14ac:dyDescent="0.35">
      <c r="A102" s="151" t="s">
        <v>706</v>
      </c>
      <c r="B102" s="180"/>
      <c r="C102" s="83">
        <v>1997.04</v>
      </c>
      <c r="D102" s="107">
        <v>1997.04</v>
      </c>
      <c r="E102" s="304">
        <v>1997.04</v>
      </c>
      <c r="F102" s="289"/>
      <c r="G102" s="363">
        <f t="shared" ref="G102" si="392">F102/E102</f>
        <v>0</v>
      </c>
      <c r="H102" s="287"/>
      <c r="I102" s="313">
        <f t="shared" ref="I102" si="393">H102/E102</f>
        <v>0</v>
      </c>
      <c r="J102" s="287"/>
      <c r="K102" s="288">
        <f t="shared" ref="K102" si="394">J102/E102</f>
        <v>0</v>
      </c>
      <c r="L102" s="289"/>
      <c r="M102" s="290">
        <f t="shared" ref="M102" si="395">L102/E102</f>
        <v>0</v>
      </c>
      <c r="N102" s="287">
        <v>1997</v>
      </c>
      <c r="O102" s="288">
        <f t="shared" ref="O102" si="396">N102/E102</f>
        <v>0.99997997035612707</v>
      </c>
      <c r="P102" s="289"/>
      <c r="Q102" s="290">
        <f t="shared" ref="Q102" si="397">P102/E102</f>
        <v>0</v>
      </c>
      <c r="R102" s="287"/>
      <c r="S102" s="288">
        <f>R102/E102</f>
        <v>0</v>
      </c>
      <c r="T102" s="287"/>
      <c r="U102" s="288">
        <f t="shared" ref="U102" si="398">T102/E102</f>
        <v>0</v>
      </c>
      <c r="V102" s="289"/>
      <c r="W102" s="290">
        <f t="shared" ref="W102" si="399">V102/E102</f>
        <v>0</v>
      </c>
      <c r="X102" s="287"/>
      <c r="Y102" s="313">
        <f t="shared" ref="Y102" si="400">X102/E102</f>
        <v>0</v>
      </c>
      <c r="Z102" s="289"/>
      <c r="AA102" s="363">
        <f t="shared" ref="AA102" si="401">Z102/E102</f>
        <v>0</v>
      </c>
      <c r="AB102" s="287"/>
      <c r="AC102" s="313">
        <f t="shared" ref="AC102" si="402">AB102/E102</f>
        <v>0</v>
      </c>
      <c r="AD102" s="289"/>
      <c r="AE102" s="363">
        <f t="shared" ref="AE102" si="403">AD102/E102</f>
        <v>0</v>
      </c>
      <c r="AF102" s="323">
        <f t="shared" ref="AF102" si="404">K102+M102+O102+Q102+S102+U102+W102+Y102+AA102+AC102+G102+I102+AE102</f>
        <v>0.99997997035612707</v>
      </c>
      <c r="AG102" s="81">
        <v>0</v>
      </c>
      <c r="AH102" s="81"/>
      <c r="AI102" s="84">
        <v>0</v>
      </c>
      <c r="AJ102" s="85"/>
      <c r="AK102" s="84">
        <v>0</v>
      </c>
      <c r="AL102" s="81"/>
      <c r="AM102" s="84">
        <v>0</v>
      </c>
      <c r="AN102" s="85"/>
      <c r="AO102" s="84">
        <v>0</v>
      </c>
      <c r="AP102" s="81"/>
      <c r="AQ102" s="84">
        <v>0</v>
      </c>
      <c r="AR102" s="85"/>
      <c r="AS102" s="84">
        <v>0</v>
      </c>
      <c r="AT102" s="85"/>
      <c r="AU102" s="230">
        <f t="shared" ref="AU102" si="405">D102-AG102-AI102-AK102-AM102-AO102-AQ102-AS102</f>
        <v>1997.04</v>
      </c>
      <c r="AV102" s="231">
        <v>1997</v>
      </c>
      <c r="AW102" s="84">
        <f t="shared" ref="AW102" si="406">D102-AG102-AI102-AK102-AM102-AO102-AQ102-AS102-AU102</f>
        <v>0</v>
      </c>
      <c r="AX102" s="85"/>
      <c r="AY102" s="84">
        <f t="shared" ref="AY102" si="407">D102-AG102-AI102-AK102-AM102-AO102-AQ102-AS102-AU102-AW102</f>
        <v>0</v>
      </c>
      <c r="AZ102" s="85"/>
      <c r="BA102" s="84">
        <f t="shared" ref="BA102" si="408">D102-AG102-AI102-AK102-AM102-AO102-AQ102-AS102-AU102-AW102-AY102</f>
        <v>0</v>
      </c>
      <c r="BB102" s="85"/>
      <c r="BC102" s="84">
        <f t="shared" ref="BC102" si="409">D102-AG102-AI102-AK102-AM102-AO102-AQ102-AS102-AU102-AW102-AY102-BA102</f>
        <v>0</v>
      </c>
      <c r="BD102" s="81"/>
      <c r="BE102" s="214">
        <f t="shared" ref="BE102" si="410">D102-AG102-AI102-AK102-AM102-AO102-AQ102-AS102-AU102-AW102-AY102-BA102-BC102</f>
        <v>0</v>
      </c>
    </row>
    <row r="103" spans="1:57" x14ac:dyDescent="0.35">
      <c r="A103" s="151" t="s">
        <v>705</v>
      </c>
      <c r="B103" s="180"/>
      <c r="C103" s="83">
        <v>699.14</v>
      </c>
      <c r="D103" s="107">
        <v>699.14</v>
      </c>
      <c r="E103" s="304">
        <v>699.14</v>
      </c>
      <c r="F103" s="289"/>
      <c r="G103" s="363">
        <f t="shared" si="368"/>
        <v>0</v>
      </c>
      <c r="H103" s="287"/>
      <c r="I103" s="313">
        <f t="shared" si="369"/>
        <v>0</v>
      </c>
      <c r="J103" s="287"/>
      <c r="K103" s="288">
        <f t="shared" si="359"/>
        <v>0</v>
      </c>
      <c r="L103" s="289"/>
      <c r="M103" s="290">
        <f t="shared" si="360"/>
        <v>0</v>
      </c>
      <c r="N103" s="287"/>
      <c r="O103" s="288">
        <f t="shared" ref="O103:O107" si="411">N103/E103</f>
        <v>0</v>
      </c>
      <c r="P103" s="289"/>
      <c r="Q103" s="290">
        <f t="shared" ref="Q103:Q107" si="412">P103/E103</f>
        <v>0</v>
      </c>
      <c r="R103" s="287"/>
      <c r="S103" s="288">
        <f>R103/E103</f>
        <v>0</v>
      </c>
      <c r="T103" s="287"/>
      <c r="U103" s="288">
        <f t="shared" ref="U103:U107" si="413">T103/E103</f>
        <v>0</v>
      </c>
      <c r="V103" s="289"/>
      <c r="W103" s="290">
        <f t="shared" ref="W103:W107" si="414">V103/E103</f>
        <v>0</v>
      </c>
      <c r="X103" s="287"/>
      <c r="Y103" s="313">
        <f t="shared" ref="Y103:Y107" si="415">X103/E103</f>
        <v>0</v>
      </c>
      <c r="Z103" s="289"/>
      <c r="AA103" s="363">
        <f t="shared" ref="AA103:AA107" si="416">Z103/E103</f>
        <v>0</v>
      </c>
      <c r="AB103" s="287">
        <v>699.14</v>
      </c>
      <c r="AC103" s="313">
        <f t="shared" ref="AC103:AC107" si="417">AB103/E103</f>
        <v>1</v>
      </c>
      <c r="AD103" s="289"/>
      <c r="AE103" s="363">
        <f t="shared" ref="AE103:AE107" si="418">AD103/E103</f>
        <v>0</v>
      </c>
      <c r="AF103" s="323">
        <f t="shared" ref="AF103:AF107" si="419">K103+M103+O103+Q103+S103+U103+W103+Y103+AA103+AC103+G103+I103+AE103</f>
        <v>1</v>
      </c>
      <c r="AG103" s="81">
        <v>0</v>
      </c>
      <c r="AH103" s="81"/>
      <c r="AI103" s="84">
        <v>0</v>
      </c>
      <c r="AJ103" s="85"/>
      <c r="AK103" s="84">
        <v>0</v>
      </c>
      <c r="AL103" s="81"/>
      <c r="AM103" s="84">
        <v>0</v>
      </c>
      <c r="AN103" s="85"/>
      <c r="AO103" s="84">
        <v>0</v>
      </c>
      <c r="AP103" s="81"/>
      <c r="AQ103" s="84">
        <v>0</v>
      </c>
      <c r="AR103" s="85"/>
      <c r="AS103" s="84">
        <v>0</v>
      </c>
      <c r="AT103" s="85"/>
      <c r="AU103" s="230">
        <f t="shared" si="168"/>
        <v>699.14</v>
      </c>
      <c r="AV103" s="231">
        <v>699.14</v>
      </c>
      <c r="AW103" s="84">
        <f t="shared" si="162"/>
        <v>0</v>
      </c>
      <c r="AX103" s="85"/>
      <c r="AY103" s="84">
        <f t="shared" si="163"/>
        <v>0</v>
      </c>
      <c r="AZ103" s="85"/>
      <c r="BA103" s="84">
        <f t="shared" si="371"/>
        <v>0</v>
      </c>
      <c r="BB103" s="85"/>
      <c r="BC103" s="84">
        <f t="shared" si="372"/>
        <v>0</v>
      </c>
      <c r="BD103" s="81"/>
      <c r="BE103" s="214">
        <f t="shared" si="373"/>
        <v>0</v>
      </c>
    </row>
    <row r="104" spans="1:57" x14ac:dyDescent="0.35">
      <c r="A104" s="151" t="s">
        <v>695</v>
      </c>
      <c r="B104" s="180"/>
      <c r="C104" s="83">
        <v>11345</v>
      </c>
      <c r="D104" s="142"/>
      <c r="E104" s="304"/>
      <c r="F104" s="289"/>
      <c r="G104" s="363"/>
      <c r="H104" s="287"/>
      <c r="I104" s="313"/>
      <c r="J104" s="287"/>
      <c r="K104" s="288"/>
      <c r="L104" s="289"/>
      <c r="M104" s="290"/>
      <c r="N104" s="287"/>
      <c r="O104" s="288"/>
      <c r="P104" s="289"/>
      <c r="Q104" s="290"/>
      <c r="R104" s="287"/>
      <c r="S104" s="288"/>
      <c r="T104" s="287"/>
      <c r="U104" s="288"/>
      <c r="V104" s="289"/>
      <c r="W104" s="290"/>
      <c r="X104" s="287"/>
      <c r="Y104" s="313"/>
      <c r="Z104" s="289"/>
      <c r="AA104" s="363"/>
      <c r="AB104" s="287"/>
      <c r="AC104" s="313"/>
      <c r="AD104" s="289"/>
      <c r="AE104" s="363"/>
      <c r="AF104" s="323"/>
      <c r="AG104" s="81"/>
      <c r="AH104" s="81"/>
      <c r="AI104" s="84"/>
      <c r="AJ104" s="85"/>
      <c r="AK104" s="84"/>
      <c r="AL104" s="81"/>
      <c r="AM104" s="84"/>
      <c r="AN104" s="85"/>
      <c r="AO104" s="84"/>
      <c r="AP104" s="81"/>
      <c r="AQ104" s="84"/>
      <c r="AR104" s="85"/>
      <c r="AS104" s="84"/>
      <c r="AT104" s="85"/>
      <c r="AU104" s="84"/>
      <c r="AV104" s="85"/>
      <c r="AW104" s="84"/>
      <c r="AX104" s="85"/>
      <c r="AY104" s="84"/>
      <c r="AZ104" s="85"/>
      <c r="BA104" s="84"/>
      <c r="BB104" s="85"/>
      <c r="BC104" s="84"/>
      <c r="BD104" s="81"/>
      <c r="BE104" s="214"/>
    </row>
    <row r="105" spans="1:57" x14ac:dyDescent="0.35">
      <c r="A105" s="151" t="s">
        <v>694</v>
      </c>
      <c r="B105" s="180"/>
      <c r="C105" s="83"/>
      <c r="D105" s="142"/>
      <c r="E105" s="304"/>
      <c r="F105" s="289"/>
      <c r="G105" s="363" t="e">
        <f t="shared" si="368"/>
        <v>#DIV/0!</v>
      </c>
      <c r="H105" s="287"/>
      <c r="I105" s="313" t="e">
        <f t="shared" si="369"/>
        <v>#DIV/0!</v>
      </c>
      <c r="J105" s="287"/>
      <c r="K105" s="288" t="e">
        <f t="shared" si="359"/>
        <v>#DIV/0!</v>
      </c>
      <c r="L105" s="289"/>
      <c r="M105" s="290" t="e">
        <f t="shared" si="360"/>
        <v>#DIV/0!</v>
      </c>
      <c r="N105" s="287"/>
      <c r="O105" s="288" t="e">
        <f t="shared" si="411"/>
        <v>#DIV/0!</v>
      </c>
      <c r="P105" s="289"/>
      <c r="Q105" s="290" t="e">
        <f t="shared" si="412"/>
        <v>#DIV/0!</v>
      </c>
      <c r="R105" s="287"/>
      <c r="S105" s="288" t="e">
        <f>R105/E105</f>
        <v>#DIV/0!</v>
      </c>
      <c r="T105" s="287"/>
      <c r="U105" s="288" t="e">
        <f t="shared" si="413"/>
        <v>#DIV/0!</v>
      </c>
      <c r="V105" s="289"/>
      <c r="W105" s="290" t="e">
        <f t="shared" si="414"/>
        <v>#DIV/0!</v>
      </c>
      <c r="X105" s="287"/>
      <c r="Y105" s="313" t="e">
        <f t="shared" si="415"/>
        <v>#DIV/0!</v>
      </c>
      <c r="Z105" s="289"/>
      <c r="AA105" s="363" t="e">
        <f t="shared" si="416"/>
        <v>#DIV/0!</v>
      </c>
      <c r="AB105" s="287"/>
      <c r="AC105" s="313" t="e">
        <f t="shared" si="417"/>
        <v>#DIV/0!</v>
      </c>
      <c r="AD105" s="289"/>
      <c r="AE105" s="363" t="e">
        <f t="shared" si="418"/>
        <v>#DIV/0!</v>
      </c>
      <c r="AF105" s="323" t="e">
        <f t="shared" si="419"/>
        <v>#DIV/0!</v>
      </c>
      <c r="AG105" s="81">
        <v>0</v>
      </c>
      <c r="AH105" s="81"/>
      <c r="AI105" s="84">
        <f t="shared" si="370"/>
        <v>0</v>
      </c>
      <c r="AJ105" s="85"/>
      <c r="AK105" s="84">
        <f>D105-AG105-AI105</f>
        <v>0</v>
      </c>
      <c r="AL105" s="81"/>
      <c r="AM105" s="84">
        <f>D105-AG105-AI105-AK105</f>
        <v>0</v>
      </c>
      <c r="AN105" s="85"/>
      <c r="AO105" s="84">
        <f>D105-AG105-AI105-AK105-AM105</f>
        <v>0</v>
      </c>
      <c r="AP105" s="81"/>
      <c r="AQ105" s="84">
        <f>D105-AG105-AI105-AK105-AM105-AO105</f>
        <v>0</v>
      </c>
      <c r="AR105" s="85"/>
      <c r="AS105" s="84">
        <f t="shared" si="167"/>
        <v>0</v>
      </c>
      <c r="AT105" s="85"/>
      <c r="AU105" s="84">
        <f t="shared" si="168"/>
        <v>0</v>
      </c>
      <c r="AV105" s="85"/>
      <c r="AW105" s="84">
        <f t="shared" si="162"/>
        <v>0</v>
      </c>
      <c r="AX105" s="85"/>
      <c r="AY105" s="84">
        <f t="shared" si="163"/>
        <v>0</v>
      </c>
      <c r="AZ105" s="85"/>
      <c r="BA105" s="84">
        <f t="shared" si="371"/>
        <v>0</v>
      </c>
      <c r="BB105" s="85"/>
      <c r="BC105" s="84">
        <f t="shared" si="372"/>
        <v>0</v>
      </c>
      <c r="BD105" s="81"/>
      <c r="BE105" s="214">
        <f t="shared" si="373"/>
        <v>0</v>
      </c>
    </row>
    <row r="106" spans="1:57" x14ac:dyDescent="0.35">
      <c r="A106" s="151" t="s">
        <v>697</v>
      </c>
      <c r="B106" s="180"/>
      <c r="C106" s="83">
        <f>9235.32+953.57+1052.26+2688.88</f>
        <v>13930.029999999999</v>
      </c>
      <c r="D106" s="83">
        <f>C106</f>
        <v>13930.029999999999</v>
      </c>
      <c r="E106" s="304">
        <f>D106</f>
        <v>13930.029999999999</v>
      </c>
      <c r="F106" s="289"/>
      <c r="G106" s="363">
        <f t="shared" si="368"/>
        <v>0</v>
      </c>
      <c r="H106" s="287"/>
      <c r="I106" s="313">
        <f t="shared" si="369"/>
        <v>0</v>
      </c>
      <c r="J106" s="287"/>
      <c r="K106" s="288">
        <f t="shared" si="359"/>
        <v>0</v>
      </c>
      <c r="L106" s="289"/>
      <c r="M106" s="290">
        <f t="shared" si="360"/>
        <v>0</v>
      </c>
      <c r="N106" s="287"/>
      <c r="O106" s="288">
        <f t="shared" si="411"/>
        <v>0</v>
      </c>
      <c r="P106" s="289"/>
      <c r="Q106" s="290">
        <f t="shared" si="412"/>
        <v>0</v>
      </c>
      <c r="R106" s="287"/>
      <c r="S106" s="288">
        <f>R106/E106</f>
        <v>0</v>
      </c>
      <c r="T106" s="287"/>
      <c r="U106" s="288">
        <f t="shared" si="413"/>
        <v>0</v>
      </c>
      <c r="V106" s="289"/>
      <c r="W106" s="290">
        <f t="shared" si="414"/>
        <v>0</v>
      </c>
      <c r="X106" s="287"/>
      <c r="Y106" s="313">
        <f t="shared" si="415"/>
        <v>0</v>
      </c>
      <c r="Z106" s="289"/>
      <c r="AA106" s="363">
        <f t="shared" si="416"/>
        <v>0</v>
      </c>
      <c r="AB106" s="287">
        <v>10189</v>
      </c>
      <c r="AC106" s="313">
        <f t="shared" si="417"/>
        <v>0.73144135367978391</v>
      </c>
      <c r="AD106" s="289"/>
      <c r="AE106" s="363">
        <f t="shared" si="418"/>
        <v>0</v>
      </c>
      <c r="AF106" s="323">
        <f t="shared" si="419"/>
        <v>0.73144135367978391</v>
      </c>
      <c r="AG106" s="81">
        <v>0</v>
      </c>
      <c r="AH106" s="81"/>
      <c r="AI106" s="84">
        <v>0</v>
      </c>
      <c r="AJ106" s="85"/>
      <c r="AK106" s="84">
        <v>0</v>
      </c>
      <c r="AL106" s="81"/>
      <c r="AM106" s="84">
        <v>0</v>
      </c>
      <c r="AN106" s="85"/>
      <c r="AO106" s="84">
        <v>0</v>
      </c>
      <c r="AP106" s="81"/>
      <c r="AQ106" s="84">
        <v>0</v>
      </c>
      <c r="AR106" s="85"/>
      <c r="AS106" s="84">
        <v>0</v>
      </c>
      <c r="AT106" s="85"/>
      <c r="AU106" s="84">
        <v>0</v>
      </c>
      <c r="AV106" s="85"/>
      <c r="AW106" s="84">
        <v>0</v>
      </c>
      <c r="AX106" s="85"/>
      <c r="AY106" s="84">
        <v>0</v>
      </c>
      <c r="AZ106" s="85"/>
      <c r="BA106" s="84">
        <v>0</v>
      </c>
      <c r="BB106" s="85"/>
      <c r="BC106" s="230">
        <f t="shared" si="372"/>
        <v>13930.029999999999</v>
      </c>
      <c r="BD106" s="195">
        <f>953.57+2688.88+1052.26+9235.32</f>
        <v>13930.029999999999</v>
      </c>
      <c r="BE106" s="214">
        <f t="shared" si="373"/>
        <v>0</v>
      </c>
    </row>
    <row r="107" spans="1:57" x14ac:dyDescent="0.35">
      <c r="A107" s="151" t="s">
        <v>691</v>
      </c>
      <c r="B107" s="180"/>
      <c r="C107" s="83">
        <v>10604.15</v>
      </c>
      <c r="D107" s="107">
        <v>10604</v>
      </c>
      <c r="E107" s="304">
        <v>10604</v>
      </c>
      <c r="F107" s="289"/>
      <c r="G107" s="363">
        <f t="shared" si="368"/>
        <v>0</v>
      </c>
      <c r="H107" s="287"/>
      <c r="I107" s="313">
        <f t="shared" si="369"/>
        <v>0</v>
      </c>
      <c r="J107" s="287"/>
      <c r="K107" s="288">
        <f t="shared" si="359"/>
        <v>0</v>
      </c>
      <c r="L107" s="289"/>
      <c r="M107" s="290">
        <f t="shared" si="360"/>
        <v>0</v>
      </c>
      <c r="N107" s="287"/>
      <c r="O107" s="288">
        <f t="shared" si="411"/>
        <v>0</v>
      </c>
      <c r="P107" s="289"/>
      <c r="Q107" s="290">
        <f t="shared" si="412"/>
        <v>0</v>
      </c>
      <c r="R107" s="287"/>
      <c r="S107" s="288">
        <f>R107/E107</f>
        <v>0</v>
      </c>
      <c r="T107" s="287"/>
      <c r="U107" s="288">
        <f t="shared" si="413"/>
        <v>0</v>
      </c>
      <c r="V107" s="289"/>
      <c r="W107" s="290">
        <f t="shared" si="414"/>
        <v>0</v>
      </c>
      <c r="X107" s="287"/>
      <c r="Y107" s="313">
        <f t="shared" si="415"/>
        <v>0</v>
      </c>
      <c r="Z107" s="289"/>
      <c r="AA107" s="363">
        <f t="shared" si="416"/>
        <v>0</v>
      </c>
      <c r="AB107" s="287">
        <v>10604</v>
      </c>
      <c r="AC107" s="313">
        <f t="shared" si="417"/>
        <v>1</v>
      </c>
      <c r="AD107" s="289"/>
      <c r="AE107" s="363">
        <f t="shared" si="418"/>
        <v>0</v>
      </c>
      <c r="AF107" s="323">
        <f t="shared" si="419"/>
        <v>1</v>
      </c>
      <c r="AG107" s="81">
        <v>0</v>
      </c>
      <c r="AH107" s="81"/>
      <c r="AI107" s="84">
        <v>0</v>
      </c>
      <c r="AJ107" s="85"/>
      <c r="AK107" s="84">
        <v>0</v>
      </c>
      <c r="AL107" s="81"/>
      <c r="AM107" s="84">
        <v>0</v>
      </c>
      <c r="AN107" s="85"/>
      <c r="AO107" s="84">
        <v>0</v>
      </c>
      <c r="AP107" s="81"/>
      <c r="AQ107" s="84">
        <v>0</v>
      </c>
      <c r="AR107" s="85"/>
      <c r="AS107" s="230">
        <f t="shared" si="167"/>
        <v>10604</v>
      </c>
      <c r="AT107" s="231">
        <v>10604.15</v>
      </c>
      <c r="AU107" s="84">
        <f t="shared" si="168"/>
        <v>0</v>
      </c>
      <c r="AV107" s="85"/>
      <c r="AW107" s="84">
        <f t="shared" si="162"/>
        <v>0</v>
      </c>
      <c r="AX107" s="85"/>
      <c r="AY107" s="84">
        <f t="shared" si="163"/>
        <v>0</v>
      </c>
      <c r="AZ107" s="85"/>
      <c r="BA107" s="84">
        <f t="shared" si="371"/>
        <v>0</v>
      </c>
      <c r="BB107" s="85"/>
      <c r="BC107" s="84">
        <f t="shared" si="372"/>
        <v>0</v>
      </c>
      <c r="BD107" s="81"/>
      <c r="BE107" s="214">
        <f t="shared" si="373"/>
        <v>0</v>
      </c>
    </row>
    <row r="108" spans="1:57" x14ac:dyDescent="0.35">
      <c r="A108" s="151" t="s">
        <v>690</v>
      </c>
      <c r="B108" s="180"/>
      <c r="C108" s="83">
        <v>4125</v>
      </c>
      <c r="D108" s="107">
        <v>4125</v>
      </c>
      <c r="E108" s="304">
        <v>4125</v>
      </c>
      <c r="F108" s="289"/>
      <c r="G108" s="363">
        <f t="shared" si="368"/>
        <v>0</v>
      </c>
      <c r="H108" s="287"/>
      <c r="I108" s="313">
        <f t="shared" si="369"/>
        <v>0</v>
      </c>
      <c r="J108" s="287"/>
      <c r="K108" s="288">
        <f t="shared" si="359"/>
        <v>0</v>
      </c>
      <c r="L108" s="289"/>
      <c r="M108" s="290">
        <f t="shared" si="360"/>
        <v>0</v>
      </c>
      <c r="N108" s="287"/>
      <c r="O108" s="288">
        <f t="shared" si="361"/>
        <v>0</v>
      </c>
      <c r="P108" s="289"/>
      <c r="Q108" s="290">
        <f t="shared" si="362"/>
        <v>0</v>
      </c>
      <c r="R108" s="287"/>
      <c r="S108" s="288">
        <f t="shared" ref="S108" si="420">R108/E108</f>
        <v>0</v>
      </c>
      <c r="T108" s="287"/>
      <c r="U108" s="288">
        <f t="shared" si="363"/>
        <v>0</v>
      </c>
      <c r="V108" s="289"/>
      <c r="W108" s="290">
        <f t="shared" si="364"/>
        <v>0</v>
      </c>
      <c r="X108" s="287">
        <v>4125</v>
      </c>
      <c r="Y108" s="313">
        <f t="shared" si="365"/>
        <v>1</v>
      </c>
      <c r="Z108" s="289"/>
      <c r="AA108" s="363">
        <f t="shared" ref="AA108" si="421">Z108/E108</f>
        <v>0</v>
      </c>
      <c r="AB108" s="287"/>
      <c r="AC108" s="313">
        <f t="shared" ref="AC108" si="422">AB108/E108</f>
        <v>0</v>
      </c>
      <c r="AD108" s="289"/>
      <c r="AE108" s="363">
        <f t="shared" ref="AE108" si="423">AD108/E108</f>
        <v>0</v>
      </c>
      <c r="AF108" s="323">
        <f t="shared" ref="AF108" si="424">K108+M108+O108+Q108+S108+U108+W108+Y108+AA108+AC108+G108+I108+AE108</f>
        <v>1</v>
      </c>
      <c r="AG108" s="81">
        <v>0</v>
      </c>
      <c r="AH108" s="81"/>
      <c r="AI108" s="84">
        <v>0</v>
      </c>
      <c r="AJ108" s="85"/>
      <c r="AK108" s="84">
        <v>0</v>
      </c>
      <c r="AL108" s="81"/>
      <c r="AM108" s="84">
        <v>0</v>
      </c>
      <c r="AN108" s="85"/>
      <c r="AO108" s="84">
        <v>0</v>
      </c>
      <c r="AP108" s="81"/>
      <c r="AQ108" s="84">
        <v>0</v>
      </c>
      <c r="AR108" s="85"/>
      <c r="AS108" s="230">
        <f>AT108</f>
        <v>4121.43</v>
      </c>
      <c r="AT108" s="231">
        <v>4121.43</v>
      </c>
      <c r="AU108" s="84">
        <f t="shared" si="168"/>
        <v>3.569999999999709</v>
      </c>
      <c r="AV108" s="85"/>
      <c r="AW108" s="84">
        <f t="shared" si="162"/>
        <v>0</v>
      </c>
      <c r="AX108" s="85"/>
      <c r="AY108" s="84">
        <f t="shared" si="163"/>
        <v>0</v>
      </c>
      <c r="AZ108" s="85"/>
      <c r="BA108" s="84">
        <f t="shared" si="371"/>
        <v>0</v>
      </c>
      <c r="BB108" s="85"/>
      <c r="BC108" s="84">
        <f t="shared" si="372"/>
        <v>0</v>
      </c>
      <c r="BD108" s="81"/>
      <c r="BE108" s="214">
        <f t="shared" si="373"/>
        <v>0</v>
      </c>
    </row>
    <row r="109" spans="1:57" x14ac:dyDescent="0.35">
      <c r="A109" s="151" t="s">
        <v>681</v>
      </c>
      <c r="B109" s="180"/>
      <c r="C109" s="83">
        <v>33973.199999999997</v>
      </c>
      <c r="D109" s="107">
        <v>33973.199999999997</v>
      </c>
      <c r="E109" s="304">
        <v>33973.199999999997</v>
      </c>
      <c r="F109" s="289"/>
      <c r="G109" s="363">
        <f>F109/E109</f>
        <v>0</v>
      </c>
      <c r="H109" s="287"/>
      <c r="I109" s="313">
        <f>H109/E109</f>
        <v>0</v>
      </c>
      <c r="J109" s="287">
        <v>33973.199999999997</v>
      </c>
      <c r="K109" s="288">
        <f>J109/E109</f>
        <v>1</v>
      </c>
      <c r="L109" s="289"/>
      <c r="M109" s="290">
        <f>L109/E109</f>
        <v>0</v>
      </c>
      <c r="N109" s="287"/>
      <c r="O109" s="288">
        <f>N109/E109</f>
        <v>0</v>
      </c>
      <c r="P109" s="289"/>
      <c r="Q109" s="290">
        <f>P109/E109</f>
        <v>0</v>
      </c>
      <c r="R109" s="287"/>
      <c r="S109" s="288">
        <f>R109/E109</f>
        <v>0</v>
      </c>
      <c r="T109" s="287"/>
      <c r="U109" s="288">
        <f>T109/E109</f>
        <v>0</v>
      </c>
      <c r="V109" s="289"/>
      <c r="W109" s="290">
        <f>V109/E109</f>
        <v>0</v>
      </c>
      <c r="X109" s="287"/>
      <c r="Y109" s="313">
        <f>X109/E109</f>
        <v>0</v>
      </c>
      <c r="Z109" s="289"/>
      <c r="AA109" s="363">
        <f>Z109/E109</f>
        <v>0</v>
      </c>
      <c r="AB109" s="287"/>
      <c r="AC109" s="313">
        <f>AB109/E109</f>
        <v>0</v>
      </c>
      <c r="AD109" s="289"/>
      <c r="AE109" s="363">
        <f>AD109/E109</f>
        <v>0</v>
      </c>
      <c r="AF109" s="323">
        <f>K109+M109+O109+Q109+S109+U109+W109+Y109+AA109+AC109+G109+I109+AE109</f>
        <v>1</v>
      </c>
      <c r="AG109" s="81">
        <v>0</v>
      </c>
      <c r="AH109" s="81"/>
      <c r="AI109" s="84">
        <v>0</v>
      </c>
      <c r="AJ109" s="85"/>
      <c r="AK109" s="84">
        <v>0</v>
      </c>
      <c r="AL109" s="81"/>
      <c r="AM109" s="84">
        <v>0</v>
      </c>
      <c r="AN109" s="85"/>
      <c r="AO109" s="84">
        <v>0</v>
      </c>
      <c r="AP109" s="81"/>
      <c r="AQ109" s="230">
        <f>D109-AG109-AI109-AK109-AM109-AO109</f>
        <v>33973.199999999997</v>
      </c>
      <c r="AR109" s="231">
        <v>33973.199999999997</v>
      </c>
      <c r="AS109" s="84">
        <f>D109-AG109-AI109-AK109-AM109-AO109-AQ109</f>
        <v>0</v>
      </c>
      <c r="AT109" s="85"/>
      <c r="AU109" s="84">
        <f>D109-AG109-AI109-AK109-AM109-AO109-AQ109-AS109</f>
        <v>0</v>
      </c>
      <c r="AV109" s="85"/>
      <c r="AW109" s="84">
        <f>D109-AG109-AI109-AK109-AM109-AO109-AQ109-AS109-AU109</f>
        <v>0</v>
      </c>
      <c r="AX109" s="85"/>
      <c r="AY109" s="84">
        <f>D109-AG109-AI109-AK109-AM109-AO109-AQ109-AS109-AU109-AW109</f>
        <v>0</v>
      </c>
      <c r="AZ109" s="85"/>
      <c r="BA109" s="84">
        <f>D109-AG109-AI109-AK109-AM109-AO109-AQ109-AS109-AU109-AW109-AY109</f>
        <v>0</v>
      </c>
      <c r="BB109" s="85"/>
      <c r="BC109" s="84">
        <f>D109-AG109-AI109-AK109-AM109-AO109-AQ109-AS109-AU109-AW109-AY109-BA109</f>
        <v>0</v>
      </c>
      <c r="BD109" s="81"/>
      <c r="BE109" s="214">
        <f>D109-AG109-AI109-AK109-AM109-AO109-AQ109-AS109-AU109-AW109-AY109-BA109-BC109</f>
        <v>0</v>
      </c>
    </row>
    <row r="110" spans="1:57" x14ac:dyDescent="0.35">
      <c r="A110" s="151" t="s">
        <v>642</v>
      </c>
      <c r="B110" s="180"/>
      <c r="C110" s="83">
        <v>2587</v>
      </c>
      <c r="D110" s="107">
        <f>'2022-23'!AW33</f>
        <v>2587</v>
      </c>
      <c r="E110" s="304">
        <v>2587</v>
      </c>
      <c r="F110" s="289"/>
      <c r="G110" s="363">
        <f t="shared" si="291"/>
        <v>0</v>
      </c>
      <c r="H110" s="287"/>
      <c r="I110" s="313">
        <f t="shared" si="292"/>
        <v>0</v>
      </c>
      <c r="J110" s="287"/>
      <c r="K110" s="288">
        <f>J110/E110</f>
        <v>0</v>
      </c>
      <c r="L110" s="289"/>
      <c r="M110" s="290">
        <f>L110/E110</f>
        <v>0</v>
      </c>
      <c r="N110" s="287"/>
      <c r="O110" s="288">
        <f>N110/E110</f>
        <v>0</v>
      </c>
      <c r="P110" s="289"/>
      <c r="Q110" s="290">
        <f>P110/E110</f>
        <v>0</v>
      </c>
      <c r="R110" s="287"/>
      <c r="S110" s="288">
        <f t="shared" si="52"/>
        <v>0</v>
      </c>
      <c r="T110" s="287"/>
      <c r="U110" s="288">
        <f>T110/E110</f>
        <v>0</v>
      </c>
      <c r="V110" s="289"/>
      <c r="W110" s="290">
        <f>V110/E110</f>
        <v>0</v>
      </c>
      <c r="X110" s="287"/>
      <c r="Y110" s="313">
        <f>X110/E110</f>
        <v>0</v>
      </c>
      <c r="Z110" s="289"/>
      <c r="AA110" s="363">
        <f t="shared" si="299"/>
        <v>0</v>
      </c>
      <c r="AB110" s="287">
        <v>2587</v>
      </c>
      <c r="AC110" s="313">
        <f t="shared" si="300"/>
        <v>1</v>
      </c>
      <c r="AD110" s="289"/>
      <c r="AE110" s="363">
        <f t="shared" si="301"/>
        <v>0</v>
      </c>
      <c r="AF110" s="323">
        <f t="shared" si="302"/>
        <v>1</v>
      </c>
      <c r="AG110" s="195">
        <v>2586.8000000000002</v>
      </c>
      <c r="AH110" s="195">
        <v>2586.4699999999998</v>
      </c>
      <c r="AI110" s="84">
        <f t="shared" si="366"/>
        <v>0.1999999999998181</v>
      </c>
      <c r="AJ110" s="85"/>
      <c r="AK110" s="84">
        <f t="shared" si="367"/>
        <v>0</v>
      </c>
      <c r="AL110" s="81"/>
      <c r="AM110" s="84">
        <f t="shared" si="290"/>
        <v>0</v>
      </c>
      <c r="AN110" s="85"/>
      <c r="AO110" s="84">
        <f t="shared" si="280"/>
        <v>0</v>
      </c>
      <c r="AP110" s="81"/>
      <c r="AQ110" s="84">
        <f t="shared" si="281"/>
        <v>0</v>
      </c>
      <c r="AR110" s="85"/>
      <c r="AS110" s="84">
        <f t="shared" si="167"/>
        <v>0</v>
      </c>
      <c r="AT110" s="85"/>
      <c r="AU110" s="84">
        <f t="shared" si="168"/>
        <v>0</v>
      </c>
      <c r="AV110" s="85"/>
      <c r="AW110" s="84">
        <f t="shared" si="162"/>
        <v>0</v>
      </c>
      <c r="AX110" s="85"/>
      <c r="AY110" s="84">
        <f t="shared" si="163"/>
        <v>0</v>
      </c>
      <c r="AZ110" s="85"/>
      <c r="BA110" s="84">
        <f t="shared" si="307"/>
        <v>0</v>
      </c>
      <c r="BB110" s="85"/>
      <c r="BC110" s="84">
        <f t="shared" si="308"/>
        <v>0</v>
      </c>
      <c r="BD110" s="81"/>
      <c r="BE110" s="214">
        <f t="shared" si="309"/>
        <v>0</v>
      </c>
    </row>
    <row r="111" spans="1:57" x14ac:dyDescent="0.35">
      <c r="A111" s="151" t="s">
        <v>650</v>
      </c>
      <c r="B111" s="180"/>
      <c r="C111" s="83">
        <v>5552.72</v>
      </c>
      <c r="D111" s="107">
        <v>5552.72</v>
      </c>
      <c r="E111" s="304">
        <v>5552.72</v>
      </c>
      <c r="F111" s="289"/>
      <c r="G111" s="363">
        <f t="shared" si="291"/>
        <v>0</v>
      </c>
      <c r="H111" s="287"/>
      <c r="I111" s="313">
        <f t="shared" si="292"/>
        <v>0</v>
      </c>
      <c r="J111" s="287"/>
      <c r="K111" s="288">
        <f>J111/E111</f>
        <v>0</v>
      </c>
      <c r="L111" s="289"/>
      <c r="M111" s="290">
        <f>L111/E111</f>
        <v>0</v>
      </c>
      <c r="N111" s="287"/>
      <c r="O111" s="288">
        <f>N111/E111</f>
        <v>0</v>
      </c>
      <c r="P111" s="289"/>
      <c r="Q111" s="290">
        <f>P111/E111</f>
        <v>0</v>
      </c>
      <c r="R111" s="287"/>
      <c r="S111" s="288">
        <f t="shared" si="52"/>
        <v>0</v>
      </c>
      <c r="T111" s="287"/>
      <c r="U111" s="288">
        <f>T111/E111</f>
        <v>0</v>
      </c>
      <c r="V111" s="289"/>
      <c r="W111" s="290">
        <f>V111/E111</f>
        <v>0</v>
      </c>
      <c r="X111" s="287"/>
      <c r="Y111" s="313">
        <f>X111/E111</f>
        <v>0</v>
      </c>
      <c r="Z111" s="289"/>
      <c r="AA111" s="363">
        <f t="shared" si="299"/>
        <v>0</v>
      </c>
      <c r="AB111" s="287">
        <v>5552.72</v>
      </c>
      <c r="AC111" s="313">
        <f t="shared" si="300"/>
        <v>1</v>
      </c>
      <c r="AD111" s="289"/>
      <c r="AE111" s="363">
        <f t="shared" si="301"/>
        <v>0</v>
      </c>
      <c r="AF111" s="323">
        <f t="shared" si="302"/>
        <v>1</v>
      </c>
      <c r="AG111" s="195">
        <v>5552.72</v>
      </c>
      <c r="AH111" s="195">
        <v>5552.72</v>
      </c>
      <c r="AI111" s="84">
        <f t="shared" si="366"/>
        <v>0</v>
      </c>
      <c r="AJ111" s="85"/>
      <c r="AK111" s="84">
        <f t="shared" si="367"/>
        <v>0</v>
      </c>
      <c r="AL111" s="81"/>
      <c r="AM111" s="84">
        <f t="shared" si="290"/>
        <v>0</v>
      </c>
      <c r="AN111" s="85"/>
      <c r="AO111" s="84">
        <f t="shared" si="280"/>
        <v>0</v>
      </c>
      <c r="AP111" s="81"/>
      <c r="AQ111" s="84">
        <f t="shared" si="281"/>
        <v>0</v>
      </c>
      <c r="AR111" s="85"/>
      <c r="AS111" s="84">
        <f t="shared" si="167"/>
        <v>0</v>
      </c>
      <c r="AT111" s="85"/>
      <c r="AU111" s="84">
        <f t="shared" si="168"/>
        <v>0</v>
      </c>
      <c r="AV111" s="85"/>
      <c r="AW111" s="84">
        <f t="shared" si="162"/>
        <v>0</v>
      </c>
      <c r="AX111" s="85"/>
      <c r="AY111" s="84">
        <f t="shared" si="163"/>
        <v>0</v>
      </c>
      <c r="AZ111" s="85"/>
      <c r="BA111" s="84">
        <f t="shared" si="307"/>
        <v>0</v>
      </c>
      <c r="BB111" s="85"/>
      <c r="BC111" s="84">
        <f t="shared" si="308"/>
        <v>0</v>
      </c>
      <c r="BD111" s="81"/>
      <c r="BE111" s="214">
        <f t="shared" si="309"/>
        <v>0</v>
      </c>
    </row>
    <row r="112" spans="1:57" x14ac:dyDescent="0.35">
      <c r="A112" s="151" t="s">
        <v>656</v>
      </c>
      <c r="B112" s="180"/>
      <c r="C112" s="83">
        <v>5000</v>
      </c>
      <c r="D112" s="107">
        <v>5000</v>
      </c>
      <c r="E112" s="304">
        <v>5000</v>
      </c>
      <c r="F112" s="289"/>
      <c r="G112" s="363">
        <f t="shared" si="291"/>
        <v>0</v>
      </c>
      <c r="H112" s="287"/>
      <c r="I112" s="313">
        <f t="shared" si="292"/>
        <v>0</v>
      </c>
      <c r="J112" s="287"/>
      <c r="K112" s="288">
        <f t="shared" si="359"/>
        <v>0</v>
      </c>
      <c r="L112" s="289"/>
      <c r="M112" s="290">
        <f t="shared" si="360"/>
        <v>0</v>
      </c>
      <c r="N112" s="287"/>
      <c r="O112" s="288">
        <f t="shared" si="361"/>
        <v>0</v>
      </c>
      <c r="P112" s="289"/>
      <c r="Q112" s="290">
        <f t="shared" si="362"/>
        <v>0</v>
      </c>
      <c r="R112" s="287"/>
      <c r="S112" s="288">
        <f t="shared" si="52"/>
        <v>0</v>
      </c>
      <c r="T112" s="287"/>
      <c r="U112" s="288">
        <f t="shared" si="363"/>
        <v>0</v>
      </c>
      <c r="V112" s="289"/>
      <c r="W112" s="290">
        <f t="shared" si="364"/>
        <v>0</v>
      </c>
      <c r="X112" s="287"/>
      <c r="Y112" s="313">
        <f t="shared" si="365"/>
        <v>0</v>
      </c>
      <c r="Z112" s="289"/>
      <c r="AA112" s="363">
        <f t="shared" si="299"/>
        <v>0</v>
      </c>
      <c r="AB112" s="287">
        <v>5000</v>
      </c>
      <c r="AC112" s="313">
        <f t="shared" si="300"/>
        <v>1</v>
      </c>
      <c r="AD112" s="289"/>
      <c r="AE112" s="363">
        <f t="shared" si="301"/>
        <v>0</v>
      </c>
      <c r="AF112" s="323">
        <f t="shared" si="302"/>
        <v>1</v>
      </c>
      <c r="AG112" s="81">
        <v>0</v>
      </c>
      <c r="AH112" s="81"/>
      <c r="AI112" s="230">
        <f t="shared" si="366"/>
        <v>5000</v>
      </c>
      <c r="AJ112" s="231">
        <v>5000</v>
      </c>
      <c r="AK112" s="84">
        <f t="shared" si="367"/>
        <v>0</v>
      </c>
      <c r="AL112" s="81"/>
      <c r="AM112" s="84">
        <f t="shared" si="290"/>
        <v>0</v>
      </c>
      <c r="AN112" s="85"/>
      <c r="AO112" s="84">
        <f t="shared" si="280"/>
        <v>0</v>
      </c>
      <c r="AP112" s="81"/>
      <c r="AQ112" s="84">
        <f t="shared" ref="AQ112:AQ142" si="425">D112-AG112-AI112-AK112-AM112-AO112</f>
        <v>0</v>
      </c>
      <c r="AR112" s="85"/>
      <c r="AS112" s="84">
        <f t="shared" ref="AS112:AS142" si="426">D112-AG112-AI112-AK112-AM112-AO112-AQ112</f>
        <v>0</v>
      </c>
      <c r="AT112" s="85"/>
      <c r="AU112" s="84">
        <f t="shared" ref="AU112:AU142" si="427">D112-AG112-AI112-AK112-AM112-AO112-AQ112-AS112</f>
        <v>0</v>
      </c>
      <c r="AV112" s="85"/>
      <c r="AW112" s="84">
        <f t="shared" ref="AW112:AW142" si="428">D112-AG112-AI112-AK112-AM112-AO112-AQ112-AS112-AU112</f>
        <v>0</v>
      </c>
      <c r="AX112" s="85"/>
      <c r="AY112" s="84">
        <f t="shared" ref="AY112:AY142" si="429">D112-AG112-AI112-AK112-AM112-AO112-AQ112-AS112-AU112-AW112</f>
        <v>0</v>
      </c>
      <c r="AZ112" s="85"/>
      <c r="BA112" s="84">
        <f t="shared" si="307"/>
        <v>0</v>
      </c>
      <c r="BB112" s="85"/>
      <c r="BC112" s="84">
        <f t="shared" si="308"/>
        <v>0</v>
      </c>
      <c r="BD112" s="81"/>
      <c r="BE112" s="214">
        <f t="shared" si="309"/>
        <v>0</v>
      </c>
    </row>
    <row r="113" spans="1:57" x14ac:dyDescent="0.35">
      <c r="A113" s="151" t="s">
        <v>424</v>
      </c>
      <c r="B113" s="180"/>
      <c r="C113" s="83">
        <f>D113</f>
        <v>8481.41</v>
      </c>
      <c r="D113" s="107">
        <f>E113</f>
        <v>8481.41</v>
      </c>
      <c r="E113" s="304">
        <f>4997.83+3483.58</f>
        <v>8481.41</v>
      </c>
      <c r="F113" s="289">
        <v>192</v>
      </c>
      <c r="G113" s="363">
        <f t="shared" si="291"/>
        <v>2.26377453748846E-2</v>
      </c>
      <c r="H113" s="287"/>
      <c r="I113" s="313">
        <f t="shared" si="292"/>
        <v>0</v>
      </c>
      <c r="J113" s="287"/>
      <c r="K113" s="288">
        <f>J113/E113</f>
        <v>0</v>
      </c>
      <c r="L113" s="289"/>
      <c r="M113" s="290">
        <f>L113/E113</f>
        <v>0</v>
      </c>
      <c r="N113" s="287"/>
      <c r="O113" s="288">
        <f>N113/E113</f>
        <v>0</v>
      </c>
      <c r="P113" s="289"/>
      <c r="Q113" s="290">
        <f>P113/E113</f>
        <v>0</v>
      </c>
      <c r="R113" s="287"/>
      <c r="S113" s="288">
        <f t="shared" si="52"/>
        <v>0</v>
      </c>
      <c r="T113" s="287"/>
      <c r="U113" s="288">
        <f>T113/E113</f>
        <v>0</v>
      </c>
      <c r="V113" s="289"/>
      <c r="W113" s="290">
        <f>V113/E113</f>
        <v>0</v>
      </c>
      <c r="X113" s="287">
        <f>4997.83-192+3483.58</f>
        <v>8289.41</v>
      </c>
      <c r="Y113" s="313">
        <f>X113/E113</f>
        <v>0.97736225462511539</v>
      </c>
      <c r="Z113" s="289"/>
      <c r="AA113" s="363">
        <f t="shared" si="299"/>
        <v>0</v>
      </c>
      <c r="AB113" s="287"/>
      <c r="AC113" s="287"/>
      <c r="AD113" s="289"/>
      <c r="AE113" s="363">
        <f t="shared" si="301"/>
        <v>0</v>
      </c>
      <c r="AF113" s="323" t="e">
        <f>K113+M113+O113+Q113+S113+U113+W113+#REF!+AA113+Y113+G113+I113+AE113</f>
        <v>#REF!</v>
      </c>
      <c r="AG113" s="81">
        <v>0</v>
      </c>
      <c r="AH113" s="81"/>
      <c r="AI113" s="230">
        <f>AJ113</f>
        <v>4998</v>
      </c>
      <c r="AJ113" s="231">
        <v>4998</v>
      </c>
      <c r="AK113" s="84">
        <v>0</v>
      </c>
      <c r="AL113" s="81"/>
      <c r="AM113" s="84">
        <v>0</v>
      </c>
      <c r="AN113" s="85"/>
      <c r="AO113" s="84">
        <v>0</v>
      </c>
      <c r="AP113" s="81"/>
      <c r="AQ113" s="84">
        <v>0</v>
      </c>
      <c r="AR113" s="85"/>
      <c r="AS113" s="84">
        <v>0</v>
      </c>
      <c r="AT113" s="85"/>
      <c r="AU113" s="50">
        <v>0</v>
      </c>
      <c r="AV113" s="85"/>
      <c r="AW113" s="84">
        <v>0</v>
      </c>
      <c r="AX113" s="85"/>
      <c r="AY113" s="230">
        <f>AZ113</f>
        <v>3483.58</v>
      </c>
      <c r="AZ113" s="231">
        <v>3483.58</v>
      </c>
      <c r="BA113" s="84">
        <f t="shared" si="307"/>
        <v>-0.17000000000007276</v>
      </c>
      <c r="BB113" s="85"/>
      <c r="BC113" s="84">
        <f t="shared" si="308"/>
        <v>0</v>
      </c>
      <c r="BD113" s="81"/>
      <c r="BE113" s="214">
        <f t="shared" si="309"/>
        <v>0</v>
      </c>
    </row>
    <row r="114" spans="1:57" x14ac:dyDescent="0.35">
      <c r="A114" s="211" t="s">
        <v>407</v>
      </c>
      <c r="B114" s="180"/>
      <c r="C114" s="83">
        <f>'2021-22'!AU74</f>
        <v>117072</v>
      </c>
      <c r="D114" s="142">
        <f>'2022-23'!AW86</f>
        <v>117072</v>
      </c>
      <c r="E114" s="304"/>
      <c r="F114" s="289"/>
      <c r="G114" s="363" t="e">
        <f t="shared" si="291"/>
        <v>#DIV/0!</v>
      </c>
      <c r="H114" s="287"/>
      <c r="I114" s="313" t="e">
        <f t="shared" si="292"/>
        <v>#DIV/0!</v>
      </c>
      <c r="J114" s="287"/>
      <c r="K114" s="288" t="e">
        <f>J114/E114</f>
        <v>#DIV/0!</v>
      </c>
      <c r="L114" s="289"/>
      <c r="M114" s="290" t="e">
        <f>L114/E114</f>
        <v>#DIV/0!</v>
      </c>
      <c r="N114" s="287"/>
      <c r="O114" s="288" t="e">
        <f>N114/E114</f>
        <v>#DIV/0!</v>
      </c>
      <c r="P114" s="289"/>
      <c r="Q114" s="290" t="e">
        <f>P114/E114</f>
        <v>#DIV/0!</v>
      </c>
      <c r="R114" s="287"/>
      <c r="S114" s="288" t="e">
        <f t="shared" si="52"/>
        <v>#DIV/0!</v>
      </c>
      <c r="T114" s="287"/>
      <c r="U114" s="288" t="e">
        <f>T114/E114</f>
        <v>#DIV/0!</v>
      </c>
      <c r="V114" s="289"/>
      <c r="W114" s="290" t="e">
        <f>V114/E114</f>
        <v>#DIV/0!</v>
      </c>
      <c r="X114" s="287"/>
      <c r="Y114" s="313" t="e">
        <f>X114/E114</f>
        <v>#DIV/0!</v>
      </c>
      <c r="Z114" s="289"/>
      <c r="AA114" s="363" t="e">
        <f t="shared" si="299"/>
        <v>#DIV/0!</v>
      </c>
      <c r="AB114" s="287"/>
      <c r="AC114" s="313" t="e">
        <f t="shared" si="300"/>
        <v>#DIV/0!</v>
      </c>
      <c r="AD114" s="289"/>
      <c r="AE114" s="363" t="e">
        <f t="shared" si="301"/>
        <v>#DIV/0!</v>
      </c>
      <c r="AF114" s="323" t="e">
        <f t="shared" si="302"/>
        <v>#DIV/0!</v>
      </c>
      <c r="AG114" s="81">
        <v>0</v>
      </c>
      <c r="AH114" s="81"/>
      <c r="AI114" s="84">
        <v>0</v>
      </c>
      <c r="AJ114" s="85"/>
      <c r="AK114" s="84">
        <v>0</v>
      </c>
      <c r="AL114" s="81"/>
      <c r="AM114" s="84">
        <v>0</v>
      </c>
      <c r="AN114" s="85"/>
      <c r="AO114" s="84">
        <v>0</v>
      </c>
      <c r="AP114" s="81"/>
      <c r="AQ114" s="84">
        <v>0</v>
      </c>
      <c r="AR114" s="85"/>
      <c r="AS114" s="84">
        <v>0</v>
      </c>
      <c r="AT114" s="85"/>
      <c r="AU114" s="84">
        <v>0</v>
      </c>
      <c r="AV114" s="85"/>
      <c r="AW114" s="84">
        <v>0</v>
      </c>
      <c r="AX114" s="85"/>
      <c r="AY114" s="84">
        <v>0</v>
      </c>
      <c r="AZ114" s="85"/>
      <c r="BA114" s="84">
        <v>0</v>
      </c>
      <c r="BB114" s="85"/>
      <c r="BC114" s="84">
        <v>0</v>
      </c>
      <c r="BD114" s="81"/>
      <c r="BE114" s="214">
        <f t="shared" si="309"/>
        <v>117072</v>
      </c>
    </row>
    <row r="115" spans="1:57" x14ac:dyDescent="0.35">
      <c r="A115" s="151" t="s">
        <v>658</v>
      </c>
      <c r="B115" s="180"/>
      <c r="C115" s="83">
        <v>2164.4699999999998</v>
      </c>
      <c r="D115" s="107">
        <v>2164.4699999999998</v>
      </c>
      <c r="E115" s="304">
        <v>2164.4699999999998</v>
      </c>
      <c r="F115" s="289"/>
      <c r="G115" s="363">
        <f t="shared" si="291"/>
        <v>0</v>
      </c>
      <c r="H115" s="287"/>
      <c r="I115" s="313">
        <f t="shared" si="292"/>
        <v>0</v>
      </c>
      <c r="J115" s="287"/>
      <c r="K115" s="288">
        <f t="shared" ref="K115" si="430">J115/E115</f>
        <v>0</v>
      </c>
      <c r="L115" s="289"/>
      <c r="M115" s="290">
        <f t="shared" ref="M115" si="431">L115/E115</f>
        <v>0</v>
      </c>
      <c r="N115" s="287">
        <f>1484.07+277.2</f>
        <v>1761.27</v>
      </c>
      <c r="O115" s="288">
        <f t="shared" ref="O115" si="432">N115/E115</f>
        <v>0.81371883186184157</v>
      </c>
      <c r="P115" s="289"/>
      <c r="Q115" s="290">
        <f t="shared" ref="Q115" si="433">P115/E115</f>
        <v>0</v>
      </c>
      <c r="R115" s="287"/>
      <c r="S115" s="288">
        <f t="shared" si="52"/>
        <v>0</v>
      </c>
      <c r="T115" s="287"/>
      <c r="U115" s="288">
        <f t="shared" ref="U115" si="434">T115/E115</f>
        <v>0</v>
      </c>
      <c r="V115" s="289">
        <f>151.2+252</f>
        <v>403.2</v>
      </c>
      <c r="W115" s="290">
        <f t="shared" ref="W115" si="435">V115/E115</f>
        <v>0.18628116813815854</v>
      </c>
      <c r="X115" s="287"/>
      <c r="Y115" s="313">
        <f t="shared" ref="Y115" si="436">X115/E115</f>
        <v>0</v>
      </c>
      <c r="Z115" s="289"/>
      <c r="AA115" s="363">
        <f t="shared" si="299"/>
        <v>0</v>
      </c>
      <c r="AB115" s="287"/>
      <c r="AC115" s="313">
        <f t="shared" si="300"/>
        <v>0</v>
      </c>
      <c r="AD115" s="289"/>
      <c r="AE115" s="363">
        <f t="shared" si="301"/>
        <v>0</v>
      </c>
      <c r="AF115" s="323">
        <f t="shared" si="302"/>
        <v>1</v>
      </c>
      <c r="AG115" s="81">
        <v>0</v>
      </c>
      <c r="AH115" s="81"/>
      <c r="AI115" s="230">
        <f t="shared" ref="AI115:AI121" si="437">D115-AG115</f>
        <v>2164.4699999999998</v>
      </c>
      <c r="AJ115" s="231">
        <v>2164</v>
      </c>
      <c r="AK115" s="84">
        <f t="shared" ref="AK115:AK122" si="438">D115-AG115-AI115</f>
        <v>0</v>
      </c>
      <c r="AL115" s="81"/>
      <c r="AM115" s="84">
        <f t="shared" ref="AM115:AM142" si="439">D115-AG115-AI115-AK115</f>
        <v>0</v>
      </c>
      <c r="AN115" s="85"/>
      <c r="AO115" s="84">
        <f t="shared" ref="AO115:AO142" si="440">D115-AG115-AI115-AK115-AM115</f>
        <v>0</v>
      </c>
      <c r="AP115" s="81"/>
      <c r="AQ115" s="84">
        <f t="shared" si="425"/>
        <v>0</v>
      </c>
      <c r="AR115" s="85"/>
      <c r="AS115" s="84">
        <f t="shared" si="426"/>
        <v>0</v>
      </c>
      <c r="AT115" s="85"/>
      <c r="AU115" s="84">
        <f t="shared" si="427"/>
        <v>0</v>
      </c>
      <c r="AV115" s="85"/>
      <c r="AW115" s="84">
        <f t="shared" si="428"/>
        <v>0</v>
      </c>
      <c r="AX115" s="85"/>
      <c r="AY115" s="84">
        <f t="shared" si="429"/>
        <v>0</v>
      </c>
      <c r="AZ115" s="85"/>
      <c r="BA115" s="84">
        <f t="shared" si="307"/>
        <v>0</v>
      </c>
      <c r="BB115" s="85"/>
      <c r="BC115" s="84">
        <f t="shared" si="308"/>
        <v>0</v>
      </c>
      <c r="BD115" s="81"/>
      <c r="BE115" s="214">
        <f t="shared" si="309"/>
        <v>0</v>
      </c>
    </row>
    <row r="116" spans="1:57" x14ac:dyDescent="0.35">
      <c r="A116" s="159"/>
      <c r="B116" s="180"/>
      <c r="C116" s="83"/>
      <c r="D116" s="142"/>
      <c r="E116" s="304"/>
      <c r="F116" s="289"/>
      <c r="G116" s="363" t="e">
        <f t="shared" si="291"/>
        <v>#DIV/0!</v>
      </c>
      <c r="H116" s="287"/>
      <c r="I116" s="313" t="e">
        <f t="shared" si="292"/>
        <v>#DIV/0!</v>
      </c>
      <c r="J116" s="287"/>
      <c r="K116" s="288" t="e">
        <f t="shared" ref="K116:K122" si="441">J116/E116</f>
        <v>#DIV/0!</v>
      </c>
      <c r="L116" s="289"/>
      <c r="M116" s="290" t="e">
        <f t="shared" ref="M116:M122" si="442">L116/E116</f>
        <v>#DIV/0!</v>
      </c>
      <c r="N116" s="287"/>
      <c r="O116" s="288" t="e">
        <f t="shared" ref="O116:O122" si="443">N116/E116</f>
        <v>#DIV/0!</v>
      </c>
      <c r="P116" s="289"/>
      <c r="Q116" s="290" t="e">
        <f t="shared" ref="Q116:Q122" si="444">P116/E116</f>
        <v>#DIV/0!</v>
      </c>
      <c r="R116" s="287"/>
      <c r="S116" s="288" t="e">
        <f t="shared" si="52"/>
        <v>#DIV/0!</v>
      </c>
      <c r="T116" s="287"/>
      <c r="U116" s="288" t="e">
        <f t="shared" ref="U116:U122" si="445">T116/E116</f>
        <v>#DIV/0!</v>
      </c>
      <c r="V116" s="289"/>
      <c r="W116" s="290" t="e">
        <f t="shared" ref="W116:W122" si="446">V116/E116</f>
        <v>#DIV/0!</v>
      </c>
      <c r="X116" s="287"/>
      <c r="Y116" s="313" t="e">
        <f t="shared" ref="Y116:Y122" si="447">X116/E116</f>
        <v>#DIV/0!</v>
      </c>
      <c r="Z116" s="289"/>
      <c r="AA116" s="363" t="e">
        <f t="shared" si="299"/>
        <v>#DIV/0!</v>
      </c>
      <c r="AB116" s="287"/>
      <c r="AC116" s="313" t="e">
        <f t="shared" si="300"/>
        <v>#DIV/0!</v>
      </c>
      <c r="AD116" s="289"/>
      <c r="AE116" s="363" t="e">
        <f t="shared" si="301"/>
        <v>#DIV/0!</v>
      </c>
      <c r="AF116" s="323" t="e">
        <f t="shared" si="302"/>
        <v>#DIV/0!</v>
      </c>
      <c r="AG116" s="81">
        <v>0</v>
      </c>
      <c r="AH116" s="81"/>
      <c r="AI116" s="84">
        <f t="shared" si="437"/>
        <v>0</v>
      </c>
      <c r="AJ116" s="85"/>
      <c r="AK116" s="84">
        <f t="shared" si="438"/>
        <v>0</v>
      </c>
      <c r="AL116" s="81"/>
      <c r="AM116" s="84">
        <f t="shared" si="439"/>
        <v>0</v>
      </c>
      <c r="AN116" s="85"/>
      <c r="AO116" s="84">
        <f t="shared" si="440"/>
        <v>0</v>
      </c>
      <c r="AP116" s="81"/>
      <c r="AQ116" s="84">
        <f t="shared" si="425"/>
        <v>0</v>
      </c>
      <c r="AR116" s="85"/>
      <c r="AS116" s="84">
        <f t="shared" si="426"/>
        <v>0</v>
      </c>
      <c r="AT116" s="85"/>
      <c r="AU116" s="84">
        <f t="shared" si="427"/>
        <v>0</v>
      </c>
      <c r="AV116" s="85"/>
      <c r="AW116" s="84">
        <f t="shared" si="428"/>
        <v>0</v>
      </c>
      <c r="AX116" s="85"/>
      <c r="AY116" s="84">
        <f t="shared" si="429"/>
        <v>0</v>
      </c>
      <c r="AZ116" s="85"/>
      <c r="BA116" s="84">
        <f t="shared" si="307"/>
        <v>0</v>
      </c>
      <c r="BB116" s="85"/>
      <c r="BC116" s="84">
        <f t="shared" si="308"/>
        <v>0</v>
      </c>
      <c r="BD116" s="81"/>
      <c r="BE116" s="214">
        <f t="shared" si="309"/>
        <v>0</v>
      </c>
    </row>
    <row r="117" spans="1:57" ht="13.9" x14ac:dyDescent="0.4">
      <c r="A117" s="368" t="s">
        <v>672</v>
      </c>
      <c r="B117" s="369"/>
      <c r="C117" s="370"/>
      <c r="D117" s="371"/>
      <c r="E117" s="304"/>
      <c r="F117" s="289"/>
      <c r="G117" s="363" t="e">
        <f t="shared" si="291"/>
        <v>#DIV/0!</v>
      </c>
      <c r="H117" s="287"/>
      <c r="I117" s="313" t="e">
        <f t="shared" si="292"/>
        <v>#DIV/0!</v>
      </c>
      <c r="J117" s="287"/>
      <c r="K117" s="288" t="e">
        <f t="shared" si="441"/>
        <v>#DIV/0!</v>
      </c>
      <c r="L117" s="289"/>
      <c r="M117" s="290" t="e">
        <f t="shared" si="442"/>
        <v>#DIV/0!</v>
      </c>
      <c r="N117" s="287"/>
      <c r="O117" s="288"/>
      <c r="P117" s="289"/>
      <c r="Q117" s="290"/>
      <c r="R117" s="287"/>
      <c r="S117" s="288"/>
      <c r="T117" s="287"/>
      <c r="U117" s="288"/>
      <c r="V117" s="289"/>
      <c r="W117" s="290"/>
      <c r="X117" s="287"/>
      <c r="Y117" s="313"/>
      <c r="Z117" s="289"/>
      <c r="AA117" s="363"/>
      <c r="AB117" s="287"/>
      <c r="AC117" s="313"/>
      <c r="AD117" s="289"/>
      <c r="AE117" s="363"/>
      <c r="AF117" s="323"/>
      <c r="AG117" s="81">
        <v>0</v>
      </c>
      <c r="AH117" s="81"/>
      <c r="AI117" s="84">
        <f t="shared" si="437"/>
        <v>0</v>
      </c>
      <c r="AJ117" s="85"/>
      <c r="AK117" s="84">
        <f t="shared" si="438"/>
        <v>0</v>
      </c>
      <c r="AL117" s="81"/>
      <c r="AM117" s="84">
        <f t="shared" si="439"/>
        <v>0</v>
      </c>
      <c r="AN117" s="85"/>
      <c r="AO117" s="84">
        <f>D117-AG117-AI117-AK117-AM117</f>
        <v>0</v>
      </c>
      <c r="AP117" s="81"/>
      <c r="AQ117" s="84">
        <f>D117-AG117-AI117-AK117-AM117-AO117</f>
        <v>0</v>
      </c>
      <c r="AR117" s="85"/>
      <c r="AS117" s="84">
        <f t="shared" si="426"/>
        <v>0</v>
      </c>
      <c r="AT117" s="85"/>
      <c r="AU117" s="84">
        <f t="shared" si="427"/>
        <v>0</v>
      </c>
      <c r="AV117" s="85"/>
      <c r="AW117" s="84">
        <f t="shared" si="428"/>
        <v>0</v>
      </c>
      <c r="AX117" s="85"/>
      <c r="AY117" s="84">
        <f t="shared" si="429"/>
        <v>0</v>
      </c>
      <c r="AZ117" s="85"/>
      <c r="BA117" s="84">
        <f t="shared" si="307"/>
        <v>0</v>
      </c>
      <c r="BB117" s="85"/>
      <c r="BC117" s="84">
        <f t="shared" si="308"/>
        <v>0</v>
      </c>
      <c r="BD117" s="81"/>
      <c r="BE117" s="214">
        <f t="shared" si="309"/>
        <v>0</v>
      </c>
    </row>
    <row r="118" spans="1:57" x14ac:dyDescent="0.35">
      <c r="A118" s="159"/>
      <c r="B118" s="180"/>
      <c r="C118" s="83"/>
      <c r="D118" s="142"/>
      <c r="E118" s="304"/>
      <c r="F118" s="289"/>
      <c r="G118" s="363" t="e">
        <f t="shared" si="291"/>
        <v>#DIV/0!</v>
      </c>
      <c r="H118" s="287"/>
      <c r="I118" s="313" t="e">
        <f t="shared" si="292"/>
        <v>#DIV/0!</v>
      </c>
      <c r="J118" s="287"/>
      <c r="K118" s="288" t="e">
        <f t="shared" si="441"/>
        <v>#DIV/0!</v>
      </c>
      <c r="L118" s="289"/>
      <c r="M118" s="290" t="e">
        <f t="shared" si="442"/>
        <v>#DIV/0!</v>
      </c>
      <c r="N118" s="287"/>
      <c r="O118" s="288" t="e">
        <f t="shared" ref="O118:O121" si="448">N118/E118</f>
        <v>#DIV/0!</v>
      </c>
      <c r="P118" s="289"/>
      <c r="Q118" s="290" t="e">
        <f t="shared" ref="Q118:Q121" si="449">P118/E118</f>
        <v>#DIV/0!</v>
      </c>
      <c r="R118" s="287"/>
      <c r="S118" s="288" t="e">
        <f>R118/E118</f>
        <v>#DIV/0!</v>
      </c>
      <c r="T118" s="287"/>
      <c r="U118" s="288" t="e">
        <f t="shared" ref="U118:U121" si="450">T118/E118</f>
        <v>#DIV/0!</v>
      </c>
      <c r="V118" s="289"/>
      <c r="W118" s="290" t="e">
        <f t="shared" ref="W118:W121" si="451">V118/E118</f>
        <v>#DIV/0!</v>
      </c>
      <c r="X118" s="287"/>
      <c r="Y118" s="313" t="e">
        <f t="shared" ref="Y118:Y121" si="452">X118/E118</f>
        <v>#DIV/0!</v>
      </c>
      <c r="Z118" s="289"/>
      <c r="AA118" s="363" t="e">
        <f t="shared" ref="AA118:AA121" si="453">Z118/E118</f>
        <v>#DIV/0!</v>
      </c>
      <c r="AB118" s="287"/>
      <c r="AC118" s="313" t="e">
        <f t="shared" ref="AC118:AC121" si="454">AB118/E118</f>
        <v>#DIV/0!</v>
      </c>
      <c r="AD118" s="289"/>
      <c r="AE118" s="363" t="e">
        <f t="shared" ref="AE118:AE121" si="455">AD118/E118</f>
        <v>#DIV/0!</v>
      </c>
      <c r="AF118" s="323" t="e">
        <f t="shared" ref="AF118:AF121" si="456">K118+M118+O118+Q118+S118+U118+W118+Y118+AA118+AC118+G118+I118+AE118</f>
        <v>#DIV/0!</v>
      </c>
      <c r="AG118" s="81">
        <v>0</v>
      </c>
      <c r="AH118" s="81"/>
      <c r="AI118" s="84">
        <f t="shared" si="437"/>
        <v>0</v>
      </c>
      <c r="AJ118" s="85"/>
      <c r="AK118" s="84">
        <f>D118-AG118-AI118</f>
        <v>0</v>
      </c>
      <c r="AL118" s="81"/>
      <c r="AM118" s="84">
        <f>D118-AG118-AI118-AK118</f>
        <v>0</v>
      </c>
      <c r="AN118" s="85"/>
      <c r="AO118" s="84">
        <f>D118-AG118-AI118-AK118-AM118</f>
        <v>0</v>
      </c>
      <c r="AP118" s="81"/>
      <c r="AQ118" s="84">
        <f>D118-AG118-AI118-AK118-AM118-AO118</f>
        <v>0</v>
      </c>
      <c r="AR118" s="85"/>
      <c r="AS118" s="84">
        <f t="shared" si="426"/>
        <v>0</v>
      </c>
      <c r="AT118" s="85"/>
      <c r="AU118" s="84">
        <f t="shared" si="427"/>
        <v>0</v>
      </c>
      <c r="AV118" s="85"/>
      <c r="AW118" s="84">
        <f t="shared" si="428"/>
        <v>0</v>
      </c>
      <c r="AX118" s="85"/>
      <c r="AY118" s="84">
        <f t="shared" si="429"/>
        <v>0</v>
      </c>
      <c r="AZ118" s="85"/>
      <c r="BA118" s="84">
        <f t="shared" si="307"/>
        <v>0</v>
      </c>
      <c r="BB118" s="85"/>
      <c r="BC118" s="84">
        <f t="shared" si="308"/>
        <v>0</v>
      </c>
      <c r="BD118" s="81"/>
      <c r="BE118" s="214">
        <f t="shared" si="309"/>
        <v>0</v>
      </c>
    </row>
    <row r="119" spans="1:57" x14ac:dyDescent="0.35">
      <c r="A119" s="159"/>
      <c r="B119" s="180"/>
      <c r="C119" s="83"/>
      <c r="D119" s="142"/>
      <c r="E119" s="304"/>
      <c r="F119" s="289"/>
      <c r="G119" s="363" t="e">
        <f t="shared" si="291"/>
        <v>#DIV/0!</v>
      </c>
      <c r="H119" s="287"/>
      <c r="I119" s="313" t="e">
        <f t="shared" si="292"/>
        <v>#DIV/0!</v>
      </c>
      <c r="J119" s="287"/>
      <c r="K119" s="288" t="e">
        <f t="shared" si="441"/>
        <v>#DIV/0!</v>
      </c>
      <c r="L119" s="289"/>
      <c r="M119" s="290" t="e">
        <f t="shared" si="442"/>
        <v>#DIV/0!</v>
      </c>
      <c r="N119" s="287"/>
      <c r="O119" s="288" t="e">
        <f t="shared" si="448"/>
        <v>#DIV/0!</v>
      </c>
      <c r="P119" s="289"/>
      <c r="Q119" s="290" t="e">
        <f t="shared" si="449"/>
        <v>#DIV/0!</v>
      </c>
      <c r="R119" s="287"/>
      <c r="S119" s="288" t="e">
        <f>R119/E119</f>
        <v>#DIV/0!</v>
      </c>
      <c r="T119" s="287"/>
      <c r="U119" s="288" t="e">
        <f t="shared" si="450"/>
        <v>#DIV/0!</v>
      </c>
      <c r="V119" s="289"/>
      <c r="W119" s="290" t="e">
        <f t="shared" si="451"/>
        <v>#DIV/0!</v>
      </c>
      <c r="X119" s="287"/>
      <c r="Y119" s="313" t="e">
        <f t="shared" si="452"/>
        <v>#DIV/0!</v>
      </c>
      <c r="Z119" s="289"/>
      <c r="AA119" s="363" t="e">
        <f t="shared" si="453"/>
        <v>#DIV/0!</v>
      </c>
      <c r="AB119" s="287"/>
      <c r="AC119" s="313" t="e">
        <f t="shared" si="454"/>
        <v>#DIV/0!</v>
      </c>
      <c r="AD119" s="289"/>
      <c r="AE119" s="363" t="e">
        <f t="shared" si="455"/>
        <v>#DIV/0!</v>
      </c>
      <c r="AF119" s="323" t="e">
        <f t="shared" si="456"/>
        <v>#DIV/0!</v>
      </c>
      <c r="AG119" s="81">
        <v>0</v>
      </c>
      <c r="AH119" s="81"/>
      <c r="AI119" s="84">
        <f t="shared" si="437"/>
        <v>0</v>
      </c>
      <c r="AJ119" s="85"/>
      <c r="AK119" s="84">
        <f>D119-AG119-AI119</f>
        <v>0</v>
      </c>
      <c r="AL119" s="81"/>
      <c r="AM119" s="84">
        <f>D119-AG119-AI119-AK119</f>
        <v>0</v>
      </c>
      <c r="AN119" s="85"/>
      <c r="AO119" s="84">
        <f>D119-AG119-AI119-AK119-AM119</f>
        <v>0</v>
      </c>
      <c r="AP119" s="81"/>
      <c r="AQ119" s="84">
        <f>D119-AG119-AI119-AK119-AM119-AO119</f>
        <v>0</v>
      </c>
      <c r="AR119" s="85"/>
      <c r="AS119" s="84">
        <f t="shared" si="426"/>
        <v>0</v>
      </c>
      <c r="AT119" s="85"/>
      <c r="AU119" s="84">
        <f t="shared" si="427"/>
        <v>0</v>
      </c>
      <c r="AV119" s="85"/>
      <c r="AW119" s="84">
        <f t="shared" si="428"/>
        <v>0</v>
      </c>
      <c r="AX119" s="85"/>
      <c r="AY119" s="84">
        <f t="shared" si="429"/>
        <v>0</v>
      </c>
      <c r="AZ119" s="85"/>
      <c r="BA119" s="84">
        <f t="shared" si="307"/>
        <v>0</v>
      </c>
      <c r="BB119" s="85"/>
      <c r="BC119" s="84">
        <f t="shared" si="308"/>
        <v>0</v>
      </c>
      <c r="BD119" s="81"/>
      <c r="BE119" s="214">
        <f t="shared" si="309"/>
        <v>0</v>
      </c>
    </row>
    <row r="120" spans="1:57" x14ac:dyDescent="0.35">
      <c r="A120" s="159"/>
      <c r="B120" s="180"/>
      <c r="C120" s="83"/>
      <c r="D120" s="142"/>
      <c r="E120" s="304"/>
      <c r="F120" s="289"/>
      <c r="G120" s="363" t="e">
        <f t="shared" si="291"/>
        <v>#DIV/0!</v>
      </c>
      <c r="H120" s="287"/>
      <c r="I120" s="313" t="e">
        <f t="shared" si="292"/>
        <v>#DIV/0!</v>
      </c>
      <c r="J120" s="287"/>
      <c r="K120" s="288" t="e">
        <f t="shared" si="441"/>
        <v>#DIV/0!</v>
      </c>
      <c r="L120" s="289"/>
      <c r="M120" s="290" t="e">
        <f t="shared" si="442"/>
        <v>#DIV/0!</v>
      </c>
      <c r="N120" s="287"/>
      <c r="O120" s="288" t="e">
        <f t="shared" si="448"/>
        <v>#DIV/0!</v>
      </c>
      <c r="P120" s="289"/>
      <c r="Q120" s="290" t="e">
        <f t="shared" si="449"/>
        <v>#DIV/0!</v>
      </c>
      <c r="R120" s="287"/>
      <c r="S120" s="288" t="e">
        <f>R120/E120</f>
        <v>#DIV/0!</v>
      </c>
      <c r="T120" s="287"/>
      <c r="U120" s="288" t="e">
        <f t="shared" si="450"/>
        <v>#DIV/0!</v>
      </c>
      <c r="V120" s="289"/>
      <c r="W120" s="290" t="e">
        <f t="shared" si="451"/>
        <v>#DIV/0!</v>
      </c>
      <c r="X120" s="287"/>
      <c r="Y120" s="313" t="e">
        <f t="shared" si="452"/>
        <v>#DIV/0!</v>
      </c>
      <c r="Z120" s="289"/>
      <c r="AA120" s="363" t="e">
        <f t="shared" si="453"/>
        <v>#DIV/0!</v>
      </c>
      <c r="AB120" s="287"/>
      <c r="AC120" s="313" t="e">
        <f t="shared" si="454"/>
        <v>#DIV/0!</v>
      </c>
      <c r="AD120" s="289"/>
      <c r="AE120" s="363" t="e">
        <f t="shared" si="455"/>
        <v>#DIV/0!</v>
      </c>
      <c r="AF120" s="323" t="e">
        <f t="shared" si="456"/>
        <v>#DIV/0!</v>
      </c>
      <c r="AG120" s="81">
        <v>0</v>
      </c>
      <c r="AH120" s="81"/>
      <c r="AI120" s="84">
        <f t="shared" si="437"/>
        <v>0</v>
      </c>
      <c r="AJ120" s="85"/>
      <c r="AK120" s="84">
        <f>D120-AG120-AI120</f>
        <v>0</v>
      </c>
      <c r="AL120" s="81"/>
      <c r="AM120" s="84">
        <f>D120-AG120-AI120-AK120</f>
        <v>0</v>
      </c>
      <c r="AN120" s="85"/>
      <c r="AO120" s="84">
        <f>D120-AG120-AI120-AK120-AM120</f>
        <v>0</v>
      </c>
      <c r="AP120" s="81"/>
      <c r="AQ120" s="84">
        <f>D120-AG120-AI120-AK120-AM120-AO120</f>
        <v>0</v>
      </c>
      <c r="AR120" s="85"/>
      <c r="AS120" s="84">
        <f t="shared" si="426"/>
        <v>0</v>
      </c>
      <c r="AT120" s="85"/>
      <c r="AU120" s="84">
        <f t="shared" si="427"/>
        <v>0</v>
      </c>
      <c r="AV120" s="85"/>
      <c r="AW120" s="84">
        <f t="shared" si="428"/>
        <v>0</v>
      </c>
      <c r="AX120" s="85"/>
      <c r="AY120" s="84">
        <f t="shared" si="429"/>
        <v>0</v>
      </c>
      <c r="AZ120" s="85"/>
      <c r="BA120" s="84">
        <f t="shared" si="307"/>
        <v>0</v>
      </c>
      <c r="BB120" s="85"/>
      <c r="BC120" s="84">
        <f t="shared" si="308"/>
        <v>0</v>
      </c>
      <c r="BD120" s="81"/>
      <c r="BE120" s="214">
        <f t="shared" si="309"/>
        <v>0</v>
      </c>
    </row>
    <row r="121" spans="1:57" x14ac:dyDescent="0.35">
      <c r="A121" s="159"/>
      <c r="B121" s="180"/>
      <c r="C121" s="83"/>
      <c r="D121" s="142"/>
      <c r="E121" s="304"/>
      <c r="F121" s="289"/>
      <c r="G121" s="363" t="e">
        <f t="shared" si="291"/>
        <v>#DIV/0!</v>
      </c>
      <c r="H121" s="287"/>
      <c r="I121" s="313" t="e">
        <f t="shared" si="292"/>
        <v>#DIV/0!</v>
      </c>
      <c r="J121" s="287"/>
      <c r="K121" s="288" t="e">
        <f t="shared" si="441"/>
        <v>#DIV/0!</v>
      </c>
      <c r="L121" s="289"/>
      <c r="M121" s="290" t="e">
        <f t="shared" si="442"/>
        <v>#DIV/0!</v>
      </c>
      <c r="N121" s="287"/>
      <c r="O121" s="288" t="e">
        <f t="shared" si="448"/>
        <v>#DIV/0!</v>
      </c>
      <c r="P121" s="289"/>
      <c r="Q121" s="290" t="e">
        <f t="shared" si="449"/>
        <v>#DIV/0!</v>
      </c>
      <c r="R121" s="287"/>
      <c r="S121" s="288" t="e">
        <f>R121/E121</f>
        <v>#DIV/0!</v>
      </c>
      <c r="T121" s="287"/>
      <c r="U121" s="288" t="e">
        <f t="shared" si="450"/>
        <v>#DIV/0!</v>
      </c>
      <c r="V121" s="289"/>
      <c r="W121" s="290" t="e">
        <f t="shared" si="451"/>
        <v>#DIV/0!</v>
      </c>
      <c r="X121" s="287"/>
      <c r="Y121" s="313" t="e">
        <f t="shared" si="452"/>
        <v>#DIV/0!</v>
      </c>
      <c r="Z121" s="289"/>
      <c r="AA121" s="363" t="e">
        <f t="shared" si="453"/>
        <v>#DIV/0!</v>
      </c>
      <c r="AB121" s="287"/>
      <c r="AC121" s="313" t="e">
        <f t="shared" si="454"/>
        <v>#DIV/0!</v>
      </c>
      <c r="AD121" s="289"/>
      <c r="AE121" s="363" t="e">
        <f t="shared" si="455"/>
        <v>#DIV/0!</v>
      </c>
      <c r="AF121" s="323" t="e">
        <f t="shared" si="456"/>
        <v>#DIV/0!</v>
      </c>
      <c r="AG121" s="81">
        <v>0</v>
      </c>
      <c r="AH121" s="81"/>
      <c r="AI121" s="84">
        <f t="shared" si="437"/>
        <v>0</v>
      </c>
      <c r="AJ121" s="85"/>
      <c r="AK121" s="84">
        <f>D121-AG121-AI121</f>
        <v>0</v>
      </c>
      <c r="AL121" s="81"/>
      <c r="AM121" s="84">
        <f>D121-AG121-AI121-AK121</f>
        <v>0</v>
      </c>
      <c r="AN121" s="85"/>
      <c r="AO121" s="84">
        <f>D121-AG121-AI121-AK121-AM121</f>
        <v>0</v>
      </c>
      <c r="AP121" s="81"/>
      <c r="AQ121" s="84">
        <f>D121-AG121-AI121-AK121-AM121-AO121</f>
        <v>0</v>
      </c>
      <c r="AR121" s="85"/>
      <c r="AS121" s="84">
        <f t="shared" si="426"/>
        <v>0</v>
      </c>
      <c r="AT121" s="85"/>
      <c r="AU121" s="84">
        <f t="shared" si="427"/>
        <v>0</v>
      </c>
      <c r="AV121" s="85"/>
      <c r="AW121" s="84">
        <f t="shared" si="428"/>
        <v>0</v>
      </c>
      <c r="AX121" s="85"/>
      <c r="AY121" s="84">
        <f t="shared" si="429"/>
        <v>0</v>
      </c>
      <c r="AZ121" s="85"/>
      <c r="BA121" s="84">
        <f t="shared" si="307"/>
        <v>0</v>
      </c>
      <c r="BB121" s="85"/>
      <c r="BC121" s="84">
        <f t="shared" si="308"/>
        <v>0</v>
      </c>
      <c r="BD121" s="81"/>
      <c r="BE121" s="214">
        <f t="shared" si="309"/>
        <v>0</v>
      </c>
    </row>
    <row r="122" spans="1:57" x14ac:dyDescent="0.35">
      <c r="A122" s="353"/>
      <c r="B122" s="180"/>
      <c r="C122" s="83">
        <f>'2021-22'!AU15</f>
        <v>0</v>
      </c>
      <c r="D122" s="142">
        <f>'2022-23'!AW58</f>
        <v>0</v>
      </c>
      <c r="E122" s="304">
        <f>D122</f>
        <v>0</v>
      </c>
      <c r="F122" s="289">
        <v>864</v>
      </c>
      <c r="G122" s="363" t="e">
        <f t="shared" ref="G122" si="457">F122/E122</f>
        <v>#DIV/0!</v>
      </c>
      <c r="H122" s="287"/>
      <c r="I122" s="313" t="e">
        <f t="shared" ref="I122" si="458">H122/E122</f>
        <v>#DIV/0!</v>
      </c>
      <c r="J122" s="287"/>
      <c r="K122" s="288" t="e">
        <f t="shared" si="441"/>
        <v>#DIV/0!</v>
      </c>
      <c r="L122" s="289"/>
      <c r="M122" s="290" t="e">
        <f t="shared" si="442"/>
        <v>#DIV/0!</v>
      </c>
      <c r="N122" s="287"/>
      <c r="O122" s="288" t="e">
        <f t="shared" si="443"/>
        <v>#DIV/0!</v>
      </c>
      <c r="P122" s="289"/>
      <c r="Q122" s="290" t="e">
        <f t="shared" si="444"/>
        <v>#DIV/0!</v>
      </c>
      <c r="R122" s="287"/>
      <c r="S122" s="288" t="e">
        <f t="shared" ref="S122" si="459">R122/E122</f>
        <v>#DIV/0!</v>
      </c>
      <c r="T122" s="287"/>
      <c r="U122" s="288" t="e">
        <f t="shared" si="445"/>
        <v>#DIV/0!</v>
      </c>
      <c r="V122" s="289"/>
      <c r="W122" s="290" t="e">
        <f t="shared" si="446"/>
        <v>#DIV/0!</v>
      </c>
      <c r="X122" s="287"/>
      <c r="Y122" s="313" t="e">
        <f t="shared" si="447"/>
        <v>#DIV/0!</v>
      </c>
      <c r="Z122" s="289"/>
      <c r="AA122" s="363" t="e">
        <f t="shared" ref="AA122" si="460">Z122/E122</f>
        <v>#DIV/0!</v>
      </c>
      <c r="AB122" s="287"/>
      <c r="AC122" s="313" t="e">
        <f t="shared" ref="AC122" si="461">AB122/E122</f>
        <v>#DIV/0!</v>
      </c>
      <c r="AD122" s="289"/>
      <c r="AE122" s="363" t="e">
        <f t="shared" ref="AE122" si="462">AD122/E122</f>
        <v>#DIV/0!</v>
      </c>
      <c r="AF122" s="323" t="e">
        <f t="shared" ref="AF122" si="463">K122+M122+O122+Q122+S122+U122+W122+Y122+AA122+AC122+G122+I122+AE122</f>
        <v>#DIV/0!</v>
      </c>
      <c r="AG122" s="81">
        <v>0</v>
      </c>
      <c r="AH122" s="81"/>
      <c r="AI122" s="84">
        <f t="shared" ref="AI122" si="464">D122-AG122</f>
        <v>0</v>
      </c>
      <c r="AJ122" s="85"/>
      <c r="AK122" s="84">
        <f t="shared" si="438"/>
        <v>0</v>
      </c>
      <c r="AL122" s="81"/>
      <c r="AM122" s="84">
        <f t="shared" ref="AM122" si="465">D122-AG122-AI122-AK122</f>
        <v>0</v>
      </c>
      <c r="AN122" s="85"/>
      <c r="AO122" s="84">
        <f t="shared" ref="AO122" si="466">D122-AG122-AI122-AK122-AM122</f>
        <v>0</v>
      </c>
      <c r="AP122" s="81"/>
      <c r="AQ122" s="84">
        <f t="shared" ref="AQ122" si="467">D122-AG122-AI122-AK122-AM122-AO122</f>
        <v>0</v>
      </c>
      <c r="AR122" s="85"/>
      <c r="AS122" s="84">
        <f t="shared" ref="AS122" si="468">D122-AG122-AI122-AK122-AM122-AO122-AQ122</f>
        <v>0</v>
      </c>
      <c r="AT122" s="85"/>
      <c r="AU122" s="84">
        <f t="shared" ref="AU122" si="469">D122-AG122-AI122-AK122-AM122-AO122-AQ122-AS122</f>
        <v>0</v>
      </c>
      <c r="AV122" s="85"/>
      <c r="AW122" s="84">
        <f t="shared" ref="AW122" si="470">D122-AG122-AI122-AK122-AM122-AO122-AQ122-AS122-AU122</f>
        <v>0</v>
      </c>
      <c r="AX122" s="85"/>
      <c r="AY122" s="84">
        <f t="shared" ref="AY122" si="471">D122-AG122-AI122-AK122-AM122-AO122-AQ122-AS122-AU122-AW122</f>
        <v>0</v>
      </c>
      <c r="AZ122" s="85"/>
      <c r="BA122" s="84">
        <f t="shared" ref="BA122" si="472">D122-AG122-AI122-AK122-AM122-AO122-AQ122-AS122-AU122-AW122-AY122</f>
        <v>0</v>
      </c>
      <c r="BB122" s="85"/>
      <c r="BC122" s="84">
        <f t="shared" ref="BC122" si="473">D122-AG122-AI122-AK122-AM122-AO122-AQ122-AS122-AU122-AW122-AY122-BA122</f>
        <v>0</v>
      </c>
      <c r="BD122" s="81"/>
      <c r="BE122" s="214">
        <f t="shared" ref="BE122" si="474">D122-AG122-AI122-AK122-AM122-AO122-AQ122-AS122-AU122-AW122-AY122-BA122-BC122</f>
        <v>0</v>
      </c>
    </row>
    <row r="123" spans="1:57" x14ac:dyDescent="0.35">
      <c r="A123" s="150" t="s">
        <v>646</v>
      </c>
      <c r="B123" s="180"/>
      <c r="C123" s="83">
        <f>30624.64+27221.53+11831.9</f>
        <v>69678.069999999992</v>
      </c>
      <c r="D123" s="142">
        <v>69678</v>
      </c>
      <c r="E123" s="304">
        <v>69678</v>
      </c>
      <c r="F123" s="289"/>
      <c r="G123" s="363">
        <f>F123/E123</f>
        <v>0</v>
      </c>
      <c r="H123" s="287"/>
      <c r="I123" s="313">
        <f>H123/E123</f>
        <v>0</v>
      </c>
      <c r="J123" s="287"/>
      <c r="K123" s="288">
        <f>J123/E123</f>
        <v>0</v>
      </c>
      <c r="L123" s="289"/>
      <c r="M123" s="290">
        <f>L123/E123</f>
        <v>0</v>
      </c>
      <c r="N123" s="287"/>
      <c r="O123" s="288">
        <f>N123/E123</f>
        <v>0</v>
      </c>
      <c r="P123" s="289"/>
      <c r="Q123" s="290">
        <f>P123/E123</f>
        <v>0</v>
      </c>
      <c r="R123" s="287"/>
      <c r="S123" s="288">
        <f>R123/E123</f>
        <v>0</v>
      </c>
      <c r="T123" s="287"/>
      <c r="U123" s="288">
        <f>T123/E123</f>
        <v>0</v>
      </c>
      <c r="V123" s="289"/>
      <c r="W123" s="290">
        <f>V123/E123</f>
        <v>0</v>
      </c>
      <c r="X123" s="287"/>
      <c r="Y123" s="313">
        <f>X123/E123</f>
        <v>0</v>
      </c>
      <c r="Z123" s="289"/>
      <c r="AA123" s="363">
        <f>Z123/E123</f>
        <v>0</v>
      </c>
      <c r="AB123" s="287"/>
      <c r="AC123" s="313">
        <f>AB123/E123</f>
        <v>0</v>
      </c>
      <c r="AD123" s="289"/>
      <c r="AE123" s="363">
        <f>AD123/E123</f>
        <v>0</v>
      </c>
      <c r="AF123" s="323">
        <f>K123+M123+O123+Q123+S123+U123+W123+Y123+AA123+AC123+G123+I123+AE123</f>
        <v>0</v>
      </c>
      <c r="AG123" s="81">
        <v>0</v>
      </c>
      <c r="AH123" s="81"/>
      <c r="AI123" s="84">
        <v>0</v>
      </c>
      <c r="AJ123" s="85"/>
      <c r="AK123" s="84">
        <v>0</v>
      </c>
      <c r="AL123" s="81"/>
      <c r="AM123" s="84">
        <v>0</v>
      </c>
      <c r="AN123" s="85"/>
      <c r="AO123" s="84">
        <v>0</v>
      </c>
      <c r="AP123" s="81"/>
      <c r="AQ123" s="84">
        <v>0</v>
      </c>
      <c r="AR123" s="85"/>
      <c r="AS123" s="84">
        <v>0</v>
      </c>
      <c r="AT123" s="85"/>
      <c r="AU123" s="84">
        <v>0</v>
      </c>
      <c r="AV123" s="85"/>
      <c r="AW123" s="84">
        <v>0</v>
      </c>
      <c r="AX123" s="85"/>
      <c r="AY123" s="84"/>
      <c r="AZ123" s="85"/>
      <c r="BA123" s="84">
        <v>0</v>
      </c>
      <c r="BB123" s="85"/>
      <c r="BC123" s="84">
        <v>0</v>
      </c>
      <c r="BD123" s="81"/>
      <c r="BE123" s="214">
        <f>D123-AG123-AI123-AK123-AM123-AO123-AQ123-AS123-AU123-AW123-AY123-BA123-BC123</f>
        <v>69678</v>
      </c>
    </row>
    <row r="124" spans="1:57" x14ac:dyDescent="0.35">
      <c r="A124" s="150" t="s">
        <v>649</v>
      </c>
      <c r="B124" s="180"/>
      <c r="C124" s="83">
        <v>56022</v>
      </c>
      <c r="D124" s="107">
        <f xml:space="preserve"> 50185+5836.56</f>
        <v>56021.56</v>
      </c>
      <c r="E124" s="304">
        <v>56022</v>
      </c>
      <c r="F124" s="289"/>
      <c r="G124" s="363">
        <f t="shared" si="291"/>
        <v>0</v>
      </c>
      <c r="H124" s="287"/>
      <c r="I124" s="313">
        <f t="shared" si="292"/>
        <v>0</v>
      </c>
      <c r="J124" s="287"/>
      <c r="K124" s="288">
        <f t="shared" si="359"/>
        <v>0</v>
      </c>
      <c r="L124" s="289"/>
      <c r="M124" s="290">
        <f t="shared" si="360"/>
        <v>0</v>
      </c>
      <c r="N124" s="287"/>
      <c r="O124" s="288">
        <f t="shared" si="361"/>
        <v>0</v>
      </c>
      <c r="P124" s="289"/>
      <c r="Q124" s="290">
        <f t="shared" si="362"/>
        <v>0</v>
      </c>
      <c r="R124" s="287">
        <v>44134</v>
      </c>
      <c r="S124" s="288">
        <f t="shared" si="52"/>
        <v>0.7877976509228517</v>
      </c>
      <c r="T124" s="287"/>
      <c r="U124" s="288">
        <f t="shared" si="363"/>
        <v>0</v>
      </c>
      <c r="V124" s="289">
        <f>10948-4897+5836.56</f>
        <v>11887.560000000001</v>
      </c>
      <c r="W124" s="290">
        <f t="shared" si="364"/>
        <v>0.21219449501981366</v>
      </c>
      <c r="X124" s="287"/>
      <c r="Y124" s="313">
        <f t="shared" si="365"/>
        <v>0</v>
      </c>
      <c r="Z124" s="289"/>
      <c r="AA124" s="363">
        <f t="shared" si="299"/>
        <v>0</v>
      </c>
      <c r="AB124" s="287"/>
      <c r="AC124" s="313">
        <f t="shared" si="300"/>
        <v>0</v>
      </c>
      <c r="AD124" s="289"/>
      <c r="AE124" s="363">
        <f t="shared" si="301"/>
        <v>0</v>
      </c>
      <c r="AF124" s="323">
        <f t="shared" si="302"/>
        <v>0.99999214594266539</v>
      </c>
      <c r="AG124" s="195">
        <f>6050.61+26016.17</f>
        <v>32066.78</v>
      </c>
      <c r="AH124" s="195">
        <f>AG124</f>
        <v>32066.78</v>
      </c>
      <c r="AI124" s="84">
        <v>0</v>
      </c>
      <c r="AJ124" s="85"/>
      <c r="AK124" s="84">
        <v>0</v>
      </c>
      <c r="AL124" s="81"/>
      <c r="AM124" s="50">
        <v>0</v>
      </c>
      <c r="AN124" s="85"/>
      <c r="AO124" s="84">
        <v>0</v>
      </c>
      <c r="AP124" s="81"/>
      <c r="AQ124" s="230">
        <v>18118</v>
      </c>
      <c r="AR124" s="231">
        <v>18118</v>
      </c>
      <c r="AS124" s="230">
        <f t="shared" si="426"/>
        <v>5836.7799999999988</v>
      </c>
      <c r="AT124" s="65">
        <v>5837</v>
      </c>
      <c r="AU124" s="84">
        <f t="shared" si="427"/>
        <v>0</v>
      </c>
      <c r="AV124" s="85"/>
      <c r="AW124" s="84">
        <f t="shared" si="428"/>
        <v>0</v>
      </c>
      <c r="AX124" s="85"/>
      <c r="AY124" s="84">
        <f t="shared" si="429"/>
        <v>0</v>
      </c>
      <c r="AZ124" s="85"/>
      <c r="BA124" s="84">
        <f t="shared" si="307"/>
        <v>0</v>
      </c>
      <c r="BB124" s="85"/>
      <c r="BC124" s="84">
        <f t="shared" si="308"/>
        <v>0</v>
      </c>
      <c r="BD124" s="81"/>
      <c r="BE124" s="214">
        <f t="shared" si="309"/>
        <v>0</v>
      </c>
    </row>
    <row r="125" spans="1:57" x14ac:dyDescent="0.35">
      <c r="A125" s="150" t="s">
        <v>645</v>
      </c>
      <c r="B125" s="180"/>
      <c r="C125" s="83">
        <v>24553</v>
      </c>
      <c r="D125" s="107">
        <f>'2022-23'!AW30</f>
        <v>24176.71</v>
      </c>
      <c r="E125" s="304">
        <v>24553</v>
      </c>
      <c r="F125" s="289"/>
      <c r="G125" s="363">
        <f t="shared" si="291"/>
        <v>0</v>
      </c>
      <c r="H125" s="287"/>
      <c r="I125" s="313">
        <f t="shared" si="292"/>
        <v>0</v>
      </c>
      <c r="J125" s="287"/>
      <c r="K125" s="288">
        <f>J125/E125</f>
        <v>0</v>
      </c>
      <c r="L125" s="289"/>
      <c r="M125" s="290">
        <f>L125/E125</f>
        <v>0</v>
      </c>
      <c r="N125" s="287"/>
      <c r="O125" s="288">
        <f>N125/E125</f>
        <v>0</v>
      </c>
      <c r="P125" s="289"/>
      <c r="Q125" s="290">
        <f>P125/E125</f>
        <v>0</v>
      </c>
      <c r="R125" s="287"/>
      <c r="S125" s="288">
        <f t="shared" si="52"/>
        <v>0</v>
      </c>
      <c r="T125" s="287">
        <v>24553</v>
      </c>
      <c r="U125" s="288">
        <f>T125/E125</f>
        <v>1</v>
      </c>
      <c r="V125" s="289"/>
      <c r="W125" s="290">
        <f>V125/E125</f>
        <v>0</v>
      </c>
      <c r="X125" s="287"/>
      <c r="Y125" s="313">
        <f>X125/E125</f>
        <v>0</v>
      </c>
      <c r="Z125" s="289"/>
      <c r="AA125" s="363">
        <f t="shared" si="299"/>
        <v>0</v>
      </c>
      <c r="AB125" s="287"/>
      <c r="AC125" s="313">
        <f t="shared" si="300"/>
        <v>0</v>
      </c>
      <c r="AD125" s="289"/>
      <c r="AE125" s="363">
        <f t="shared" si="301"/>
        <v>0</v>
      </c>
      <c r="AF125" s="323">
        <f t="shared" si="302"/>
        <v>1</v>
      </c>
      <c r="AG125" s="195">
        <v>10110.41</v>
      </c>
      <c r="AH125" s="195">
        <v>10110.41</v>
      </c>
      <c r="AI125" s="230">
        <f>AJ125</f>
        <v>1561.94</v>
      </c>
      <c r="AJ125" s="231">
        <f>1561.94</f>
        <v>1561.94</v>
      </c>
      <c r="AK125" s="84">
        <v>0</v>
      </c>
      <c r="AL125" s="81"/>
      <c r="AM125" s="230">
        <f>AN125</f>
        <v>12503.869999999999</v>
      </c>
      <c r="AN125" s="231">
        <f>8009.66+4494.21</f>
        <v>12503.869999999999</v>
      </c>
      <c r="AO125" s="84">
        <f t="shared" si="440"/>
        <v>0.48999999999978172</v>
      </c>
      <c r="AP125" s="81"/>
      <c r="AQ125" s="84">
        <f t="shared" si="425"/>
        <v>0</v>
      </c>
      <c r="AR125" s="85"/>
      <c r="AS125" s="84">
        <f t="shared" si="426"/>
        <v>0</v>
      </c>
      <c r="AT125" s="85"/>
      <c r="AU125" s="84">
        <f t="shared" si="427"/>
        <v>0</v>
      </c>
      <c r="AV125" s="85"/>
      <c r="AW125" s="84">
        <f t="shared" si="428"/>
        <v>0</v>
      </c>
      <c r="AX125" s="85"/>
      <c r="AY125" s="84">
        <f t="shared" si="429"/>
        <v>0</v>
      </c>
      <c r="AZ125" s="85"/>
      <c r="BA125" s="84">
        <f t="shared" si="307"/>
        <v>0</v>
      </c>
      <c r="BB125" s="85"/>
      <c r="BC125" s="84">
        <f t="shared" si="308"/>
        <v>0</v>
      </c>
      <c r="BD125" s="81"/>
      <c r="BE125" s="214">
        <f t="shared" si="309"/>
        <v>0</v>
      </c>
    </row>
    <row r="126" spans="1:57" x14ac:dyDescent="0.35">
      <c r="A126" s="150" t="s">
        <v>647</v>
      </c>
      <c r="B126" s="180"/>
      <c r="C126" s="83">
        <v>12484</v>
      </c>
      <c r="D126" s="107">
        <f>'2022-23'!AW28</f>
        <v>4810.130000000001</v>
      </c>
      <c r="E126" s="304">
        <v>12484</v>
      </c>
      <c r="F126" s="289"/>
      <c r="G126" s="363">
        <f t="shared" si="291"/>
        <v>0</v>
      </c>
      <c r="H126" s="287"/>
      <c r="I126" s="313">
        <f t="shared" si="292"/>
        <v>0</v>
      </c>
      <c r="J126" s="287"/>
      <c r="K126" s="288">
        <f t="shared" si="359"/>
        <v>0</v>
      </c>
      <c r="L126" s="289"/>
      <c r="M126" s="290">
        <f t="shared" si="360"/>
        <v>0</v>
      </c>
      <c r="N126" s="287">
        <v>12484</v>
      </c>
      <c r="O126" s="288">
        <f t="shared" si="361"/>
        <v>1</v>
      </c>
      <c r="P126" s="289"/>
      <c r="Q126" s="290">
        <f t="shared" si="362"/>
        <v>0</v>
      </c>
      <c r="R126" s="287"/>
      <c r="S126" s="288">
        <f t="shared" si="52"/>
        <v>0</v>
      </c>
      <c r="T126" s="287"/>
      <c r="U126" s="288">
        <f t="shared" si="363"/>
        <v>0</v>
      </c>
      <c r="V126" s="289"/>
      <c r="W126" s="290">
        <f t="shared" si="364"/>
        <v>0</v>
      </c>
      <c r="X126" s="287"/>
      <c r="Y126" s="313">
        <f t="shared" si="365"/>
        <v>0</v>
      </c>
      <c r="Z126" s="289"/>
      <c r="AA126" s="363">
        <f t="shared" si="299"/>
        <v>0</v>
      </c>
      <c r="AB126" s="287"/>
      <c r="AC126" s="313">
        <f t="shared" si="300"/>
        <v>0</v>
      </c>
      <c r="AD126" s="289"/>
      <c r="AE126" s="363">
        <f t="shared" si="301"/>
        <v>0</v>
      </c>
      <c r="AF126" s="323">
        <f t="shared" si="302"/>
        <v>1</v>
      </c>
      <c r="AG126" s="81">
        <v>0</v>
      </c>
      <c r="AH126" s="81"/>
      <c r="AI126" s="84">
        <v>0</v>
      </c>
      <c r="AJ126" s="85"/>
      <c r="AK126" s="230">
        <v>4810</v>
      </c>
      <c r="AL126" s="195">
        <v>4810</v>
      </c>
      <c r="AM126" s="84">
        <f t="shared" si="439"/>
        <v>0.13000000000101863</v>
      </c>
      <c r="AN126" s="85"/>
      <c r="AO126" s="84">
        <f t="shared" si="440"/>
        <v>0</v>
      </c>
      <c r="AP126" s="81"/>
      <c r="AQ126" s="84">
        <f t="shared" si="425"/>
        <v>0</v>
      </c>
      <c r="AR126" s="85"/>
      <c r="AS126" s="84">
        <f t="shared" si="426"/>
        <v>0</v>
      </c>
      <c r="AT126" s="85"/>
      <c r="AU126" s="84">
        <f t="shared" si="427"/>
        <v>0</v>
      </c>
      <c r="AV126" s="85"/>
      <c r="AW126" s="84">
        <f t="shared" si="428"/>
        <v>0</v>
      </c>
      <c r="AX126" s="85"/>
      <c r="AY126" s="84">
        <f t="shared" si="429"/>
        <v>0</v>
      </c>
      <c r="AZ126" s="85"/>
      <c r="BA126" s="84">
        <f t="shared" si="307"/>
        <v>0</v>
      </c>
      <c r="BB126" s="85"/>
      <c r="BC126" s="84">
        <f t="shared" si="308"/>
        <v>0</v>
      </c>
      <c r="BD126" s="81"/>
      <c r="BE126" s="214">
        <f t="shared" si="309"/>
        <v>0</v>
      </c>
    </row>
    <row r="127" spans="1:57" x14ac:dyDescent="0.35">
      <c r="A127" s="353"/>
      <c r="B127" s="180"/>
      <c r="C127" s="83">
        <f>'2021-22'!AU20</f>
        <v>0</v>
      </c>
      <c r="D127" s="142">
        <f>'2022-23'!AW63</f>
        <v>0</v>
      </c>
      <c r="E127" s="304">
        <f>D127</f>
        <v>0</v>
      </c>
      <c r="F127" s="289">
        <v>864</v>
      </c>
      <c r="G127" s="363" t="e">
        <f t="shared" si="291"/>
        <v>#DIV/0!</v>
      </c>
      <c r="H127" s="287"/>
      <c r="I127" s="313" t="e">
        <f t="shared" si="292"/>
        <v>#DIV/0!</v>
      </c>
      <c r="J127" s="287"/>
      <c r="K127" s="288" t="e">
        <f t="shared" si="359"/>
        <v>#DIV/0!</v>
      </c>
      <c r="L127" s="289"/>
      <c r="M127" s="290" t="e">
        <f t="shared" si="360"/>
        <v>#DIV/0!</v>
      </c>
      <c r="N127" s="287"/>
      <c r="O127" s="288" t="e">
        <f t="shared" si="361"/>
        <v>#DIV/0!</v>
      </c>
      <c r="P127" s="289"/>
      <c r="Q127" s="290" t="e">
        <f t="shared" si="362"/>
        <v>#DIV/0!</v>
      </c>
      <c r="R127" s="287"/>
      <c r="S127" s="288" t="e">
        <f t="shared" si="52"/>
        <v>#DIV/0!</v>
      </c>
      <c r="T127" s="287"/>
      <c r="U127" s="288" t="e">
        <f t="shared" si="363"/>
        <v>#DIV/0!</v>
      </c>
      <c r="V127" s="289"/>
      <c r="W127" s="290" t="e">
        <f t="shared" si="364"/>
        <v>#DIV/0!</v>
      </c>
      <c r="X127" s="287"/>
      <c r="Y127" s="313" t="e">
        <f t="shared" si="365"/>
        <v>#DIV/0!</v>
      </c>
      <c r="Z127" s="289"/>
      <c r="AA127" s="363" t="e">
        <f t="shared" si="299"/>
        <v>#DIV/0!</v>
      </c>
      <c r="AB127" s="287"/>
      <c r="AC127" s="313" t="e">
        <f t="shared" si="300"/>
        <v>#DIV/0!</v>
      </c>
      <c r="AD127" s="289"/>
      <c r="AE127" s="363" t="e">
        <f t="shared" si="301"/>
        <v>#DIV/0!</v>
      </c>
      <c r="AF127" s="323" t="e">
        <f t="shared" si="302"/>
        <v>#DIV/0!</v>
      </c>
      <c r="AG127" s="81">
        <v>0</v>
      </c>
      <c r="AH127" s="81"/>
      <c r="AI127" s="84">
        <f t="shared" ref="AI127:AI142" si="475">D127-AG127</f>
        <v>0</v>
      </c>
      <c r="AJ127" s="85"/>
      <c r="AK127" s="84">
        <f t="shared" ref="AK127:AK142" si="476">D127-AG127-AI127</f>
        <v>0</v>
      </c>
      <c r="AL127" s="81"/>
      <c r="AM127" s="84">
        <f t="shared" si="439"/>
        <v>0</v>
      </c>
      <c r="AN127" s="85"/>
      <c r="AO127" s="84">
        <f t="shared" si="440"/>
        <v>0</v>
      </c>
      <c r="AP127" s="81"/>
      <c r="AQ127" s="84">
        <f t="shared" si="425"/>
        <v>0</v>
      </c>
      <c r="AR127" s="85"/>
      <c r="AS127" s="84">
        <f t="shared" si="426"/>
        <v>0</v>
      </c>
      <c r="AT127" s="85"/>
      <c r="AU127" s="84">
        <f t="shared" si="427"/>
        <v>0</v>
      </c>
      <c r="AV127" s="85"/>
      <c r="AW127" s="84">
        <f t="shared" si="428"/>
        <v>0</v>
      </c>
      <c r="AX127" s="85"/>
      <c r="AY127" s="84">
        <f t="shared" si="429"/>
        <v>0</v>
      </c>
      <c r="AZ127" s="85"/>
      <c r="BA127" s="84">
        <f t="shared" si="307"/>
        <v>0</v>
      </c>
      <c r="BB127" s="85"/>
      <c r="BC127" s="84">
        <f t="shared" si="308"/>
        <v>0</v>
      </c>
      <c r="BD127" s="81"/>
      <c r="BE127" s="214">
        <f t="shared" si="309"/>
        <v>0</v>
      </c>
    </row>
    <row r="128" spans="1:57" x14ac:dyDescent="0.35">
      <c r="A128" s="159"/>
      <c r="B128" s="180"/>
      <c r="C128" s="83">
        <f>'2021-22'!AU32</f>
        <v>0</v>
      </c>
      <c r="D128" s="142">
        <f>'2022-23'!AW73</f>
        <v>0</v>
      </c>
      <c r="E128" s="304"/>
      <c r="F128" s="289"/>
      <c r="G128" s="363" t="e">
        <f t="shared" si="291"/>
        <v>#DIV/0!</v>
      </c>
      <c r="H128" s="287"/>
      <c r="I128" s="313" t="e">
        <f t="shared" si="292"/>
        <v>#DIV/0!</v>
      </c>
      <c r="J128" s="287"/>
      <c r="K128" s="288" t="e">
        <f t="shared" si="359"/>
        <v>#DIV/0!</v>
      </c>
      <c r="L128" s="289"/>
      <c r="M128" s="290" t="e">
        <f t="shared" si="360"/>
        <v>#DIV/0!</v>
      </c>
      <c r="N128" s="287"/>
      <c r="O128" s="288" t="e">
        <f t="shared" si="361"/>
        <v>#DIV/0!</v>
      </c>
      <c r="P128" s="289"/>
      <c r="Q128" s="290" t="e">
        <f t="shared" si="362"/>
        <v>#DIV/0!</v>
      </c>
      <c r="R128" s="287"/>
      <c r="S128" s="288" t="e">
        <f t="shared" si="52"/>
        <v>#DIV/0!</v>
      </c>
      <c r="T128" s="287"/>
      <c r="U128" s="288" t="e">
        <f t="shared" si="363"/>
        <v>#DIV/0!</v>
      </c>
      <c r="V128" s="289"/>
      <c r="W128" s="290" t="e">
        <f t="shared" si="364"/>
        <v>#DIV/0!</v>
      </c>
      <c r="X128" s="287"/>
      <c r="Y128" s="313" t="e">
        <f t="shared" si="365"/>
        <v>#DIV/0!</v>
      </c>
      <c r="Z128" s="289"/>
      <c r="AA128" s="363" t="e">
        <f t="shared" si="299"/>
        <v>#DIV/0!</v>
      </c>
      <c r="AB128" s="287"/>
      <c r="AC128" s="313" t="e">
        <f t="shared" si="300"/>
        <v>#DIV/0!</v>
      </c>
      <c r="AD128" s="289"/>
      <c r="AE128" s="363" t="e">
        <f t="shared" si="301"/>
        <v>#DIV/0!</v>
      </c>
      <c r="AF128" s="323" t="e">
        <f t="shared" si="302"/>
        <v>#DIV/0!</v>
      </c>
      <c r="AG128" s="81">
        <v>0</v>
      </c>
      <c r="AH128" s="81"/>
      <c r="AI128" s="84">
        <f t="shared" si="475"/>
        <v>0</v>
      </c>
      <c r="AJ128" s="85"/>
      <c r="AK128" s="84">
        <f t="shared" si="476"/>
        <v>0</v>
      </c>
      <c r="AL128" s="81"/>
      <c r="AM128" s="84">
        <f t="shared" si="439"/>
        <v>0</v>
      </c>
      <c r="AN128" s="85"/>
      <c r="AO128" s="84">
        <f t="shared" si="440"/>
        <v>0</v>
      </c>
      <c r="AP128" s="81"/>
      <c r="AQ128" s="84">
        <f t="shared" si="425"/>
        <v>0</v>
      </c>
      <c r="AR128" s="85"/>
      <c r="AS128" s="84">
        <f t="shared" si="426"/>
        <v>0</v>
      </c>
      <c r="AT128" s="85"/>
      <c r="AU128" s="84">
        <f t="shared" si="427"/>
        <v>0</v>
      </c>
      <c r="AV128" s="85"/>
      <c r="AW128" s="84">
        <f t="shared" si="428"/>
        <v>0</v>
      </c>
      <c r="AX128" s="85"/>
      <c r="AY128" s="84">
        <f t="shared" si="429"/>
        <v>0</v>
      </c>
      <c r="AZ128" s="85"/>
      <c r="BA128" s="84">
        <f t="shared" si="307"/>
        <v>0</v>
      </c>
      <c r="BB128" s="85"/>
      <c r="BC128" s="84">
        <f t="shared" si="308"/>
        <v>0</v>
      </c>
      <c r="BD128" s="81"/>
      <c r="BE128" s="214">
        <f t="shared" si="309"/>
        <v>0</v>
      </c>
    </row>
    <row r="129" spans="1:57" x14ac:dyDescent="0.35">
      <c r="A129" s="353"/>
      <c r="B129" s="180"/>
      <c r="C129" s="83">
        <f>'2021-22'!AU77</f>
        <v>0</v>
      </c>
      <c r="D129" s="142">
        <f>'2022-23'!AW87</f>
        <v>0</v>
      </c>
      <c r="E129" s="304"/>
      <c r="F129" s="289"/>
      <c r="G129" s="363" t="e">
        <f t="shared" si="291"/>
        <v>#DIV/0!</v>
      </c>
      <c r="H129" s="287"/>
      <c r="I129" s="313" t="e">
        <f t="shared" si="292"/>
        <v>#DIV/0!</v>
      </c>
      <c r="J129" s="287"/>
      <c r="K129" s="288" t="e">
        <f t="shared" ref="K129:K177" si="477">J129/E129</f>
        <v>#DIV/0!</v>
      </c>
      <c r="L129" s="289"/>
      <c r="M129" s="290" t="e">
        <f t="shared" ref="M129:M177" si="478">L129/E129</f>
        <v>#DIV/0!</v>
      </c>
      <c r="N129" s="287"/>
      <c r="O129" s="288" t="e">
        <f t="shared" ref="O129:O177" si="479">N129/E129</f>
        <v>#DIV/0!</v>
      </c>
      <c r="P129" s="289"/>
      <c r="Q129" s="290" t="e">
        <f t="shared" ref="Q129:Q177" si="480">P129/E129</f>
        <v>#DIV/0!</v>
      </c>
      <c r="R129" s="287"/>
      <c r="S129" s="288" t="e">
        <f t="shared" si="52"/>
        <v>#DIV/0!</v>
      </c>
      <c r="T129" s="287"/>
      <c r="U129" s="288" t="e">
        <f t="shared" ref="U129:U177" si="481">T129/E129</f>
        <v>#DIV/0!</v>
      </c>
      <c r="V129" s="289"/>
      <c r="W129" s="290" t="e">
        <f t="shared" ref="W129:W177" si="482">V129/E129</f>
        <v>#DIV/0!</v>
      </c>
      <c r="X129" s="287"/>
      <c r="Y129" s="313" t="e">
        <f t="shared" ref="Y129:Y177" si="483">X129/E129</f>
        <v>#DIV/0!</v>
      </c>
      <c r="Z129" s="289"/>
      <c r="AA129" s="363" t="e">
        <f t="shared" si="299"/>
        <v>#DIV/0!</v>
      </c>
      <c r="AB129" s="287"/>
      <c r="AC129" s="313" t="e">
        <f t="shared" si="300"/>
        <v>#DIV/0!</v>
      </c>
      <c r="AD129" s="289"/>
      <c r="AE129" s="363" t="e">
        <f t="shared" si="301"/>
        <v>#DIV/0!</v>
      </c>
      <c r="AF129" s="323" t="e">
        <f t="shared" si="302"/>
        <v>#DIV/0!</v>
      </c>
      <c r="AG129" s="81">
        <v>0</v>
      </c>
      <c r="AH129" s="81"/>
      <c r="AI129" s="84">
        <f t="shared" si="475"/>
        <v>0</v>
      </c>
      <c r="AJ129" s="85"/>
      <c r="AK129" s="84">
        <f t="shared" si="476"/>
        <v>0</v>
      </c>
      <c r="AL129" s="81"/>
      <c r="AM129" s="84">
        <f t="shared" si="439"/>
        <v>0</v>
      </c>
      <c r="AN129" s="85"/>
      <c r="AO129" s="84">
        <f t="shared" si="440"/>
        <v>0</v>
      </c>
      <c r="AP129" s="81"/>
      <c r="AQ129" s="84">
        <f t="shared" si="425"/>
        <v>0</v>
      </c>
      <c r="AR129" s="85"/>
      <c r="AS129" s="84">
        <f t="shared" si="426"/>
        <v>0</v>
      </c>
      <c r="AT129" s="85"/>
      <c r="AU129" s="84">
        <f t="shared" si="427"/>
        <v>0</v>
      </c>
      <c r="AV129" s="85"/>
      <c r="AW129" s="84">
        <f t="shared" si="428"/>
        <v>0</v>
      </c>
      <c r="AX129" s="85"/>
      <c r="AY129" s="84">
        <f t="shared" si="429"/>
        <v>0</v>
      </c>
      <c r="AZ129" s="85"/>
      <c r="BA129" s="84">
        <f t="shared" si="307"/>
        <v>0</v>
      </c>
      <c r="BB129" s="85"/>
      <c r="BC129" s="84">
        <f t="shared" si="308"/>
        <v>0</v>
      </c>
      <c r="BD129" s="81"/>
      <c r="BE129" s="214">
        <f t="shared" si="309"/>
        <v>0</v>
      </c>
    </row>
    <row r="130" spans="1:57" ht="13.9" x14ac:dyDescent="0.4">
      <c r="A130" s="368" t="s">
        <v>673</v>
      </c>
      <c r="B130" s="369"/>
      <c r="C130" s="370"/>
      <c r="D130" s="371"/>
      <c r="E130" s="304"/>
      <c r="F130" s="289"/>
      <c r="G130" s="363" t="e">
        <f t="shared" ref="G130:G138" si="484">F130/E130</f>
        <v>#DIV/0!</v>
      </c>
      <c r="H130" s="287"/>
      <c r="I130" s="313" t="e">
        <f t="shared" ref="I130:I138" si="485">H130/E130</f>
        <v>#DIV/0!</v>
      </c>
      <c r="J130" s="287"/>
      <c r="K130" s="288" t="e">
        <f t="shared" si="477"/>
        <v>#DIV/0!</v>
      </c>
      <c r="L130" s="289"/>
      <c r="M130" s="290" t="e">
        <f t="shared" si="478"/>
        <v>#DIV/0!</v>
      </c>
      <c r="N130" s="287"/>
      <c r="O130" s="288"/>
      <c r="P130" s="289"/>
      <c r="Q130" s="290"/>
      <c r="R130" s="287"/>
      <c r="S130" s="288"/>
      <c r="T130" s="287"/>
      <c r="U130" s="288"/>
      <c r="V130" s="289"/>
      <c r="W130" s="290"/>
      <c r="X130" s="287"/>
      <c r="Y130" s="313"/>
      <c r="Z130" s="289"/>
      <c r="AA130" s="363"/>
      <c r="AB130" s="287"/>
      <c r="AC130" s="313"/>
      <c r="AD130" s="289"/>
      <c r="AE130" s="363"/>
      <c r="AF130" s="323"/>
      <c r="AG130" s="81">
        <v>0</v>
      </c>
      <c r="AH130" s="81"/>
      <c r="AI130" s="84">
        <f>D130-AG130</f>
        <v>0</v>
      </c>
      <c r="AJ130" s="85"/>
      <c r="AK130" s="84">
        <f>D130-AG130-AI130</f>
        <v>0</v>
      </c>
      <c r="AL130" s="81"/>
      <c r="AM130" s="84">
        <f>D130-AG130-AI130-AK130</f>
        <v>0</v>
      </c>
      <c r="AN130" s="85"/>
      <c r="AO130" s="84">
        <f>D130-AG130-AI130-AK130-AM130</f>
        <v>0</v>
      </c>
      <c r="AP130" s="81"/>
      <c r="AQ130" s="84">
        <f>D130-AG130-AI130-AK130-AM130-AO130</f>
        <v>0</v>
      </c>
      <c r="AR130" s="85"/>
      <c r="AS130" s="84">
        <f t="shared" ref="AS130:AS131" si="486">D130-AG130-AI130-AK130-AM130-AO130-AQ130</f>
        <v>0</v>
      </c>
      <c r="AT130" s="85"/>
      <c r="AU130" s="84">
        <f t="shared" ref="AU130:AU137" si="487">D130-AG130-AI130-AK130-AM130-AO130-AQ130-AS130</f>
        <v>0</v>
      </c>
      <c r="AV130" s="85"/>
      <c r="AW130" s="84">
        <f t="shared" ref="AW130:AW138" si="488">D130-AG130-AI130-AK130-AM130-AO130-AQ130-AS130-AU130</f>
        <v>0</v>
      </c>
      <c r="AX130" s="85"/>
      <c r="AY130" s="84">
        <f t="shared" ref="AY130:AY138" si="489">D130-AG130-AI130-AK130-AM130-AO130-AQ130-AS130-AU130-AW130</f>
        <v>0</v>
      </c>
      <c r="AZ130" s="85"/>
      <c r="BA130" s="84">
        <f t="shared" ref="BA130:BA138" si="490">D130-AG130-AI130-AK130-AM130-AO130-AQ130-AS130-AU130-AW130-AY130</f>
        <v>0</v>
      </c>
      <c r="BB130" s="85"/>
      <c r="BC130" s="84">
        <f t="shared" ref="BC130:BC138" si="491">D130-AG130-AI130-AK130-AM130-AO130-AQ130-AS130-AU130-AW130-AY130-BA130</f>
        <v>0</v>
      </c>
      <c r="BD130" s="81"/>
      <c r="BE130" s="214">
        <f t="shared" ref="BE130:BE138" si="492">D130-AG130-AI130-AK130-AM130-AO130-AQ130-AS130-AU130-AW130-AY130-BA130-BC130</f>
        <v>0</v>
      </c>
    </row>
    <row r="131" spans="1:57" x14ac:dyDescent="0.35">
      <c r="A131" s="159"/>
      <c r="B131" s="180"/>
      <c r="C131" s="83"/>
      <c r="D131" s="142"/>
      <c r="E131" s="304"/>
      <c r="F131" s="289"/>
      <c r="G131" s="363" t="e">
        <f t="shared" si="484"/>
        <v>#DIV/0!</v>
      </c>
      <c r="H131" s="287"/>
      <c r="I131" s="313" t="e">
        <f t="shared" si="485"/>
        <v>#DIV/0!</v>
      </c>
      <c r="J131" s="287"/>
      <c r="K131" s="288" t="e">
        <f t="shared" si="477"/>
        <v>#DIV/0!</v>
      </c>
      <c r="L131" s="289"/>
      <c r="M131" s="290" t="e">
        <f t="shared" si="478"/>
        <v>#DIV/0!</v>
      </c>
      <c r="N131" s="287"/>
      <c r="O131" s="288" t="e">
        <f t="shared" ref="O131:O133" si="493">N131/E131</f>
        <v>#DIV/0!</v>
      </c>
      <c r="P131" s="289"/>
      <c r="Q131" s="290" t="e">
        <f t="shared" ref="Q131:Q133" si="494">P131/E131</f>
        <v>#DIV/0!</v>
      </c>
      <c r="R131" s="287"/>
      <c r="S131" s="288" t="e">
        <f t="shared" ref="S131:S133" si="495">R131/E131</f>
        <v>#DIV/0!</v>
      </c>
      <c r="T131" s="287"/>
      <c r="U131" s="288" t="e">
        <f t="shared" ref="U131:U133" si="496">T131/E131</f>
        <v>#DIV/0!</v>
      </c>
      <c r="V131" s="289"/>
      <c r="W131" s="290" t="e">
        <f t="shared" ref="W131:W133" si="497">V131/E131</f>
        <v>#DIV/0!</v>
      </c>
      <c r="X131" s="287"/>
      <c r="Y131" s="313" t="e">
        <f t="shared" ref="Y131:Y133" si="498">X131/E131</f>
        <v>#DIV/0!</v>
      </c>
      <c r="Z131" s="289"/>
      <c r="AA131" s="363" t="e">
        <f t="shared" ref="AA131:AA133" si="499">Z131/E131</f>
        <v>#DIV/0!</v>
      </c>
      <c r="AB131" s="287"/>
      <c r="AC131" s="313" t="e">
        <f t="shared" ref="AC131:AC133" si="500">AB131/E131</f>
        <v>#DIV/0!</v>
      </c>
      <c r="AD131" s="289"/>
      <c r="AE131" s="363" t="e">
        <f t="shared" ref="AE131:AE133" si="501">AD131/E131</f>
        <v>#DIV/0!</v>
      </c>
      <c r="AF131" s="323" t="e">
        <f t="shared" ref="AF131:AF133" si="502">K131+M131+O131+Q131+S131+U131+W131+Y131+AA131+AC131+G131+I131+AE131</f>
        <v>#DIV/0!</v>
      </c>
      <c r="AG131" s="81">
        <v>0</v>
      </c>
      <c r="AH131" s="81"/>
      <c r="AI131" s="84">
        <f t="shared" ref="AI131" si="503">D131-AG131</f>
        <v>0</v>
      </c>
      <c r="AJ131" s="85"/>
      <c r="AK131" s="84">
        <f t="shared" ref="AK131" si="504">D131-AG131-AI131</f>
        <v>0</v>
      </c>
      <c r="AL131" s="81"/>
      <c r="AM131" s="84">
        <f t="shared" ref="AM131" si="505">D131-AG131-AI131-AK131</f>
        <v>0</v>
      </c>
      <c r="AN131" s="85"/>
      <c r="AO131" s="84">
        <f t="shared" ref="AO131" si="506">D131-AG131-AI131-AK131-AM131</f>
        <v>0</v>
      </c>
      <c r="AP131" s="81"/>
      <c r="AQ131" s="84">
        <f t="shared" ref="AQ131" si="507">D131-AG131-AI131-AK131-AM131-AO131</f>
        <v>0</v>
      </c>
      <c r="AR131" s="85"/>
      <c r="AS131" s="84">
        <f t="shared" si="486"/>
        <v>0</v>
      </c>
      <c r="AT131" s="85"/>
      <c r="AU131" s="84">
        <f t="shared" si="487"/>
        <v>0</v>
      </c>
      <c r="AV131" s="85"/>
      <c r="AW131" s="84">
        <f t="shared" si="488"/>
        <v>0</v>
      </c>
      <c r="AX131" s="85"/>
      <c r="AY131" s="84">
        <f t="shared" si="489"/>
        <v>0</v>
      </c>
      <c r="AZ131" s="85"/>
      <c r="BA131" s="84">
        <f t="shared" si="490"/>
        <v>0</v>
      </c>
      <c r="BB131" s="85"/>
      <c r="BC131" s="84">
        <f t="shared" si="491"/>
        <v>0</v>
      </c>
      <c r="BD131" s="81"/>
      <c r="BE131" s="214">
        <f t="shared" si="492"/>
        <v>0</v>
      </c>
    </row>
    <row r="132" spans="1:57" x14ac:dyDescent="0.35">
      <c r="A132" s="353"/>
      <c r="B132" s="180"/>
      <c r="C132" s="83"/>
      <c r="D132" s="142"/>
      <c r="E132" s="304"/>
      <c r="F132" s="289"/>
      <c r="G132" s="363" t="e">
        <f t="shared" ref="G132" si="508">F132/E132</f>
        <v>#DIV/0!</v>
      </c>
      <c r="H132" s="287"/>
      <c r="I132" s="313" t="e">
        <f t="shared" ref="I132" si="509">H132/E132</f>
        <v>#DIV/0!</v>
      </c>
      <c r="J132" s="287"/>
      <c r="K132" s="288" t="e">
        <f t="shared" ref="K132" si="510">J132/E132</f>
        <v>#DIV/0!</v>
      </c>
      <c r="L132" s="289"/>
      <c r="M132" s="290" t="e">
        <f t="shared" ref="M132" si="511">L132/E132</f>
        <v>#DIV/0!</v>
      </c>
      <c r="N132" s="287"/>
      <c r="O132" s="288" t="e">
        <f t="shared" ref="O132" si="512">N132/E132</f>
        <v>#DIV/0!</v>
      </c>
      <c r="P132" s="289"/>
      <c r="Q132" s="290" t="e">
        <f t="shared" ref="Q132" si="513">P132/E132</f>
        <v>#DIV/0!</v>
      </c>
      <c r="R132" s="287"/>
      <c r="S132" s="288" t="e">
        <f t="shared" ref="S132" si="514">R132/E132</f>
        <v>#DIV/0!</v>
      </c>
      <c r="T132" s="287"/>
      <c r="U132" s="288" t="e">
        <f t="shared" ref="U132" si="515">T132/E132</f>
        <v>#DIV/0!</v>
      </c>
      <c r="V132" s="289"/>
      <c r="W132" s="290" t="e">
        <f t="shared" ref="W132" si="516">V132/E132</f>
        <v>#DIV/0!</v>
      </c>
      <c r="X132" s="287"/>
      <c r="Y132" s="313" t="e">
        <f t="shared" ref="Y132" si="517">X132/E132</f>
        <v>#DIV/0!</v>
      </c>
      <c r="Z132" s="289"/>
      <c r="AA132" s="363" t="e">
        <f t="shared" ref="AA132" si="518">Z132/E132</f>
        <v>#DIV/0!</v>
      </c>
      <c r="AB132" s="287"/>
      <c r="AC132" s="313" t="e">
        <f t="shared" ref="AC132" si="519">AB132/E132</f>
        <v>#DIV/0!</v>
      </c>
      <c r="AD132" s="289"/>
      <c r="AE132" s="363" t="e">
        <f t="shared" ref="AE132" si="520">AD132/E132</f>
        <v>#DIV/0!</v>
      </c>
      <c r="AF132" s="323" t="e">
        <f t="shared" ref="AF132" si="521">K132+M132+O132+Q132+S132+U132+W132+Y132+AA132+AC132+G132+I132+AE132</f>
        <v>#DIV/0!</v>
      </c>
      <c r="AG132" s="81">
        <v>0</v>
      </c>
      <c r="AH132" s="81"/>
      <c r="AI132" s="84">
        <f>D132-AG132</f>
        <v>0</v>
      </c>
      <c r="AJ132" s="85"/>
      <c r="AK132" s="84">
        <f>D132-AG132-AI132</f>
        <v>0</v>
      </c>
      <c r="AL132" s="81"/>
      <c r="AM132" s="84">
        <f>D132-AG132-AI132-AK132</f>
        <v>0</v>
      </c>
      <c r="AN132" s="85"/>
      <c r="AO132" s="84">
        <f>D132-AG132-AI132-AK132-AM132</f>
        <v>0</v>
      </c>
      <c r="AP132" s="81"/>
      <c r="AQ132" s="84">
        <f>D132-AG132-AI132-AK132-AM132-AO132</f>
        <v>0</v>
      </c>
      <c r="AR132" s="85"/>
      <c r="AS132" s="84">
        <f t="shared" ref="AS132" si="522">D132-AG132-AI132-AK132-AM132-AO132-AQ132</f>
        <v>0</v>
      </c>
      <c r="AT132" s="85"/>
      <c r="AU132" s="84">
        <f t="shared" ref="AU132" si="523">D132-AG132-AI132-AK132-AM132-AO132-AQ132-AS132</f>
        <v>0</v>
      </c>
      <c r="AV132" s="85"/>
      <c r="AW132" s="84">
        <f t="shared" ref="AW132" si="524">D132-AG132-AI132-AK132-AM132-AO132-AQ132-AS132-AU132</f>
        <v>0</v>
      </c>
      <c r="AX132" s="85"/>
      <c r="AY132" s="84">
        <f t="shared" ref="AY132" si="525">D132-AG132-AI132-AK132-AM132-AO132-AQ132-AS132-AU132-AW132</f>
        <v>0</v>
      </c>
      <c r="AZ132" s="85"/>
      <c r="BA132" s="84">
        <f t="shared" ref="BA132" si="526">D132-AG132-AI132-AK132-AM132-AO132-AQ132-AS132-AU132-AW132-AY132</f>
        <v>0</v>
      </c>
      <c r="BB132" s="85"/>
      <c r="BC132" s="84">
        <f t="shared" ref="BC132" si="527">D132-AG132-AI132-AK132-AM132-AO132-AQ132-AS132-AU132-AW132-AY132-BA132</f>
        <v>0</v>
      </c>
      <c r="BD132" s="81"/>
      <c r="BE132" s="214">
        <f t="shared" ref="BE132" si="528">D132-AG132-AI132-AK132-AM132-AO132-AQ132-AS132-AU132-AW132-AY132-BA132-BC132</f>
        <v>0</v>
      </c>
    </row>
    <row r="133" spans="1:57" x14ac:dyDescent="0.35">
      <c r="A133" s="373" t="s">
        <v>715</v>
      </c>
      <c r="B133" s="180"/>
      <c r="C133" s="83">
        <v>23142</v>
      </c>
      <c r="D133" s="142">
        <v>23142</v>
      </c>
      <c r="E133" s="304">
        <v>23142</v>
      </c>
      <c r="F133" s="289">
        <v>260</v>
      </c>
      <c r="G133" s="363">
        <f t="shared" si="484"/>
        <v>1.1234984011753522E-2</v>
      </c>
      <c r="H133" s="287"/>
      <c r="I133" s="313">
        <f t="shared" si="485"/>
        <v>0</v>
      </c>
      <c r="J133" s="287"/>
      <c r="K133" s="288">
        <f t="shared" si="477"/>
        <v>0</v>
      </c>
      <c r="L133" s="289"/>
      <c r="M133" s="290">
        <f t="shared" si="478"/>
        <v>0</v>
      </c>
      <c r="N133" s="287"/>
      <c r="O133" s="288">
        <f t="shared" si="493"/>
        <v>0</v>
      </c>
      <c r="P133" s="289"/>
      <c r="Q133" s="290">
        <f t="shared" si="494"/>
        <v>0</v>
      </c>
      <c r="R133" s="287"/>
      <c r="S133" s="288">
        <f t="shared" si="495"/>
        <v>0</v>
      </c>
      <c r="T133" s="287"/>
      <c r="U133" s="288">
        <f t="shared" si="496"/>
        <v>0</v>
      </c>
      <c r="V133" s="289">
        <v>756.99</v>
      </c>
      <c r="W133" s="290">
        <f t="shared" si="497"/>
        <v>3.271065595022038E-2</v>
      </c>
      <c r="X133" s="287"/>
      <c r="Y133" s="313">
        <f t="shared" si="498"/>
        <v>0</v>
      </c>
      <c r="Z133" s="289"/>
      <c r="AA133" s="363">
        <f t="shared" si="499"/>
        <v>0</v>
      </c>
      <c r="AB133" s="287"/>
      <c r="AC133" s="313">
        <f t="shared" si="500"/>
        <v>0</v>
      </c>
      <c r="AD133" s="289">
        <f>3587.58+17194.77+1342.66</f>
        <v>22125.01</v>
      </c>
      <c r="AE133" s="363">
        <f t="shared" si="501"/>
        <v>0.95605436003802602</v>
      </c>
      <c r="AF133" s="323">
        <f t="shared" si="502"/>
        <v>0.99999999999999989</v>
      </c>
      <c r="AG133" s="81">
        <v>0</v>
      </c>
      <c r="AH133" s="81"/>
      <c r="AI133" s="84">
        <v>0</v>
      </c>
      <c r="AJ133" s="85"/>
      <c r="AK133" s="84">
        <v>0</v>
      </c>
      <c r="AL133" s="81"/>
      <c r="AM133" s="84">
        <v>0</v>
      </c>
      <c r="AN133" s="85"/>
      <c r="AO133" s="84">
        <v>0</v>
      </c>
      <c r="AP133" s="81"/>
      <c r="AQ133" s="84">
        <v>0</v>
      </c>
      <c r="AR133" s="85"/>
      <c r="AS133" s="84">
        <v>0</v>
      </c>
      <c r="AT133" s="85"/>
      <c r="AU133" s="84">
        <v>0</v>
      </c>
      <c r="AV133" s="85"/>
      <c r="AW133" s="84">
        <v>0</v>
      </c>
      <c r="AX133" s="85"/>
      <c r="AY133" s="84">
        <v>0</v>
      </c>
      <c r="AZ133" s="85"/>
      <c r="BA133" s="84">
        <v>0</v>
      </c>
      <c r="BB133" s="85"/>
      <c r="BC133" s="84">
        <v>0</v>
      </c>
      <c r="BD133" s="81"/>
      <c r="BE133" s="214">
        <f t="shared" si="492"/>
        <v>23142</v>
      </c>
    </row>
    <row r="134" spans="1:57" x14ac:dyDescent="0.35">
      <c r="A134" s="373" t="s">
        <v>713</v>
      </c>
      <c r="B134" s="180"/>
      <c r="C134" s="83">
        <v>10000</v>
      </c>
      <c r="D134" s="107">
        <v>10000</v>
      </c>
      <c r="E134" s="304">
        <f>D134</f>
        <v>10000</v>
      </c>
      <c r="F134" s="289"/>
      <c r="G134" s="363">
        <f t="shared" si="484"/>
        <v>0</v>
      </c>
      <c r="H134" s="287"/>
      <c r="I134" s="313">
        <f t="shared" si="485"/>
        <v>0</v>
      </c>
      <c r="J134" s="287"/>
      <c r="K134" s="288">
        <f t="shared" si="477"/>
        <v>0</v>
      </c>
      <c r="L134" s="289"/>
      <c r="M134" s="290">
        <f t="shared" si="478"/>
        <v>0</v>
      </c>
      <c r="N134" s="287"/>
      <c r="O134" s="288">
        <f t="shared" ref="O134" si="529">N134/E134</f>
        <v>0</v>
      </c>
      <c r="P134" s="289"/>
      <c r="Q134" s="290">
        <f t="shared" ref="Q134" si="530">P134/E134</f>
        <v>0</v>
      </c>
      <c r="R134" s="287"/>
      <c r="S134" s="288">
        <f t="shared" ref="S134" si="531">R134/E134</f>
        <v>0</v>
      </c>
      <c r="T134" s="287"/>
      <c r="U134" s="288">
        <f t="shared" ref="U134" si="532">T134/E134</f>
        <v>0</v>
      </c>
      <c r="V134" s="289"/>
      <c r="W134" s="290">
        <f t="shared" ref="W134" si="533">V134/E134</f>
        <v>0</v>
      </c>
      <c r="X134" s="287"/>
      <c r="Y134" s="313">
        <f t="shared" ref="Y134" si="534">X134/E134</f>
        <v>0</v>
      </c>
      <c r="Z134" s="289"/>
      <c r="AA134" s="363">
        <f t="shared" ref="AA134" si="535">Z134/E134</f>
        <v>0</v>
      </c>
      <c r="AB134" s="287"/>
      <c r="AC134" s="313">
        <f t="shared" ref="AC134" si="536">AB134/E134</f>
        <v>0</v>
      </c>
      <c r="AD134" s="289">
        <v>10000</v>
      </c>
      <c r="AE134" s="363">
        <f t="shared" ref="AE134" si="537">AD134/E134</f>
        <v>1</v>
      </c>
      <c r="AF134" s="323">
        <f t="shared" ref="AF134" si="538">K134+M134+O134+Q134+S134+U134+W134+Y134+AA134+AC134+G134+I134+AE134</f>
        <v>1</v>
      </c>
      <c r="AG134" s="81">
        <v>0</v>
      </c>
      <c r="AH134" s="81"/>
      <c r="AI134" s="84">
        <v>0</v>
      </c>
      <c r="AJ134" s="85"/>
      <c r="AK134" s="84">
        <v>0</v>
      </c>
      <c r="AL134" s="81"/>
      <c r="AM134" s="84">
        <v>0</v>
      </c>
      <c r="AN134" s="85"/>
      <c r="AO134" s="84">
        <v>0</v>
      </c>
      <c r="AP134" s="81"/>
      <c r="AQ134" s="84">
        <v>0</v>
      </c>
      <c r="AR134" s="85"/>
      <c r="AS134" s="84">
        <v>0</v>
      </c>
      <c r="AT134" s="85"/>
      <c r="AU134" s="84">
        <v>0</v>
      </c>
      <c r="AV134" s="85"/>
      <c r="AW134" s="84">
        <v>0</v>
      </c>
      <c r="AX134" s="85"/>
      <c r="AY134" s="230">
        <f t="shared" si="489"/>
        <v>10000</v>
      </c>
      <c r="AZ134" s="231">
        <v>10000</v>
      </c>
      <c r="BA134" s="84">
        <f t="shared" si="490"/>
        <v>0</v>
      </c>
      <c r="BB134" s="85"/>
      <c r="BC134" s="84">
        <f t="shared" si="491"/>
        <v>0</v>
      </c>
      <c r="BD134" s="81"/>
      <c r="BE134" s="214">
        <f t="shared" si="492"/>
        <v>0</v>
      </c>
    </row>
    <row r="135" spans="1:57" x14ac:dyDescent="0.35">
      <c r="A135" s="372" t="s">
        <v>704</v>
      </c>
      <c r="B135" s="180"/>
      <c r="C135" s="83">
        <v>56188</v>
      </c>
      <c r="D135" s="142">
        <v>56188</v>
      </c>
      <c r="E135" s="304">
        <v>56187.5</v>
      </c>
      <c r="F135" s="289"/>
      <c r="G135" s="363">
        <f t="shared" si="484"/>
        <v>0</v>
      </c>
      <c r="H135" s="287"/>
      <c r="I135" s="313">
        <f t="shared" si="485"/>
        <v>0</v>
      </c>
      <c r="J135" s="287"/>
      <c r="K135" s="288">
        <f t="shared" si="477"/>
        <v>0</v>
      </c>
      <c r="L135" s="289">
        <v>2646.46</v>
      </c>
      <c r="M135" s="290">
        <f t="shared" si="478"/>
        <v>4.7100511679644047E-2</v>
      </c>
      <c r="N135" s="287"/>
      <c r="O135" s="288">
        <f t="shared" ref="O135:O138" si="539">N135/E135</f>
        <v>0</v>
      </c>
      <c r="P135" s="289"/>
      <c r="Q135" s="290">
        <f t="shared" ref="Q135:Q138" si="540">P135/E135</f>
        <v>0</v>
      </c>
      <c r="R135" s="287"/>
      <c r="S135" s="288">
        <f>R135/E135</f>
        <v>0</v>
      </c>
      <c r="T135" s="287"/>
      <c r="U135" s="288">
        <f t="shared" ref="U135:U138" si="541">T135/E135</f>
        <v>0</v>
      </c>
      <c r="V135" s="289"/>
      <c r="W135" s="290">
        <f t="shared" ref="W135:W138" si="542">V135/E135</f>
        <v>0</v>
      </c>
      <c r="X135" s="287"/>
      <c r="Y135" s="313">
        <f t="shared" ref="Y135:Y138" si="543">X135/E135</f>
        <v>0</v>
      </c>
      <c r="Z135" s="289"/>
      <c r="AA135" s="363">
        <f t="shared" ref="AA135:AA138" si="544">Z135/E135</f>
        <v>0</v>
      </c>
      <c r="AB135" s="287"/>
      <c r="AC135" s="313">
        <f t="shared" ref="AC135:AC138" si="545">AB135/E135</f>
        <v>0</v>
      </c>
      <c r="AD135" s="289">
        <v>53541.04</v>
      </c>
      <c r="AE135" s="363">
        <f t="shared" ref="AE135:AE138" si="546">AD135/E135</f>
        <v>0.95289948832035598</v>
      </c>
      <c r="AF135" s="323">
        <f t="shared" ref="AF135:AF138" si="547">K135+M135+O135+Q135+S135+U135+W135+Y135+AA135+AC135+G135+I135+AE135</f>
        <v>1</v>
      </c>
      <c r="AG135" s="81">
        <v>0</v>
      </c>
      <c r="AH135" s="81"/>
      <c r="AI135" s="84">
        <v>0</v>
      </c>
      <c r="AJ135" s="85"/>
      <c r="AK135" s="84">
        <v>0</v>
      </c>
      <c r="AL135" s="81"/>
      <c r="AM135" s="84">
        <v>0</v>
      </c>
      <c r="AN135" s="85"/>
      <c r="AO135" s="84">
        <v>0</v>
      </c>
      <c r="AP135" s="81"/>
      <c r="AQ135" s="84">
        <v>0</v>
      </c>
      <c r="AR135" s="85"/>
      <c r="AS135" s="84">
        <v>0</v>
      </c>
      <c r="AT135" s="85"/>
      <c r="AU135" s="84">
        <v>0</v>
      </c>
      <c r="AV135" s="85"/>
      <c r="AW135" s="84">
        <v>0</v>
      </c>
      <c r="AX135" s="85"/>
      <c r="AY135" s="84">
        <v>0</v>
      </c>
      <c r="AZ135" s="85"/>
      <c r="BA135" s="84">
        <v>0</v>
      </c>
      <c r="BB135" s="85"/>
      <c r="BC135" s="84">
        <v>0</v>
      </c>
      <c r="BD135" s="81"/>
      <c r="BE135" s="214">
        <f t="shared" si="492"/>
        <v>56188</v>
      </c>
    </row>
    <row r="136" spans="1:57" x14ac:dyDescent="0.35">
      <c r="A136" s="372" t="s">
        <v>696</v>
      </c>
      <c r="B136" s="180"/>
      <c r="C136" s="83">
        <f>10283+251.28+3117.24</f>
        <v>13651.52</v>
      </c>
      <c r="D136" s="107">
        <f>C136+2298.9</f>
        <v>15950.42</v>
      </c>
      <c r="E136" s="304">
        <f>D136</f>
        <v>15950.42</v>
      </c>
      <c r="F136" s="289">
        <v>650</v>
      </c>
      <c r="G136" s="363">
        <f t="shared" si="484"/>
        <v>4.075127802277307E-2</v>
      </c>
      <c r="H136" s="287"/>
      <c r="I136" s="313">
        <f t="shared" si="485"/>
        <v>0</v>
      </c>
      <c r="J136" s="287"/>
      <c r="K136" s="288">
        <f t="shared" si="477"/>
        <v>0</v>
      </c>
      <c r="L136" s="289">
        <f>2713.25+477.46</f>
        <v>3190.71</v>
      </c>
      <c r="M136" s="290">
        <f t="shared" si="478"/>
        <v>0.20003924661544964</v>
      </c>
      <c r="N136" s="287"/>
      <c r="O136" s="288">
        <f t="shared" si="539"/>
        <v>0</v>
      </c>
      <c r="P136" s="289"/>
      <c r="Q136" s="290">
        <f t="shared" si="540"/>
        <v>0</v>
      </c>
      <c r="R136" s="287"/>
      <c r="S136" s="288">
        <f>R136/E136</f>
        <v>0</v>
      </c>
      <c r="T136" s="287"/>
      <c r="U136" s="288">
        <f t="shared" si="541"/>
        <v>0</v>
      </c>
      <c r="V136" s="289"/>
      <c r="W136" s="290">
        <f t="shared" si="542"/>
        <v>0</v>
      </c>
      <c r="X136" s="287"/>
      <c r="Y136" s="313">
        <f t="shared" si="543"/>
        <v>0</v>
      </c>
      <c r="Z136" s="289"/>
      <c r="AA136" s="363">
        <f t="shared" si="544"/>
        <v>0</v>
      </c>
      <c r="AB136" s="287"/>
      <c r="AC136" s="313">
        <f t="shared" si="545"/>
        <v>0</v>
      </c>
      <c r="AD136" s="289">
        <f>6919.5-322.21</f>
        <v>6597.29</v>
      </c>
      <c r="AE136" s="363">
        <f t="shared" si="546"/>
        <v>0.41361230613363159</v>
      </c>
      <c r="AF136" s="323">
        <f t="shared" si="547"/>
        <v>0.65440283077185435</v>
      </c>
      <c r="AG136" s="81">
        <v>0</v>
      </c>
      <c r="AH136" s="81"/>
      <c r="AI136" s="84">
        <v>0</v>
      </c>
      <c r="AJ136" s="85"/>
      <c r="AK136" s="84">
        <v>0</v>
      </c>
      <c r="AL136" s="81"/>
      <c r="AM136" s="84">
        <v>0</v>
      </c>
      <c r="AN136" s="85"/>
      <c r="AO136" s="84">
        <v>0</v>
      </c>
      <c r="AP136" s="81"/>
      <c r="AQ136" s="84">
        <v>0</v>
      </c>
      <c r="AR136" s="85"/>
      <c r="AS136" s="84">
        <v>0</v>
      </c>
      <c r="AT136" s="85"/>
      <c r="AU136" s="84">
        <v>0</v>
      </c>
      <c r="AV136" s="85"/>
      <c r="AW136" s="84">
        <v>0</v>
      </c>
      <c r="AX136" s="85"/>
      <c r="AY136" s="230">
        <f>AZ136</f>
        <v>10283.02</v>
      </c>
      <c r="AZ136" s="231">
        <v>10283.02</v>
      </c>
      <c r="BA136" s="230">
        <f>BB136</f>
        <v>2731.4100000000003</v>
      </c>
      <c r="BB136" s="231">
        <f>251.28+2480.13</f>
        <v>2731.4100000000003</v>
      </c>
      <c r="BC136" s="230">
        <f t="shared" si="491"/>
        <v>2935.9899999999993</v>
      </c>
      <c r="BD136" s="195">
        <f>2298.9+637.11</f>
        <v>2936.01</v>
      </c>
      <c r="BE136" s="214">
        <f t="shared" si="492"/>
        <v>0</v>
      </c>
    </row>
    <row r="137" spans="1:57" x14ac:dyDescent="0.35">
      <c r="A137" s="372" t="s">
        <v>692</v>
      </c>
      <c r="B137" s="180"/>
      <c r="C137" s="83">
        <v>3397.29</v>
      </c>
      <c r="D137" s="107">
        <v>3397</v>
      </c>
      <c r="E137" s="304">
        <f>C137</f>
        <v>3397.29</v>
      </c>
      <c r="F137" s="289"/>
      <c r="G137" s="363">
        <f t="shared" si="484"/>
        <v>0</v>
      </c>
      <c r="H137" s="287"/>
      <c r="I137" s="313">
        <f t="shared" si="485"/>
        <v>0</v>
      </c>
      <c r="J137" s="287"/>
      <c r="K137" s="288">
        <f t="shared" si="477"/>
        <v>0</v>
      </c>
      <c r="L137" s="289"/>
      <c r="M137" s="290">
        <f t="shared" si="478"/>
        <v>0</v>
      </c>
      <c r="N137" s="287"/>
      <c r="O137" s="288">
        <f t="shared" si="539"/>
        <v>0</v>
      </c>
      <c r="P137" s="289"/>
      <c r="Q137" s="290">
        <f t="shared" si="540"/>
        <v>0</v>
      </c>
      <c r="R137" s="287"/>
      <c r="S137" s="288">
        <f>R137/E137</f>
        <v>0</v>
      </c>
      <c r="T137" s="287"/>
      <c r="U137" s="288">
        <f t="shared" si="541"/>
        <v>0</v>
      </c>
      <c r="V137" s="289"/>
      <c r="W137" s="290">
        <f t="shared" si="542"/>
        <v>0</v>
      </c>
      <c r="X137" s="287"/>
      <c r="Y137" s="313">
        <f t="shared" si="543"/>
        <v>0</v>
      </c>
      <c r="Z137" s="289"/>
      <c r="AA137" s="363">
        <f t="shared" si="544"/>
        <v>0</v>
      </c>
      <c r="AB137" s="287"/>
      <c r="AC137" s="313">
        <f t="shared" si="545"/>
        <v>0</v>
      </c>
      <c r="AD137" s="289">
        <v>3397</v>
      </c>
      <c r="AE137" s="363">
        <f t="shared" si="546"/>
        <v>0.99991463784369305</v>
      </c>
      <c r="AF137" s="323">
        <f t="shared" si="547"/>
        <v>0.99991463784369305</v>
      </c>
      <c r="AG137" s="81">
        <v>0</v>
      </c>
      <c r="AH137" s="81"/>
      <c r="AI137" s="84">
        <v>0</v>
      </c>
      <c r="AJ137" s="85"/>
      <c r="AK137" s="84">
        <v>0</v>
      </c>
      <c r="AL137" s="81"/>
      <c r="AM137" s="84">
        <v>0</v>
      </c>
      <c r="AN137" s="85"/>
      <c r="AO137" s="84">
        <v>0</v>
      </c>
      <c r="AP137" s="81"/>
      <c r="AQ137" s="84">
        <v>0</v>
      </c>
      <c r="AR137" s="85"/>
      <c r="AS137" s="84">
        <v>0</v>
      </c>
      <c r="AT137" s="85"/>
      <c r="AU137" s="230">
        <f t="shared" si="487"/>
        <v>3397</v>
      </c>
      <c r="AV137" s="231">
        <v>3397</v>
      </c>
      <c r="AW137" s="84">
        <f t="shared" si="488"/>
        <v>0</v>
      </c>
      <c r="AX137" s="85"/>
      <c r="AY137" s="84">
        <f t="shared" si="489"/>
        <v>0</v>
      </c>
      <c r="AZ137" s="85"/>
      <c r="BA137" s="84">
        <f t="shared" si="490"/>
        <v>0</v>
      </c>
      <c r="BB137" s="85"/>
      <c r="BC137" s="84">
        <f t="shared" si="491"/>
        <v>0</v>
      </c>
      <c r="BD137" s="81"/>
      <c r="BE137" s="214">
        <f t="shared" si="492"/>
        <v>0</v>
      </c>
    </row>
    <row r="138" spans="1:57" x14ac:dyDescent="0.35">
      <c r="A138" s="372" t="s">
        <v>692</v>
      </c>
      <c r="B138" s="180"/>
      <c r="C138" s="83">
        <v>6993</v>
      </c>
      <c r="D138" s="107">
        <v>6993</v>
      </c>
      <c r="E138" s="304">
        <v>6993</v>
      </c>
      <c r="F138" s="289"/>
      <c r="G138" s="363">
        <f t="shared" si="484"/>
        <v>0</v>
      </c>
      <c r="H138" s="287"/>
      <c r="I138" s="313">
        <f t="shared" si="485"/>
        <v>0</v>
      </c>
      <c r="J138" s="287"/>
      <c r="K138" s="288">
        <f t="shared" si="477"/>
        <v>0</v>
      </c>
      <c r="L138" s="289"/>
      <c r="M138" s="290">
        <f t="shared" si="478"/>
        <v>0</v>
      </c>
      <c r="N138" s="287"/>
      <c r="O138" s="288">
        <f t="shared" si="539"/>
        <v>0</v>
      </c>
      <c r="P138" s="289"/>
      <c r="Q138" s="290">
        <f t="shared" si="540"/>
        <v>0</v>
      </c>
      <c r="R138" s="287"/>
      <c r="S138" s="288">
        <f>R138/E138</f>
        <v>0</v>
      </c>
      <c r="T138" s="287"/>
      <c r="U138" s="288">
        <f t="shared" si="541"/>
        <v>0</v>
      </c>
      <c r="V138" s="289"/>
      <c r="W138" s="290">
        <f t="shared" si="542"/>
        <v>0</v>
      </c>
      <c r="X138" s="287"/>
      <c r="Y138" s="313">
        <f t="shared" si="543"/>
        <v>0</v>
      </c>
      <c r="Z138" s="289"/>
      <c r="AA138" s="363">
        <f t="shared" si="544"/>
        <v>0</v>
      </c>
      <c r="AB138" s="287"/>
      <c r="AC138" s="313">
        <f t="shared" si="545"/>
        <v>0</v>
      </c>
      <c r="AD138" s="289">
        <v>6993</v>
      </c>
      <c r="AE138" s="363">
        <f t="shared" si="546"/>
        <v>1</v>
      </c>
      <c r="AF138" s="323">
        <f t="shared" si="547"/>
        <v>1</v>
      </c>
      <c r="AG138" s="81">
        <v>0</v>
      </c>
      <c r="AH138" s="81"/>
      <c r="AI138" s="84">
        <v>0</v>
      </c>
      <c r="AJ138" s="85"/>
      <c r="AK138" s="84">
        <v>0</v>
      </c>
      <c r="AL138" s="81"/>
      <c r="AM138" s="84">
        <v>0</v>
      </c>
      <c r="AN138" s="85"/>
      <c r="AO138" s="84">
        <v>0</v>
      </c>
      <c r="AP138" s="81"/>
      <c r="AQ138" s="84">
        <v>0</v>
      </c>
      <c r="AR138" s="85"/>
      <c r="AS138" s="84">
        <v>0</v>
      </c>
      <c r="AT138" s="85"/>
      <c r="AU138" s="230">
        <v>6993</v>
      </c>
      <c r="AV138" s="231">
        <v>6993</v>
      </c>
      <c r="AW138" s="84">
        <f t="shared" si="488"/>
        <v>0</v>
      </c>
      <c r="AX138" s="85"/>
      <c r="AY138" s="84">
        <f t="shared" si="489"/>
        <v>0</v>
      </c>
      <c r="AZ138" s="85"/>
      <c r="BA138" s="84">
        <f t="shared" si="490"/>
        <v>0</v>
      </c>
      <c r="BB138" s="85"/>
      <c r="BC138" s="84">
        <f t="shared" si="491"/>
        <v>0</v>
      </c>
      <c r="BD138" s="81"/>
      <c r="BE138" s="214">
        <f t="shared" si="492"/>
        <v>0</v>
      </c>
    </row>
    <row r="139" spans="1:57" x14ac:dyDescent="0.35">
      <c r="A139" s="367" t="s">
        <v>644</v>
      </c>
      <c r="B139" s="180"/>
      <c r="C139" s="83">
        <f>200+13137.39</f>
        <v>13337.39</v>
      </c>
      <c r="D139" s="107">
        <f>C139</f>
        <v>13337.39</v>
      </c>
      <c r="E139" s="304">
        <v>13337</v>
      </c>
      <c r="F139" s="289"/>
      <c r="G139" s="363">
        <f t="shared" si="291"/>
        <v>0</v>
      </c>
      <c r="H139" s="287"/>
      <c r="I139" s="313">
        <f t="shared" si="292"/>
        <v>0</v>
      </c>
      <c r="J139" s="287"/>
      <c r="K139" s="288">
        <f t="shared" si="477"/>
        <v>0</v>
      </c>
      <c r="L139" s="289"/>
      <c r="M139" s="290">
        <f t="shared" si="478"/>
        <v>0</v>
      </c>
      <c r="N139" s="287"/>
      <c r="O139" s="288">
        <f t="shared" si="479"/>
        <v>0</v>
      </c>
      <c r="P139" s="289"/>
      <c r="Q139" s="290">
        <f t="shared" si="480"/>
        <v>0</v>
      </c>
      <c r="R139" s="287"/>
      <c r="S139" s="288">
        <f t="shared" si="52"/>
        <v>0</v>
      </c>
      <c r="T139" s="287"/>
      <c r="U139" s="288">
        <f t="shared" si="481"/>
        <v>0</v>
      </c>
      <c r="V139" s="289"/>
      <c r="W139" s="290">
        <f t="shared" si="482"/>
        <v>0</v>
      </c>
      <c r="X139" s="287"/>
      <c r="Y139" s="313">
        <f t="shared" si="483"/>
        <v>0</v>
      </c>
      <c r="Z139" s="289"/>
      <c r="AA139" s="363">
        <f t="shared" si="299"/>
        <v>0</v>
      </c>
      <c r="AB139" s="287"/>
      <c r="AC139" s="313">
        <f t="shared" si="300"/>
        <v>0</v>
      </c>
      <c r="AD139" s="289">
        <v>13337</v>
      </c>
      <c r="AE139" s="363">
        <f t="shared" si="301"/>
        <v>1</v>
      </c>
      <c r="AF139" s="323">
        <f t="shared" si="302"/>
        <v>1</v>
      </c>
      <c r="AG139" s="81">
        <v>0</v>
      </c>
      <c r="AH139" s="81"/>
      <c r="AI139" s="84">
        <v>0</v>
      </c>
      <c r="AJ139" s="85"/>
      <c r="AK139" s="84">
        <v>0</v>
      </c>
      <c r="AL139" s="81"/>
      <c r="AM139" s="230">
        <f t="shared" si="439"/>
        <v>13337.39</v>
      </c>
      <c r="AN139" s="231">
        <f>13137.39</f>
        <v>13137.39</v>
      </c>
      <c r="AO139" s="84">
        <f t="shared" si="440"/>
        <v>0</v>
      </c>
      <c r="AP139" s="81"/>
      <c r="AQ139" s="84">
        <f t="shared" si="425"/>
        <v>0</v>
      </c>
      <c r="AR139" s="85"/>
      <c r="AS139" s="84">
        <f t="shared" si="426"/>
        <v>0</v>
      </c>
      <c r="AT139" s="85"/>
      <c r="AU139" s="84">
        <f t="shared" si="427"/>
        <v>0</v>
      </c>
      <c r="AV139" s="85"/>
      <c r="AW139" s="84">
        <f t="shared" si="428"/>
        <v>0</v>
      </c>
      <c r="AX139" s="85"/>
      <c r="AY139" s="84">
        <f t="shared" si="429"/>
        <v>0</v>
      </c>
      <c r="AZ139" s="85"/>
      <c r="BA139" s="84">
        <f t="shared" si="307"/>
        <v>0</v>
      </c>
      <c r="BB139" s="85"/>
      <c r="BC139" s="84">
        <f t="shared" si="308"/>
        <v>0</v>
      </c>
      <c r="BD139" s="81"/>
      <c r="BE139" s="214">
        <f t="shared" si="309"/>
        <v>0</v>
      </c>
    </row>
    <row r="140" spans="1:57" x14ac:dyDescent="0.35">
      <c r="A140" s="372" t="s">
        <v>703</v>
      </c>
      <c r="B140" s="180"/>
      <c r="C140" s="83">
        <f>66094+5439</f>
        <v>71533</v>
      </c>
      <c r="D140" s="142">
        <v>71533</v>
      </c>
      <c r="E140" s="304">
        <v>71533</v>
      </c>
      <c r="F140" s="289">
        <v>1625</v>
      </c>
      <c r="G140" s="363">
        <f t="shared" si="291"/>
        <v>2.271678805586233E-2</v>
      </c>
      <c r="H140" s="287"/>
      <c r="I140" s="313">
        <f t="shared" si="292"/>
        <v>0</v>
      </c>
      <c r="J140" s="287"/>
      <c r="K140" s="288">
        <f t="shared" si="477"/>
        <v>0</v>
      </c>
      <c r="L140" s="289">
        <f>14952+6678</f>
        <v>21630</v>
      </c>
      <c r="M140" s="290">
        <f t="shared" si="478"/>
        <v>0.30237792347587827</v>
      </c>
      <c r="N140" s="287"/>
      <c r="O140" s="288">
        <f t="shared" si="479"/>
        <v>0</v>
      </c>
      <c r="P140" s="289">
        <v>3597</v>
      </c>
      <c r="Q140" s="290">
        <f t="shared" si="480"/>
        <v>5.0284484084268798E-2</v>
      </c>
      <c r="R140" s="287">
        <v>3202</v>
      </c>
      <c r="S140" s="288">
        <f t="shared" si="52"/>
        <v>4.4762557141459186E-2</v>
      </c>
      <c r="T140" s="287">
        <v>4395</v>
      </c>
      <c r="U140" s="288">
        <f t="shared" si="481"/>
        <v>6.1440174464932266E-2</v>
      </c>
      <c r="V140" s="289"/>
      <c r="W140" s="290">
        <f t="shared" si="482"/>
        <v>0</v>
      </c>
      <c r="X140" s="287"/>
      <c r="Y140" s="313">
        <f t="shared" si="483"/>
        <v>0</v>
      </c>
      <c r="Z140" s="289"/>
      <c r="AA140" s="363">
        <f t="shared" si="299"/>
        <v>0</v>
      </c>
      <c r="AB140" s="287"/>
      <c r="AC140" s="313">
        <f t="shared" si="300"/>
        <v>0</v>
      </c>
      <c r="AD140" s="289">
        <f>6666.91+24977.66+5439</f>
        <v>37083.57</v>
      </c>
      <c r="AE140" s="363">
        <f t="shared" si="301"/>
        <v>0.51841206156599051</v>
      </c>
      <c r="AF140" s="323">
        <f t="shared" si="302"/>
        <v>0.99999398878839141</v>
      </c>
      <c r="AG140" s="81">
        <v>0</v>
      </c>
      <c r="AH140" s="81"/>
      <c r="AI140" s="84">
        <v>0</v>
      </c>
      <c r="AJ140" s="85"/>
      <c r="AK140" s="84">
        <v>0</v>
      </c>
      <c r="AL140" s="81"/>
      <c r="AM140" s="84">
        <v>0</v>
      </c>
      <c r="AN140" s="85"/>
      <c r="AO140" s="84">
        <v>0</v>
      </c>
      <c r="AP140" s="81"/>
      <c r="AQ140" s="84">
        <v>0</v>
      </c>
      <c r="AR140" s="85"/>
      <c r="AS140" s="84">
        <v>0</v>
      </c>
      <c r="AT140" s="85"/>
      <c r="AU140" s="84">
        <v>0</v>
      </c>
      <c r="AV140" s="85"/>
      <c r="AW140" s="84">
        <v>0</v>
      </c>
      <c r="AX140" s="85"/>
      <c r="AY140" s="84">
        <v>0</v>
      </c>
      <c r="AZ140" s="85"/>
      <c r="BA140" s="84">
        <v>0</v>
      </c>
      <c r="BB140" s="85"/>
      <c r="BC140" s="84">
        <v>0</v>
      </c>
      <c r="BD140" s="81"/>
      <c r="BE140" s="214">
        <f t="shared" si="309"/>
        <v>71533</v>
      </c>
    </row>
    <row r="141" spans="1:57" x14ac:dyDescent="0.35">
      <c r="A141" s="149" t="s">
        <v>571</v>
      </c>
      <c r="B141" s="180"/>
      <c r="C141" s="83">
        <v>0</v>
      </c>
      <c r="D141" s="142">
        <f>'2022-23'!AW85</f>
        <v>0</v>
      </c>
      <c r="E141" s="304"/>
      <c r="F141" s="289"/>
      <c r="G141" s="363" t="e">
        <f>F141/E141</f>
        <v>#DIV/0!</v>
      </c>
      <c r="H141" s="287"/>
      <c r="I141" s="313" t="e">
        <f>H141/E141</f>
        <v>#DIV/0!</v>
      </c>
      <c r="J141" s="287"/>
      <c r="K141" s="288" t="e">
        <f>J141/E141</f>
        <v>#DIV/0!</v>
      </c>
      <c r="L141" s="289"/>
      <c r="M141" s="290" t="e">
        <f>L141/E141</f>
        <v>#DIV/0!</v>
      </c>
      <c r="N141" s="287"/>
      <c r="O141" s="288" t="e">
        <f>N141/E141</f>
        <v>#DIV/0!</v>
      </c>
      <c r="P141" s="289"/>
      <c r="Q141" s="290" t="e">
        <f>P141/E141</f>
        <v>#DIV/0!</v>
      </c>
      <c r="R141" s="287"/>
      <c r="S141" s="288" t="e">
        <f>R141/E141</f>
        <v>#DIV/0!</v>
      </c>
      <c r="T141" s="287"/>
      <c r="U141" s="288" t="e">
        <f>T141/E141</f>
        <v>#DIV/0!</v>
      </c>
      <c r="V141" s="289"/>
      <c r="W141" s="290" t="e">
        <f>V141/E141</f>
        <v>#DIV/0!</v>
      </c>
      <c r="X141" s="287"/>
      <c r="Y141" s="313" t="e">
        <f>X141/E141</f>
        <v>#DIV/0!</v>
      </c>
      <c r="Z141" s="289"/>
      <c r="AA141" s="363" t="e">
        <f>Z141/E141</f>
        <v>#DIV/0!</v>
      </c>
      <c r="AB141" s="287"/>
      <c r="AC141" s="313" t="e">
        <f>AB141/E141</f>
        <v>#DIV/0!</v>
      </c>
      <c r="AD141" s="289"/>
      <c r="AE141" s="363" t="e">
        <f>AD141/E141</f>
        <v>#DIV/0!</v>
      </c>
      <c r="AF141" s="323" t="e">
        <f>K141+M141+O141+Q141+S141+U141+W141+Y141+AA141+AC141+G141+I141+AE141</f>
        <v>#DIV/0!</v>
      </c>
      <c r="AG141" s="81">
        <v>0</v>
      </c>
      <c r="AH141" s="81"/>
      <c r="AI141" s="84">
        <f>D141-AG141</f>
        <v>0</v>
      </c>
      <c r="AJ141" s="85"/>
      <c r="AK141" s="84">
        <f>D141-AG141-AI141</f>
        <v>0</v>
      </c>
      <c r="AL141" s="81"/>
      <c r="AM141" s="84">
        <f>D141-AG141-AI141-AK141</f>
        <v>0</v>
      </c>
      <c r="AN141" s="85"/>
      <c r="AO141" s="84">
        <f>D141-AG141-AI141-AK141-AM141</f>
        <v>0</v>
      </c>
      <c r="AP141" s="81"/>
      <c r="AQ141" s="84">
        <f>D141-AG141-AI141-AK141-AM141-AO141</f>
        <v>0</v>
      </c>
      <c r="AR141" s="85"/>
      <c r="AS141" s="84">
        <f>D141-AG141-AI141-AK141-AM141-AO141-AQ141</f>
        <v>0</v>
      </c>
      <c r="AT141" s="85"/>
      <c r="AU141" s="84">
        <f>D141-AG141-AI141-AK141-AM141-AO141-AQ141-AS141</f>
        <v>0</v>
      </c>
      <c r="AV141" s="85"/>
      <c r="AW141" s="84">
        <f>D141-AG141-AI141-AK141-AM141-AO141-AQ141-AS141-AU141</f>
        <v>0</v>
      </c>
      <c r="AX141" s="85"/>
      <c r="AY141" s="84">
        <f>D141-AG141-AI141-AK141-AM141-AO141-AQ141-AS141-AU141-AW141</f>
        <v>0</v>
      </c>
      <c r="AZ141" s="85"/>
      <c r="BA141" s="84">
        <f>D141-AG141-AI141-AK141-AM141-AO141-AQ141-AS141-AU141-AW141-AY141</f>
        <v>0</v>
      </c>
      <c r="BB141" s="85"/>
      <c r="BC141" s="84">
        <f>D141-AG141-AI141-AK141-AM141-AO141-AQ141-AS141-AU141-AW141-AY141-BA141</f>
        <v>0</v>
      </c>
      <c r="BD141" s="81"/>
      <c r="BE141" s="214">
        <f>D141-AG141-AI141-AK141-AM141-AO141-AQ141-AS141-AU141-AW141-AY141-BA141-BC141</f>
        <v>0</v>
      </c>
    </row>
    <row r="142" spans="1:57" x14ac:dyDescent="0.35">
      <c r="A142" s="341" t="s">
        <v>570</v>
      </c>
      <c r="B142" s="180"/>
      <c r="C142" s="83">
        <f>'2021-22'!AU80</f>
        <v>0</v>
      </c>
      <c r="D142" s="142">
        <f t="shared" ref="D142" si="548">C142</f>
        <v>0</v>
      </c>
      <c r="E142" s="304"/>
      <c r="F142" s="289"/>
      <c r="G142" s="363" t="e">
        <f t="shared" si="291"/>
        <v>#DIV/0!</v>
      </c>
      <c r="H142" s="287"/>
      <c r="I142" s="313" t="e">
        <f t="shared" si="292"/>
        <v>#DIV/0!</v>
      </c>
      <c r="J142" s="287"/>
      <c r="K142" s="288" t="e">
        <f t="shared" si="477"/>
        <v>#DIV/0!</v>
      </c>
      <c r="L142" s="289"/>
      <c r="M142" s="290" t="e">
        <f t="shared" si="478"/>
        <v>#DIV/0!</v>
      </c>
      <c r="N142" s="287"/>
      <c r="O142" s="288" t="e">
        <f t="shared" si="479"/>
        <v>#DIV/0!</v>
      </c>
      <c r="P142" s="289"/>
      <c r="Q142" s="290" t="e">
        <f t="shared" si="480"/>
        <v>#DIV/0!</v>
      </c>
      <c r="R142" s="287"/>
      <c r="S142" s="288" t="e">
        <f t="shared" si="52"/>
        <v>#DIV/0!</v>
      </c>
      <c r="T142" s="287"/>
      <c r="U142" s="288" t="e">
        <f t="shared" si="481"/>
        <v>#DIV/0!</v>
      </c>
      <c r="V142" s="289"/>
      <c r="W142" s="290" t="e">
        <f t="shared" si="482"/>
        <v>#DIV/0!</v>
      </c>
      <c r="X142" s="287"/>
      <c r="Y142" s="313" t="e">
        <f t="shared" si="483"/>
        <v>#DIV/0!</v>
      </c>
      <c r="Z142" s="289"/>
      <c r="AA142" s="363" t="e">
        <f t="shared" si="299"/>
        <v>#DIV/0!</v>
      </c>
      <c r="AB142" s="287"/>
      <c r="AC142" s="313" t="e">
        <f t="shared" si="300"/>
        <v>#DIV/0!</v>
      </c>
      <c r="AD142" s="289"/>
      <c r="AE142" s="363" t="e">
        <f t="shared" si="301"/>
        <v>#DIV/0!</v>
      </c>
      <c r="AF142" s="323" t="e">
        <f t="shared" si="302"/>
        <v>#DIV/0!</v>
      </c>
      <c r="AG142" s="81">
        <v>0</v>
      </c>
      <c r="AH142" s="81"/>
      <c r="AI142" s="84">
        <f t="shared" si="475"/>
        <v>0</v>
      </c>
      <c r="AJ142" s="85"/>
      <c r="AK142" s="84">
        <f t="shared" si="476"/>
        <v>0</v>
      </c>
      <c r="AL142" s="81"/>
      <c r="AM142" s="84">
        <f t="shared" si="439"/>
        <v>0</v>
      </c>
      <c r="AN142" s="85"/>
      <c r="AO142" s="84">
        <f t="shared" si="440"/>
        <v>0</v>
      </c>
      <c r="AP142" s="81"/>
      <c r="AQ142" s="84">
        <f t="shared" si="425"/>
        <v>0</v>
      </c>
      <c r="AR142" s="85"/>
      <c r="AS142" s="84">
        <f t="shared" si="426"/>
        <v>0</v>
      </c>
      <c r="AT142" s="85"/>
      <c r="AU142" s="84">
        <f t="shared" si="427"/>
        <v>0</v>
      </c>
      <c r="AV142" s="85"/>
      <c r="AW142" s="84">
        <f t="shared" si="428"/>
        <v>0</v>
      </c>
      <c r="AX142" s="85"/>
      <c r="AY142" s="84">
        <f t="shared" si="429"/>
        <v>0</v>
      </c>
      <c r="AZ142" s="85"/>
      <c r="BA142" s="84">
        <f t="shared" si="307"/>
        <v>0</v>
      </c>
      <c r="BB142" s="85"/>
      <c r="BC142" s="84">
        <f t="shared" si="308"/>
        <v>0</v>
      </c>
      <c r="BD142" s="81"/>
      <c r="BE142" s="214">
        <f t="shared" si="309"/>
        <v>0</v>
      </c>
    </row>
    <row r="143" spans="1:57" x14ac:dyDescent="0.35">
      <c r="A143" s="327"/>
      <c r="B143" s="328"/>
      <c r="C143" s="330"/>
      <c r="D143" s="330"/>
      <c r="E143" s="331"/>
      <c r="F143" s="361"/>
      <c r="G143" s="361"/>
      <c r="H143" s="332"/>
      <c r="I143" s="332"/>
      <c r="J143" s="332"/>
      <c r="K143" s="333"/>
      <c r="L143" s="332"/>
      <c r="M143" s="333"/>
      <c r="N143" s="332"/>
      <c r="O143" s="333"/>
      <c r="P143" s="332"/>
      <c r="Q143" s="333"/>
      <c r="R143" s="332"/>
      <c r="S143" s="333"/>
      <c r="T143" s="332"/>
      <c r="U143" s="333"/>
      <c r="V143" s="332"/>
      <c r="W143" s="333"/>
      <c r="X143" s="332"/>
      <c r="Y143" s="334"/>
      <c r="Z143" s="361"/>
      <c r="AA143" s="362"/>
      <c r="AB143" s="332"/>
      <c r="AC143" s="332"/>
      <c r="AD143" s="361"/>
      <c r="AE143" s="361"/>
      <c r="AF143" s="323">
        <f t="shared" ref="AF143:AF181" si="549">AE143+G143+Y143+W143+U143+Q143+O143+M143+K143</f>
        <v>0</v>
      </c>
      <c r="AG143" s="329"/>
      <c r="AH143" s="329"/>
      <c r="AI143" s="336"/>
      <c r="AJ143" s="337"/>
      <c r="AK143" s="338"/>
      <c r="AL143" s="329"/>
      <c r="AM143" s="336"/>
      <c r="AN143" s="337"/>
      <c r="AO143" s="336"/>
      <c r="AP143" s="329"/>
      <c r="AQ143" s="336"/>
      <c r="AR143" s="337"/>
      <c r="AS143" s="336"/>
      <c r="AT143" s="337"/>
      <c r="AU143" s="336"/>
      <c r="AV143" s="337"/>
      <c r="AW143" s="336"/>
      <c r="AX143" s="337"/>
      <c r="AY143" s="336"/>
      <c r="AZ143" s="337"/>
      <c r="BA143" s="336"/>
      <c r="BB143" s="337"/>
      <c r="BC143" s="336"/>
      <c r="BD143" s="329"/>
      <c r="BE143" s="339"/>
    </row>
    <row r="144" spans="1:57" ht="14.25" hidden="1" customHeight="1" x14ac:dyDescent="0.35">
      <c r="A144" s="151" t="s">
        <v>534</v>
      </c>
      <c r="B144" s="180"/>
      <c r="C144" s="83">
        <f>'2020-21'!AS21</f>
        <v>0</v>
      </c>
      <c r="D144" s="107">
        <f t="shared" ref="D144:E177" si="550">C144</f>
        <v>0</v>
      </c>
      <c r="E144" s="304"/>
      <c r="F144" s="289"/>
      <c r="G144" s="363" t="e">
        <f t="shared" ref="G144:G178" si="551">F144/E144</f>
        <v>#DIV/0!</v>
      </c>
      <c r="H144" s="287"/>
      <c r="I144" s="313" t="e">
        <f t="shared" ref="I144:I178" si="552">H144/K144</f>
        <v>#DIV/0!</v>
      </c>
      <c r="J144" s="287"/>
      <c r="K144" s="288" t="e">
        <f t="shared" si="477"/>
        <v>#DIV/0!</v>
      </c>
      <c r="L144" s="289"/>
      <c r="M144" s="290" t="e">
        <f t="shared" si="478"/>
        <v>#DIV/0!</v>
      </c>
      <c r="N144" s="287"/>
      <c r="O144" s="288" t="e">
        <f t="shared" si="479"/>
        <v>#DIV/0!</v>
      </c>
      <c r="P144" s="289"/>
      <c r="Q144" s="290" t="e">
        <f t="shared" si="480"/>
        <v>#DIV/0!</v>
      </c>
      <c r="R144" s="287"/>
      <c r="S144" s="288" t="e">
        <f t="shared" ref="S144:S177" si="553">R144/C144</f>
        <v>#DIV/0!</v>
      </c>
      <c r="T144" s="287"/>
      <c r="U144" s="288" t="e">
        <f t="shared" si="481"/>
        <v>#DIV/0!</v>
      </c>
      <c r="V144" s="289"/>
      <c r="W144" s="290" t="e">
        <f t="shared" si="482"/>
        <v>#DIV/0!</v>
      </c>
      <c r="X144" s="287"/>
      <c r="Y144" s="313" t="e">
        <f t="shared" si="483"/>
        <v>#DIV/0!</v>
      </c>
      <c r="Z144" s="289"/>
      <c r="AA144" s="363" t="e">
        <f t="shared" ref="AA144:AA177" si="554">Z144/K144</f>
        <v>#DIV/0!</v>
      </c>
      <c r="AB144" s="287"/>
      <c r="AC144" s="313" t="e">
        <f t="shared" ref="AC144:AC178" si="555">AB144/E144</f>
        <v>#DIV/0!</v>
      </c>
      <c r="AD144" s="289"/>
      <c r="AE144" s="363" t="e">
        <f t="shared" ref="AE144:AE178" si="556">AD144/E144</f>
        <v>#DIV/0!</v>
      </c>
      <c r="AF144" s="323" t="e">
        <f t="shared" si="549"/>
        <v>#DIV/0!</v>
      </c>
      <c r="AG144" s="81">
        <f t="shared" ref="AG144:AG177" si="557">D144</f>
        <v>0</v>
      </c>
      <c r="AH144" s="81"/>
      <c r="AI144" s="84">
        <f t="shared" ref="AI144:AI177" si="558">D144-AG144</f>
        <v>0</v>
      </c>
      <c r="AJ144" s="85"/>
      <c r="AK144" s="48">
        <f t="shared" ref="AK144:AK177" si="559">D144-AG144-AI144</f>
        <v>0</v>
      </c>
      <c r="AL144" s="81"/>
      <c r="AM144" s="84">
        <f t="shared" ref="AM144:AM177" si="560">D144-AG144-AI144-AK144</f>
        <v>0</v>
      </c>
      <c r="AN144" s="85"/>
      <c r="AO144" s="84">
        <f t="shared" ref="AO144:AO177" si="561">D144-AG144-AI144-AK144-AM144</f>
        <v>0</v>
      </c>
      <c r="AP144" s="81"/>
      <c r="AQ144" s="84">
        <f t="shared" ref="AQ144:AQ177" si="562">D144-AG144-AI144-AK144-AM144-AO144</f>
        <v>0</v>
      </c>
      <c r="AR144" s="85"/>
      <c r="AS144" s="84">
        <f t="shared" ref="AS144:AS177" si="563">D144-AG144-AI144-AK144-AM144-AO144-AQ144</f>
        <v>0</v>
      </c>
      <c r="AT144" s="85"/>
      <c r="AU144" s="84">
        <f t="shared" ref="AU144:AU177" si="564">D144-AG144-AI144-AK144-AM144-AO144-AQ144-AS144</f>
        <v>0</v>
      </c>
      <c r="AV144" s="85"/>
      <c r="AW144" s="84">
        <f t="shared" ref="AW144:AW177" si="565">D144-AG144-AI144-AK144-AM144-AO144-AQ144-AS144-AU144</f>
        <v>0</v>
      </c>
      <c r="AX144" s="85"/>
      <c r="AY144" s="84">
        <f t="shared" ref="AY144:AY177" si="566">D144-AG144-AI144-AK144-AM144-AO144-AQ144-AS144-AU144-AW144</f>
        <v>0</v>
      </c>
      <c r="AZ144" s="85"/>
      <c r="BA144" s="84">
        <f t="shared" ref="BA144:BA177" si="567">D144-AG144-AI144-AK144-AM144-AO144-AQ144-AS144-AU144-AW144-AY144</f>
        <v>0</v>
      </c>
      <c r="BB144" s="85"/>
      <c r="BC144" s="84">
        <f t="shared" ref="BC144:BC177" si="568">D144-AG144-AI144-AK144-AM144-AO144-AQ144-AS144-AU144-AW144-AY144-BA144</f>
        <v>0</v>
      </c>
      <c r="BD144" s="81"/>
      <c r="BE144" s="214">
        <f t="shared" ref="BE144:BE177" si="569">D144-AG144-AI144-AK144-AM144-AO144-AQ144-AS144-AU144-AW144-AY144-BA144-BC144</f>
        <v>0</v>
      </c>
    </row>
    <row r="145" spans="1:57" ht="14.25" hidden="1" customHeight="1" x14ac:dyDescent="0.35">
      <c r="A145" s="151" t="s">
        <v>362</v>
      </c>
      <c r="B145" s="180"/>
      <c r="C145" s="83">
        <f>'2020-21'!AS48</f>
        <v>0</v>
      </c>
      <c r="D145" s="107">
        <f t="shared" si="550"/>
        <v>0</v>
      </c>
      <c r="E145" s="304"/>
      <c r="F145" s="289"/>
      <c r="G145" s="363" t="e">
        <f t="shared" si="551"/>
        <v>#DIV/0!</v>
      </c>
      <c r="H145" s="287"/>
      <c r="I145" s="313" t="e">
        <f t="shared" si="552"/>
        <v>#DIV/0!</v>
      </c>
      <c r="J145" s="287"/>
      <c r="K145" s="288" t="e">
        <f t="shared" si="477"/>
        <v>#DIV/0!</v>
      </c>
      <c r="L145" s="289"/>
      <c r="M145" s="290" t="e">
        <f t="shared" si="478"/>
        <v>#DIV/0!</v>
      </c>
      <c r="N145" s="287"/>
      <c r="O145" s="288" t="e">
        <f t="shared" si="479"/>
        <v>#DIV/0!</v>
      </c>
      <c r="P145" s="289"/>
      <c r="Q145" s="290" t="e">
        <f t="shared" si="480"/>
        <v>#DIV/0!</v>
      </c>
      <c r="R145" s="287"/>
      <c r="S145" s="288" t="e">
        <f t="shared" si="553"/>
        <v>#DIV/0!</v>
      </c>
      <c r="T145" s="287"/>
      <c r="U145" s="288" t="e">
        <f t="shared" si="481"/>
        <v>#DIV/0!</v>
      </c>
      <c r="V145" s="289"/>
      <c r="W145" s="290" t="e">
        <f t="shared" si="482"/>
        <v>#DIV/0!</v>
      </c>
      <c r="X145" s="287"/>
      <c r="Y145" s="313" t="e">
        <f t="shared" si="483"/>
        <v>#DIV/0!</v>
      </c>
      <c r="Z145" s="289"/>
      <c r="AA145" s="363" t="e">
        <f t="shared" si="554"/>
        <v>#DIV/0!</v>
      </c>
      <c r="AB145" s="287"/>
      <c r="AC145" s="313" t="e">
        <f t="shared" si="555"/>
        <v>#DIV/0!</v>
      </c>
      <c r="AD145" s="289"/>
      <c r="AE145" s="363" t="e">
        <f t="shared" si="556"/>
        <v>#DIV/0!</v>
      </c>
      <c r="AF145" s="323" t="e">
        <f t="shared" si="549"/>
        <v>#DIV/0!</v>
      </c>
      <c r="AG145" s="81">
        <f t="shared" si="557"/>
        <v>0</v>
      </c>
      <c r="AH145" s="81"/>
      <c r="AI145" s="84">
        <f t="shared" si="558"/>
        <v>0</v>
      </c>
      <c r="AJ145" s="85"/>
      <c r="AK145" s="48">
        <f t="shared" si="559"/>
        <v>0</v>
      </c>
      <c r="AL145" s="81"/>
      <c r="AM145" s="84">
        <f t="shared" si="560"/>
        <v>0</v>
      </c>
      <c r="AN145" s="85"/>
      <c r="AO145" s="84">
        <f t="shared" si="561"/>
        <v>0</v>
      </c>
      <c r="AP145" s="81"/>
      <c r="AQ145" s="84">
        <f t="shared" si="562"/>
        <v>0</v>
      </c>
      <c r="AR145" s="85"/>
      <c r="AS145" s="84">
        <f t="shared" si="563"/>
        <v>0</v>
      </c>
      <c r="AT145" s="85"/>
      <c r="AU145" s="84">
        <f t="shared" si="564"/>
        <v>0</v>
      </c>
      <c r="AV145" s="85"/>
      <c r="AW145" s="84">
        <f t="shared" si="565"/>
        <v>0</v>
      </c>
      <c r="AX145" s="85"/>
      <c r="AY145" s="84">
        <f t="shared" si="566"/>
        <v>0</v>
      </c>
      <c r="AZ145" s="85"/>
      <c r="BA145" s="84">
        <f t="shared" si="567"/>
        <v>0</v>
      </c>
      <c r="BB145" s="85"/>
      <c r="BC145" s="84">
        <f t="shared" si="568"/>
        <v>0</v>
      </c>
      <c r="BD145" s="81"/>
      <c r="BE145" s="214">
        <f t="shared" si="569"/>
        <v>0</v>
      </c>
    </row>
    <row r="146" spans="1:57" ht="14.25" hidden="1" customHeight="1" x14ac:dyDescent="0.35">
      <c r="A146" s="159" t="s">
        <v>432</v>
      </c>
      <c r="B146" s="180"/>
      <c r="C146" s="83">
        <f>'2020-21'!AS49</f>
        <v>0</v>
      </c>
      <c r="D146" s="107">
        <f t="shared" si="550"/>
        <v>0</v>
      </c>
      <c r="E146" s="304"/>
      <c r="F146" s="289"/>
      <c r="G146" s="363" t="e">
        <f t="shared" si="551"/>
        <v>#DIV/0!</v>
      </c>
      <c r="H146" s="287"/>
      <c r="I146" s="313" t="e">
        <f t="shared" si="552"/>
        <v>#DIV/0!</v>
      </c>
      <c r="J146" s="287"/>
      <c r="K146" s="288" t="e">
        <f t="shared" si="477"/>
        <v>#DIV/0!</v>
      </c>
      <c r="L146" s="289"/>
      <c r="M146" s="290" t="e">
        <f t="shared" si="478"/>
        <v>#DIV/0!</v>
      </c>
      <c r="N146" s="287"/>
      <c r="O146" s="288" t="e">
        <f t="shared" si="479"/>
        <v>#DIV/0!</v>
      </c>
      <c r="P146" s="289"/>
      <c r="Q146" s="290" t="e">
        <f t="shared" si="480"/>
        <v>#DIV/0!</v>
      </c>
      <c r="R146" s="287"/>
      <c r="S146" s="288" t="e">
        <f t="shared" si="553"/>
        <v>#DIV/0!</v>
      </c>
      <c r="T146" s="287"/>
      <c r="U146" s="288" t="e">
        <f t="shared" si="481"/>
        <v>#DIV/0!</v>
      </c>
      <c r="V146" s="289"/>
      <c r="W146" s="290" t="e">
        <f t="shared" si="482"/>
        <v>#DIV/0!</v>
      </c>
      <c r="X146" s="287"/>
      <c r="Y146" s="313" t="e">
        <f t="shared" si="483"/>
        <v>#DIV/0!</v>
      </c>
      <c r="Z146" s="289"/>
      <c r="AA146" s="363" t="e">
        <f t="shared" si="554"/>
        <v>#DIV/0!</v>
      </c>
      <c r="AB146" s="287"/>
      <c r="AC146" s="313" t="e">
        <f t="shared" si="555"/>
        <v>#DIV/0!</v>
      </c>
      <c r="AD146" s="289"/>
      <c r="AE146" s="363" t="e">
        <f t="shared" si="556"/>
        <v>#DIV/0!</v>
      </c>
      <c r="AF146" s="323" t="e">
        <f t="shared" si="549"/>
        <v>#DIV/0!</v>
      </c>
      <c r="AG146" s="81">
        <f t="shared" si="557"/>
        <v>0</v>
      </c>
      <c r="AH146" s="81"/>
      <c r="AI146" s="84">
        <f t="shared" si="558"/>
        <v>0</v>
      </c>
      <c r="AJ146" s="85"/>
      <c r="AK146" s="48">
        <f t="shared" si="559"/>
        <v>0</v>
      </c>
      <c r="AL146" s="81"/>
      <c r="AM146" s="84">
        <f t="shared" si="560"/>
        <v>0</v>
      </c>
      <c r="AN146" s="85"/>
      <c r="AO146" s="84">
        <f t="shared" si="561"/>
        <v>0</v>
      </c>
      <c r="AP146" s="81"/>
      <c r="AQ146" s="84">
        <f t="shared" si="562"/>
        <v>0</v>
      </c>
      <c r="AR146" s="85"/>
      <c r="AS146" s="84">
        <f t="shared" si="563"/>
        <v>0</v>
      </c>
      <c r="AT146" s="85"/>
      <c r="AU146" s="84">
        <f t="shared" si="564"/>
        <v>0</v>
      </c>
      <c r="AV146" s="85"/>
      <c r="AW146" s="84">
        <f t="shared" si="565"/>
        <v>0</v>
      </c>
      <c r="AX146" s="85"/>
      <c r="AY146" s="84">
        <f t="shared" si="566"/>
        <v>0</v>
      </c>
      <c r="AZ146" s="85"/>
      <c r="BA146" s="84">
        <f t="shared" si="567"/>
        <v>0</v>
      </c>
      <c r="BB146" s="85"/>
      <c r="BC146" s="84">
        <f t="shared" si="568"/>
        <v>0</v>
      </c>
      <c r="BD146" s="81"/>
      <c r="BE146" s="214">
        <f t="shared" si="569"/>
        <v>0</v>
      </c>
    </row>
    <row r="147" spans="1:57" ht="14.25" hidden="1" customHeight="1" x14ac:dyDescent="0.35">
      <c r="A147" s="211" t="s">
        <v>448</v>
      </c>
      <c r="B147" s="180"/>
      <c r="C147" s="83">
        <f>'2020-21'!AS50</f>
        <v>0</v>
      </c>
      <c r="D147" s="107">
        <f t="shared" si="550"/>
        <v>0</v>
      </c>
      <c r="E147" s="304"/>
      <c r="F147" s="289"/>
      <c r="G147" s="363" t="e">
        <f t="shared" si="551"/>
        <v>#DIV/0!</v>
      </c>
      <c r="H147" s="287"/>
      <c r="I147" s="313" t="e">
        <f t="shared" si="552"/>
        <v>#DIV/0!</v>
      </c>
      <c r="J147" s="287"/>
      <c r="K147" s="288" t="e">
        <f t="shared" si="477"/>
        <v>#DIV/0!</v>
      </c>
      <c r="L147" s="289"/>
      <c r="M147" s="290" t="e">
        <f t="shared" si="478"/>
        <v>#DIV/0!</v>
      </c>
      <c r="N147" s="287"/>
      <c r="O147" s="288" t="e">
        <f t="shared" si="479"/>
        <v>#DIV/0!</v>
      </c>
      <c r="P147" s="289"/>
      <c r="Q147" s="290" t="e">
        <f t="shared" si="480"/>
        <v>#DIV/0!</v>
      </c>
      <c r="R147" s="287"/>
      <c r="S147" s="288" t="e">
        <f t="shared" si="553"/>
        <v>#DIV/0!</v>
      </c>
      <c r="T147" s="287"/>
      <c r="U147" s="288" t="e">
        <f t="shared" si="481"/>
        <v>#DIV/0!</v>
      </c>
      <c r="V147" s="289"/>
      <c r="W147" s="290" t="e">
        <f t="shared" si="482"/>
        <v>#DIV/0!</v>
      </c>
      <c r="X147" s="287"/>
      <c r="Y147" s="313" t="e">
        <f t="shared" si="483"/>
        <v>#DIV/0!</v>
      </c>
      <c r="Z147" s="289"/>
      <c r="AA147" s="363" t="e">
        <f t="shared" si="554"/>
        <v>#DIV/0!</v>
      </c>
      <c r="AB147" s="287"/>
      <c r="AC147" s="313" t="e">
        <f t="shared" si="555"/>
        <v>#DIV/0!</v>
      </c>
      <c r="AD147" s="289"/>
      <c r="AE147" s="363" t="e">
        <f t="shared" si="556"/>
        <v>#DIV/0!</v>
      </c>
      <c r="AF147" s="323" t="e">
        <f t="shared" si="549"/>
        <v>#DIV/0!</v>
      </c>
      <c r="AG147" s="81">
        <f t="shared" si="557"/>
        <v>0</v>
      </c>
      <c r="AH147" s="81"/>
      <c r="AI147" s="84">
        <f t="shared" si="558"/>
        <v>0</v>
      </c>
      <c r="AJ147" s="85"/>
      <c r="AK147" s="48">
        <f t="shared" si="559"/>
        <v>0</v>
      </c>
      <c r="AL147" s="48"/>
      <c r="AM147" s="84">
        <f t="shared" si="560"/>
        <v>0</v>
      </c>
      <c r="AN147" s="85"/>
      <c r="AO147" s="84">
        <f t="shared" si="561"/>
        <v>0</v>
      </c>
      <c r="AP147" s="81"/>
      <c r="AQ147" s="84">
        <f t="shared" si="562"/>
        <v>0</v>
      </c>
      <c r="AR147" s="85"/>
      <c r="AS147" s="84">
        <f t="shared" si="563"/>
        <v>0</v>
      </c>
      <c r="AT147" s="85"/>
      <c r="AU147" s="84">
        <f t="shared" si="564"/>
        <v>0</v>
      </c>
      <c r="AV147" s="85"/>
      <c r="AW147" s="84">
        <f t="shared" si="565"/>
        <v>0</v>
      </c>
      <c r="AX147" s="85"/>
      <c r="AY147" s="84">
        <f t="shared" si="566"/>
        <v>0</v>
      </c>
      <c r="AZ147" s="85"/>
      <c r="BA147" s="84">
        <f t="shared" si="567"/>
        <v>0</v>
      </c>
      <c r="BB147" s="85"/>
      <c r="BC147" s="84">
        <f t="shared" si="568"/>
        <v>0</v>
      </c>
      <c r="BD147" s="81"/>
      <c r="BE147" s="214">
        <f t="shared" si="569"/>
        <v>0</v>
      </c>
    </row>
    <row r="148" spans="1:57" ht="14.25" hidden="1" customHeight="1" x14ac:dyDescent="0.35">
      <c r="A148" s="159" t="s">
        <v>404</v>
      </c>
      <c r="B148" s="180"/>
      <c r="C148" s="83">
        <f>'2020-21'!AS51</f>
        <v>0</v>
      </c>
      <c r="D148" s="107">
        <f t="shared" si="550"/>
        <v>0</v>
      </c>
      <c r="E148" s="304">
        <f t="shared" si="550"/>
        <v>0</v>
      </c>
      <c r="F148" s="289"/>
      <c r="G148" s="363" t="e">
        <f t="shared" si="551"/>
        <v>#DIV/0!</v>
      </c>
      <c r="H148" s="287"/>
      <c r="I148" s="313" t="e">
        <f t="shared" si="552"/>
        <v>#DIV/0!</v>
      </c>
      <c r="J148" s="287"/>
      <c r="K148" s="288" t="e">
        <f t="shared" si="477"/>
        <v>#DIV/0!</v>
      </c>
      <c r="L148" s="289"/>
      <c r="M148" s="290" t="e">
        <f t="shared" si="478"/>
        <v>#DIV/0!</v>
      </c>
      <c r="N148" s="287"/>
      <c r="O148" s="288" t="e">
        <f t="shared" si="479"/>
        <v>#DIV/0!</v>
      </c>
      <c r="P148" s="289"/>
      <c r="Q148" s="290" t="e">
        <f t="shared" si="480"/>
        <v>#DIV/0!</v>
      </c>
      <c r="R148" s="287"/>
      <c r="S148" s="288" t="e">
        <f t="shared" si="553"/>
        <v>#DIV/0!</v>
      </c>
      <c r="T148" s="287"/>
      <c r="U148" s="288" t="e">
        <f t="shared" si="481"/>
        <v>#DIV/0!</v>
      </c>
      <c r="V148" s="289"/>
      <c r="W148" s="290" t="e">
        <f t="shared" si="482"/>
        <v>#DIV/0!</v>
      </c>
      <c r="X148" s="287"/>
      <c r="Y148" s="313" t="e">
        <f t="shared" si="483"/>
        <v>#DIV/0!</v>
      </c>
      <c r="Z148" s="289"/>
      <c r="AA148" s="363" t="e">
        <f t="shared" si="554"/>
        <v>#DIV/0!</v>
      </c>
      <c r="AB148" s="287"/>
      <c r="AC148" s="313" t="e">
        <f t="shared" si="555"/>
        <v>#DIV/0!</v>
      </c>
      <c r="AD148" s="289"/>
      <c r="AE148" s="363" t="e">
        <f t="shared" si="556"/>
        <v>#DIV/0!</v>
      </c>
      <c r="AF148" s="323" t="e">
        <f t="shared" si="549"/>
        <v>#DIV/0!</v>
      </c>
      <c r="AG148" s="81">
        <f t="shared" si="557"/>
        <v>0</v>
      </c>
      <c r="AH148" s="81"/>
      <c r="AI148" s="84">
        <f t="shared" si="558"/>
        <v>0</v>
      </c>
      <c r="AJ148" s="85"/>
      <c r="AK148" s="48">
        <f t="shared" si="559"/>
        <v>0</v>
      </c>
      <c r="AL148" s="81"/>
      <c r="AM148" s="84">
        <f t="shared" si="560"/>
        <v>0</v>
      </c>
      <c r="AN148" s="85"/>
      <c r="AO148" s="84">
        <f t="shared" si="561"/>
        <v>0</v>
      </c>
      <c r="AP148" s="81"/>
      <c r="AQ148" s="84">
        <f t="shared" si="562"/>
        <v>0</v>
      </c>
      <c r="AR148" s="326"/>
      <c r="AS148" s="84">
        <f t="shared" si="563"/>
        <v>0</v>
      </c>
      <c r="AT148" s="85"/>
      <c r="AU148" s="84">
        <f t="shared" si="564"/>
        <v>0</v>
      </c>
      <c r="AV148" s="85"/>
      <c r="AW148" s="84">
        <f t="shared" si="565"/>
        <v>0</v>
      </c>
      <c r="AX148" s="85"/>
      <c r="AY148" s="84">
        <f t="shared" si="566"/>
        <v>0</v>
      </c>
      <c r="AZ148" s="85"/>
      <c r="BA148" s="84">
        <f t="shared" si="567"/>
        <v>0</v>
      </c>
      <c r="BB148" s="85"/>
      <c r="BC148" s="84">
        <f t="shared" si="568"/>
        <v>0</v>
      </c>
      <c r="BD148" s="81"/>
      <c r="BE148" s="214">
        <f t="shared" si="569"/>
        <v>0</v>
      </c>
    </row>
    <row r="149" spans="1:57" ht="14.25" hidden="1" customHeight="1" x14ac:dyDescent="0.35">
      <c r="A149" s="159" t="s">
        <v>474</v>
      </c>
      <c r="B149" s="180"/>
      <c r="C149" s="83">
        <f>'2020-21'!AS52</f>
        <v>-0.31000000000130967</v>
      </c>
      <c r="D149" s="107">
        <f t="shared" si="550"/>
        <v>-0.31000000000130967</v>
      </c>
      <c r="E149" s="304">
        <f t="shared" si="550"/>
        <v>-0.31000000000130967</v>
      </c>
      <c r="F149" s="289"/>
      <c r="G149" s="363">
        <f t="shared" si="551"/>
        <v>0</v>
      </c>
      <c r="H149" s="287"/>
      <c r="I149" s="313" t="e">
        <f t="shared" si="552"/>
        <v>#DIV/0!</v>
      </c>
      <c r="J149" s="287"/>
      <c r="K149" s="288">
        <f t="shared" si="477"/>
        <v>0</v>
      </c>
      <c r="L149" s="289"/>
      <c r="M149" s="290">
        <f t="shared" si="478"/>
        <v>0</v>
      </c>
      <c r="N149" s="287"/>
      <c r="O149" s="288">
        <f t="shared" si="479"/>
        <v>0</v>
      </c>
      <c r="P149" s="289"/>
      <c r="Q149" s="290">
        <f t="shared" si="480"/>
        <v>0</v>
      </c>
      <c r="R149" s="287"/>
      <c r="S149" s="288">
        <f t="shared" si="553"/>
        <v>0</v>
      </c>
      <c r="T149" s="287"/>
      <c r="U149" s="288">
        <f t="shared" si="481"/>
        <v>0</v>
      </c>
      <c r="V149" s="289"/>
      <c r="W149" s="290">
        <f t="shared" si="482"/>
        <v>0</v>
      </c>
      <c r="X149" s="287"/>
      <c r="Y149" s="313">
        <f t="shared" si="483"/>
        <v>0</v>
      </c>
      <c r="Z149" s="289"/>
      <c r="AA149" s="363" t="e">
        <f t="shared" si="554"/>
        <v>#DIV/0!</v>
      </c>
      <c r="AB149" s="287"/>
      <c r="AC149" s="313">
        <f t="shared" si="555"/>
        <v>0</v>
      </c>
      <c r="AD149" s="289"/>
      <c r="AE149" s="363">
        <f t="shared" si="556"/>
        <v>0</v>
      </c>
      <c r="AF149" s="323">
        <f t="shared" si="549"/>
        <v>0</v>
      </c>
      <c r="AG149" s="81">
        <f t="shared" si="557"/>
        <v>-0.31000000000130967</v>
      </c>
      <c r="AH149" s="81"/>
      <c r="AI149" s="84">
        <f t="shared" si="558"/>
        <v>0</v>
      </c>
      <c r="AJ149" s="85"/>
      <c r="AK149" s="48">
        <f t="shared" si="559"/>
        <v>0</v>
      </c>
      <c r="AL149" s="81"/>
      <c r="AM149" s="84">
        <f t="shared" si="560"/>
        <v>0</v>
      </c>
      <c r="AN149" s="85"/>
      <c r="AO149" s="84">
        <f t="shared" si="561"/>
        <v>0</v>
      </c>
      <c r="AP149" s="81"/>
      <c r="AQ149" s="84">
        <f t="shared" si="562"/>
        <v>0</v>
      </c>
      <c r="AR149" s="85"/>
      <c r="AS149" s="84">
        <f t="shared" si="563"/>
        <v>0</v>
      </c>
      <c r="AT149" s="85"/>
      <c r="AU149" s="84">
        <f t="shared" si="564"/>
        <v>0</v>
      </c>
      <c r="AV149" s="85"/>
      <c r="AW149" s="84">
        <f t="shared" si="565"/>
        <v>0</v>
      </c>
      <c r="AX149" s="85"/>
      <c r="AY149" s="84">
        <f t="shared" si="566"/>
        <v>0</v>
      </c>
      <c r="AZ149" s="85"/>
      <c r="BA149" s="84">
        <f t="shared" si="567"/>
        <v>0</v>
      </c>
      <c r="BB149" s="85"/>
      <c r="BC149" s="84">
        <f t="shared" si="568"/>
        <v>0</v>
      </c>
      <c r="BD149" s="81"/>
      <c r="BE149" s="214">
        <f t="shared" si="569"/>
        <v>0</v>
      </c>
    </row>
    <row r="150" spans="1:57" ht="14.25" hidden="1" customHeight="1" x14ac:dyDescent="0.35">
      <c r="A150" s="159" t="s">
        <v>473</v>
      </c>
      <c r="B150" s="180"/>
      <c r="C150" s="83">
        <f>'2020-21'!AS53</f>
        <v>0</v>
      </c>
      <c r="D150" s="107">
        <f t="shared" si="550"/>
        <v>0</v>
      </c>
      <c r="E150" s="304">
        <f t="shared" si="550"/>
        <v>0</v>
      </c>
      <c r="F150" s="289"/>
      <c r="G150" s="363" t="e">
        <f t="shared" si="551"/>
        <v>#DIV/0!</v>
      </c>
      <c r="H150" s="287"/>
      <c r="I150" s="313" t="e">
        <f t="shared" si="552"/>
        <v>#DIV/0!</v>
      </c>
      <c r="J150" s="287"/>
      <c r="K150" s="288" t="e">
        <f t="shared" si="477"/>
        <v>#DIV/0!</v>
      </c>
      <c r="L150" s="289"/>
      <c r="M150" s="290" t="e">
        <f t="shared" si="478"/>
        <v>#DIV/0!</v>
      </c>
      <c r="N150" s="287"/>
      <c r="O150" s="288" t="e">
        <f t="shared" si="479"/>
        <v>#DIV/0!</v>
      </c>
      <c r="P150" s="289"/>
      <c r="Q150" s="290" t="e">
        <f t="shared" si="480"/>
        <v>#DIV/0!</v>
      </c>
      <c r="R150" s="287"/>
      <c r="S150" s="288" t="e">
        <f t="shared" si="553"/>
        <v>#DIV/0!</v>
      </c>
      <c r="T150" s="287"/>
      <c r="U150" s="288" t="e">
        <f t="shared" si="481"/>
        <v>#DIV/0!</v>
      </c>
      <c r="V150" s="289"/>
      <c r="W150" s="290" t="e">
        <f t="shared" si="482"/>
        <v>#DIV/0!</v>
      </c>
      <c r="X150" s="287"/>
      <c r="Y150" s="313" t="e">
        <f t="shared" si="483"/>
        <v>#DIV/0!</v>
      </c>
      <c r="Z150" s="289"/>
      <c r="AA150" s="363" t="e">
        <f t="shared" si="554"/>
        <v>#DIV/0!</v>
      </c>
      <c r="AB150" s="287"/>
      <c r="AC150" s="313" t="e">
        <f t="shared" si="555"/>
        <v>#DIV/0!</v>
      </c>
      <c r="AD150" s="289"/>
      <c r="AE150" s="363" t="e">
        <f t="shared" si="556"/>
        <v>#DIV/0!</v>
      </c>
      <c r="AF150" s="323" t="e">
        <f t="shared" si="549"/>
        <v>#DIV/0!</v>
      </c>
      <c r="AG150" s="81">
        <f t="shared" si="557"/>
        <v>0</v>
      </c>
      <c r="AH150" s="81"/>
      <c r="AI150" s="84">
        <f t="shared" si="558"/>
        <v>0</v>
      </c>
      <c r="AJ150" s="85"/>
      <c r="AK150" s="48">
        <f t="shared" si="559"/>
        <v>0</v>
      </c>
      <c r="AL150" s="81"/>
      <c r="AM150" s="84">
        <f t="shared" si="560"/>
        <v>0</v>
      </c>
      <c r="AN150" s="85"/>
      <c r="AO150" s="84">
        <f t="shared" si="561"/>
        <v>0</v>
      </c>
      <c r="AP150" s="81"/>
      <c r="AQ150" s="84">
        <f t="shared" si="562"/>
        <v>0</v>
      </c>
      <c r="AR150" s="85"/>
      <c r="AS150" s="84">
        <f t="shared" si="563"/>
        <v>0</v>
      </c>
      <c r="AT150" s="85"/>
      <c r="AU150" s="84">
        <f t="shared" si="564"/>
        <v>0</v>
      </c>
      <c r="AV150" s="85"/>
      <c r="AW150" s="84">
        <f t="shared" si="565"/>
        <v>0</v>
      </c>
      <c r="AX150" s="85"/>
      <c r="AY150" s="84">
        <f t="shared" si="566"/>
        <v>0</v>
      </c>
      <c r="AZ150" s="85"/>
      <c r="BA150" s="84">
        <f t="shared" si="567"/>
        <v>0</v>
      </c>
      <c r="BB150" s="85"/>
      <c r="BC150" s="84">
        <f t="shared" si="568"/>
        <v>0</v>
      </c>
      <c r="BD150" s="81"/>
      <c r="BE150" s="214">
        <f t="shared" si="569"/>
        <v>0</v>
      </c>
    </row>
    <row r="151" spans="1:57" ht="14.25" hidden="1" customHeight="1" x14ac:dyDescent="0.35">
      <c r="A151" s="211" t="s">
        <v>445</v>
      </c>
      <c r="B151" s="180"/>
      <c r="C151" s="83">
        <f>'2020-21'!AS54</f>
        <v>0</v>
      </c>
      <c r="D151" s="107">
        <f t="shared" si="550"/>
        <v>0</v>
      </c>
      <c r="E151" s="304">
        <f t="shared" si="550"/>
        <v>0</v>
      </c>
      <c r="F151" s="289"/>
      <c r="G151" s="363" t="e">
        <f t="shared" si="551"/>
        <v>#DIV/0!</v>
      </c>
      <c r="H151" s="287"/>
      <c r="I151" s="313" t="e">
        <f t="shared" si="552"/>
        <v>#DIV/0!</v>
      </c>
      <c r="J151" s="287"/>
      <c r="K151" s="288" t="e">
        <f t="shared" si="477"/>
        <v>#DIV/0!</v>
      </c>
      <c r="L151" s="289"/>
      <c r="M151" s="290" t="e">
        <f t="shared" si="478"/>
        <v>#DIV/0!</v>
      </c>
      <c r="N151" s="287"/>
      <c r="O151" s="288" t="e">
        <f t="shared" si="479"/>
        <v>#DIV/0!</v>
      </c>
      <c r="P151" s="289"/>
      <c r="Q151" s="290" t="e">
        <f t="shared" si="480"/>
        <v>#DIV/0!</v>
      </c>
      <c r="R151" s="287"/>
      <c r="S151" s="288" t="e">
        <f t="shared" si="553"/>
        <v>#DIV/0!</v>
      </c>
      <c r="T151" s="287"/>
      <c r="U151" s="288" t="e">
        <f t="shared" si="481"/>
        <v>#DIV/0!</v>
      </c>
      <c r="V151" s="289"/>
      <c r="W151" s="290" t="e">
        <f t="shared" si="482"/>
        <v>#DIV/0!</v>
      </c>
      <c r="X151" s="287"/>
      <c r="Y151" s="313" t="e">
        <f t="shared" si="483"/>
        <v>#DIV/0!</v>
      </c>
      <c r="Z151" s="289"/>
      <c r="AA151" s="363" t="e">
        <f t="shared" si="554"/>
        <v>#DIV/0!</v>
      </c>
      <c r="AB151" s="287"/>
      <c r="AC151" s="313" t="e">
        <f t="shared" si="555"/>
        <v>#DIV/0!</v>
      </c>
      <c r="AD151" s="289"/>
      <c r="AE151" s="363" t="e">
        <f t="shared" si="556"/>
        <v>#DIV/0!</v>
      </c>
      <c r="AF151" s="323" t="e">
        <f t="shared" si="549"/>
        <v>#DIV/0!</v>
      </c>
      <c r="AG151" s="81">
        <f t="shared" si="557"/>
        <v>0</v>
      </c>
      <c r="AH151" s="81"/>
      <c r="AI151" s="84">
        <f t="shared" si="558"/>
        <v>0</v>
      </c>
      <c r="AJ151" s="85"/>
      <c r="AK151" s="48">
        <f t="shared" si="559"/>
        <v>0</v>
      </c>
      <c r="AL151" s="81"/>
      <c r="AM151" s="84">
        <f t="shared" si="560"/>
        <v>0</v>
      </c>
      <c r="AN151" s="85"/>
      <c r="AO151" s="84">
        <f t="shared" si="561"/>
        <v>0</v>
      </c>
      <c r="AP151" s="81"/>
      <c r="AQ151" s="84">
        <f t="shared" si="562"/>
        <v>0</v>
      </c>
      <c r="AR151" s="85"/>
      <c r="AS151" s="84">
        <f t="shared" si="563"/>
        <v>0</v>
      </c>
      <c r="AT151" s="85"/>
      <c r="AU151" s="84">
        <f t="shared" si="564"/>
        <v>0</v>
      </c>
      <c r="AV151" s="85"/>
      <c r="AW151" s="84">
        <f t="shared" si="565"/>
        <v>0</v>
      </c>
      <c r="AX151" s="85"/>
      <c r="AY151" s="84">
        <f t="shared" si="566"/>
        <v>0</v>
      </c>
      <c r="AZ151" s="85"/>
      <c r="BA151" s="84">
        <f t="shared" si="567"/>
        <v>0</v>
      </c>
      <c r="BB151" s="85"/>
      <c r="BC151" s="84">
        <f t="shared" si="568"/>
        <v>0</v>
      </c>
      <c r="BD151" s="81"/>
      <c r="BE151" s="214">
        <f t="shared" si="569"/>
        <v>0</v>
      </c>
    </row>
    <row r="152" spans="1:57" ht="14.25" hidden="1" customHeight="1" x14ac:dyDescent="0.35">
      <c r="A152" s="41" t="s">
        <v>349</v>
      </c>
      <c r="B152" s="174"/>
      <c r="C152" s="83">
        <f>'2020-21'!AS55</f>
        <v>0</v>
      </c>
      <c r="D152" s="107">
        <f t="shared" si="550"/>
        <v>0</v>
      </c>
      <c r="E152" s="304">
        <f t="shared" si="550"/>
        <v>0</v>
      </c>
      <c r="F152" s="289"/>
      <c r="G152" s="363" t="e">
        <f t="shared" si="551"/>
        <v>#DIV/0!</v>
      </c>
      <c r="H152" s="287"/>
      <c r="I152" s="313" t="e">
        <f t="shared" si="552"/>
        <v>#DIV/0!</v>
      </c>
      <c r="J152" s="287"/>
      <c r="K152" s="288" t="e">
        <f t="shared" si="477"/>
        <v>#DIV/0!</v>
      </c>
      <c r="L152" s="289"/>
      <c r="M152" s="290" t="e">
        <f t="shared" si="478"/>
        <v>#DIV/0!</v>
      </c>
      <c r="N152" s="287"/>
      <c r="O152" s="288" t="e">
        <f t="shared" si="479"/>
        <v>#DIV/0!</v>
      </c>
      <c r="P152" s="289"/>
      <c r="Q152" s="290" t="e">
        <f t="shared" si="480"/>
        <v>#DIV/0!</v>
      </c>
      <c r="R152" s="287"/>
      <c r="S152" s="288" t="e">
        <f t="shared" si="553"/>
        <v>#DIV/0!</v>
      </c>
      <c r="T152" s="287"/>
      <c r="U152" s="288" t="e">
        <f t="shared" si="481"/>
        <v>#DIV/0!</v>
      </c>
      <c r="V152" s="289"/>
      <c r="W152" s="290" t="e">
        <f t="shared" si="482"/>
        <v>#DIV/0!</v>
      </c>
      <c r="X152" s="287"/>
      <c r="Y152" s="313" t="e">
        <f t="shared" si="483"/>
        <v>#DIV/0!</v>
      </c>
      <c r="Z152" s="289"/>
      <c r="AA152" s="363" t="e">
        <f t="shared" si="554"/>
        <v>#DIV/0!</v>
      </c>
      <c r="AB152" s="287"/>
      <c r="AC152" s="313" t="e">
        <f t="shared" si="555"/>
        <v>#DIV/0!</v>
      </c>
      <c r="AD152" s="289"/>
      <c r="AE152" s="363" t="e">
        <f t="shared" si="556"/>
        <v>#DIV/0!</v>
      </c>
      <c r="AF152" s="323" t="e">
        <f t="shared" si="549"/>
        <v>#DIV/0!</v>
      </c>
      <c r="AG152" s="81">
        <f t="shared" si="557"/>
        <v>0</v>
      </c>
      <c r="AH152" s="81"/>
      <c r="AI152" s="84">
        <f t="shared" si="558"/>
        <v>0</v>
      </c>
      <c r="AJ152" s="85"/>
      <c r="AK152" s="48">
        <f t="shared" si="559"/>
        <v>0</v>
      </c>
      <c r="AL152" s="81"/>
      <c r="AM152" s="84">
        <f t="shared" si="560"/>
        <v>0</v>
      </c>
      <c r="AN152" s="85"/>
      <c r="AO152" s="84">
        <f t="shared" si="561"/>
        <v>0</v>
      </c>
      <c r="AP152" s="81"/>
      <c r="AQ152" s="84">
        <f t="shared" si="562"/>
        <v>0</v>
      </c>
      <c r="AR152" s="85"/>
      <c r="AS152" s="84">
        <f t="shared" si="563"/>
        <v>0</v>
      </c>
      <c r="AT152" s="85"/>
      <c r="AU152" s="84">
        <f t="shared" si="564"/>
        <v>0</v>
      </c>
      <c r="AV152" s="85"/>
      <c r="AW152" s="84">
        <f t="shared" si="565"/>
        <v>0</v>
      </c>
      <c r="AX152" s="85"/>
      <c r="AY152" s="84">
        <f t="shared" si="566"/>
        <v>0</v>
      </c>
      <c r="AZ152" s="85"/>
      <c r="BA152" s="84">
        <f t="shared" si="567"/>
        <v>0</v>
      </c>
      <c r="BB152" s="85"/>
      <c r="BC152" s="84">
        <f t="shared" si="568"/>
        <v>0</v>
      </c>
      <c r="BD152" s="81"/>
      <c r="BE152" s="214">
        <f t="shared" si="569"/>
        <v>0</v>
      </c>
    </row>
    <row r="153" spans="1:57" ht="14.25" hidden="1" customHeight="1" x14ac:dyDescent="0.35">
      <c r="A153" s="149" t="s">
        <v>395</v>
      </c>
      <c r="B153" s="180"/>
      <c r="C153" s="83">
        <f>'2020-21'!AS56</f>
        <v>0</v>
      </c>
      <c r="D153" s="107">
        <f t="shared" si="550"/>
        <v>0</v>
      </c>
      <c r="E153" s="304">
        <f t="shared" si="550"/>
        <v>0</v>
      </c>
      <c r="F153" s="289"/>
      <c r="G153" s="363" t="e">
        <f t="shared" si="551"/>
        <v>#DIV/0!</v>
      </c>
      <c r="H153" s="287"/>
      <c r="I153" s="313" t="e">
        <f t="shared" si="552"/>
        <v>#DIV/0!</v>
      </c>
      <c r="J153" s="287"/>
      <c r="K153" s="288" t="e">
        <f t="shared" si="477"/>
        <v>#DIV/0!</v>
      </c>
      <c r="L153" s="289"/>
      <c r="M153" s="290" t="e">
        <f t="shared" si="478"/>
        <v>#DIV/0!</v>
      </c>
      <c r="N153" s="287"/>
      <c r="O153" s="288" t="e">
        <f t="shared" si="479"/>
        <v>#DIV/0!</v>
      </c>
      <c r="P153" s="289"/>
      <c r="Q153" s="290" t="e">
        <f t="shared" si="480"/>
        <v>#DIV/0!</v>
      </c>
      <c r="R153" s="287"/>
      <c r="S153" s="288" t="e">
        <f t="shared" si="553"/>
        <v>#DIV/0!</v>
      </c>
      <c r="T153" s="287"/>
      <c r="U153" s="288" t="e">
        <f t="shared" si="481"/>
        <v>#DIV/0!</v>
      </c>
      <c r="V153" s="289"/>
      <c r="W153" s="290" t="e">
        <f t="shared" si="482"/>
        <v>#DIV/0!</v>
      </c>
      <c r="X153" s="287"/>
      <c r="Y153" s="313" t="e">
        <f t="shared" si="483"/>
        <v>#DIV/0!</v>
      </c>
      <c r="Z153" s="289"/>
      <c r="AA153" s="363" t="e">
        <f t="shared" si="554"/>
        <v>#DIV/0!</v>
      </c>
      <c r="AB153" s="287"/>
      <c r="AC153" s="313" t="e">
        <f t="shared" si="555"/>
        <v>#DIV/0!</v>
      </c>
      <c r="AD153" s="289"/>
      <c r="AE153" s="363" t="e">
        <f t="shared" si="556"/>
        <v>#DIV/0!</v>
      </c>
      <c r="AF153" s="323" t="e">
        <f t="shared" si="549"/>
        <v>#DIV/0!</v>
      </c>
      <c r="AG153" s="81">
        <f t="shared" si="557"/>
        <v>0</v>
      </c>
      <c r="AH153" s="81"/>
      <c r="AI153" s="84">
        <f t="shared" si="558"/>
        <v>0</v>
      </c>
      <c r="AJ153" s="85"/>
      <c r="AK153" s="48">
        <f t="shared" si="559"/>
        <v>0</v>
      </c>
      <c r="AL153" s="81"/>
      <c r="AM153" s="84">
        <f t="shared" si="560"/>
        <v>0</v>
      </c>
      <c r="AN153" s="85"/>
      <c r="AO153" s="84">
        <f t="shared" si="561"/>
        <v>0</v>
      </c>
      <c r="AP153" s="81"/>
      <c r="AQ153" s="84">
        <f t="shared" si="562"/>
        <v>0</v>
      </c>
      <c r="AR153" s="85"/>
      <c r="AS153" s="84">
        <f t="shared" si="563"/>
        <v>0</v>
      </c>
      <c r="AT153" s="85"/>
      <c r="AU153" s="84">
        <f t="shared" si="564"/>
        <v>0</v>
      </c>
      <c r="AV153" s="85"/>
      <c r="AW153" s="84">
        <f t="shared" si="565"/>
        <v>0</v>
      </c>
      <c r="AX153" s="85"/>
      <c r="AY153" s="84">
        <f t="shared" si="566"/>
        <v>0</v>
      </c>
      <c r="AZ153" s="85"/>
      <c r="BA153" s="84">
        <f t="shared" si="567"/>
        <v>0</v>
      </c>
      <c r="BB153" s="85"/>
      <c r="BC153" s="84">
        <f t="shared" si="568"/>
        <v>0</v>
      </c>
      <c r="BD153" s="81"/>
      <c r="BE153" s="214">
        <f t="shared" si="569"/>
        <v>0</v>
      </c>
    </row>
    <row r="154" spans="1:57" ht="14.25" hidden="1" customHeight="1" x14ac:dyDescent="0.35">
      <c r="A154" s="159" t="s">
        <v>430</v>
      </c>
      <c r="B154" s="180"/>
      <c r="C154" s="83">
        <f>'2020-21'!AS57</f>
        <v>0</v>
      </c>
      <c r="D154" s="107">
        <f t="shared" si="550"/>
        <v>0</v>
      </c>
      <c r="E154" s="304">
        <f t="shared" si="550"/>
        <v>0</v>
      </c>
      <c r="F154" s="289"/>
      <c r="G154" s="363" t="e">
        <f t="shared" si="551"/>
        <v>#DIV/0!</v>
      </c>
      <c r="H154" s="287"/>
      <c r="I154" s="313" t="e">
        <f t="shared" si="552"/>
        <v>#DIV/0!</v>
      </c>
      <c r="J154" s="287"/>
      <c r="K154" s="288" t="e">
        <f t="shared" si="477"/>
        <v>#DIV/0!</v>
      </c>
      <c r="L154" s="289"/>
      <c r="M154" s="290" t="e">
        <f t="shared" si="478"/>
        <v>#DIV/0!</v>
      </c>
      <c r="N154" s="287"/>
      <c r="O154" s="288" t="e">
        <f t="shared" si="479"/>
        <v>#DIV/0!</v>
      </c>
      <c r="P154" s="289"/>
      <c r="Q154" s="290" t="e">
        <f t="shared" si="480"/>
        <v>#DIV/0!</v>
      </c>
      <c r="R154" s="287"/>
      <c r="S154" s="288" t="e">
        <f t="shared" si="553"/>
        <v>#DIV/0!</v>
      </c>
      <c r="T154" s="287"/>
      <c r="U154" s="288" t="e">
        <f t="shared" si="481"/>
        <v>#DIV/0!</v>
      </c>
      <c r="V154" s="289"/>
      <c r="W154" s="290" t="e">
        <f t="shared" si="482"/>
        <v>#DIV/0!</v>
      </c>
      <c r="X154" s="287"/>
      <c r="Y154" s="313" t="e">
        <f t="shared" si="483"/>
        <v>#DIV/0!</v>
      </c>
      <c r="Z154" s="289"/>
      <c r="AA154" s="363" t="e">
        <f t="shared" si="554"/>
        <v>#DIV/0!</v>
      </c>
      <c r="AB154" s="287"/>
      <c r="AC154" s="313" t="e">
        <f t="shared" si="555"/>
        <v>#DIV/0!</v>
      </c>
      <c r="AD154" s="289"/>
      <c r="AE154" s="363" t="e">
        <f t="shared" si="556"/>
        <v>#DIV/0!</v>
      </c>
      <c r="AF154" s="323" t="e">
        <f t="shared" si="549"/>
        <v>#DIV/0!</v>
      </c>
      <c r="AG154" s="81">
        <f t="shared" si="557"/>
        <v>0</v>
      </c>
      <c r="AH154" s="81"/>
      <c r="AI154" s="84">
        <f t="shared" si="558"/>
        <v>0</v>
      </c>
      <c r="AJ154" s="85"/>
      <c r="AK154" s="48">
        <f t="shared" si="559"/>
        <v>0</v>
      </c>
      <c r="AL154" s="81"/>
      <c r="AM154" s="84">
        <f t="shared" si="560"/>
        <v>0</v>
      </c>
      <c r="AN154" s="85"/>
      <c r="AO154" s="84">
        <f t="shared" si="561"/>
        <v>0</v>
      </c>
      <c r="AP154" s="81"/>
      <c r="AQ154" s="84">
        <f t="shared" si="562"/>
        <v>0</v>
      </c>
      <c r="AR154" s="85"/>
      <c r="AS154" s="84">
        <f t="shared" si="563"/>
        <v>0</v>
      </c>
      <c r="AT154" s="85"/>
      <c r="AU154" s="84">
        <f t="shared" si="564"/>
        <v>0</v>
      </c>
      <c r="AV154" s="85"/>
      <c r="AW154" s="84">
        <f t="shared" si="565"/>
        <v>0</v>
      </c>
      <c r="AX154" s="85"/>
      <c r="AY154" s="84">
        <f t="shared" si="566"/>
        <v>0</v>
      </c>
      <c r="AZ154" s="85"/>
      <c r="BA154" s="84">
        <f t="shared" si="567"/>
        <v>0</v>
      </c>
      <c r="BB154" s="85"/>
      <c r="BC154" s="84">
        <f t="shared" si="568"/>
        <v>0</v>
      </c>
      <c r="BD154" s="81"/>
      <c r="BE154" s="214">
        <f t="shared" si="569"/>
        <v>0</v>
      </c>
    </row>
    <row r="155" spans="1:57" ht="14.25" hidden="1" customHeight="1" x14ac:dyDescent="0.35">
      <c r="A155" s="159" t="s">
        <v>429</v>
      </c>
      <c r="B155" s="180"/>
      <c r="C155" s="83">
        <f>'2020-21'!AS58</f>
        <v>0</v>
      </c>
      <c r="D155" s="107">
        <f t="shared" si="550"/>
        <v>0</v>
      </c>
      <c r="E155" s="304">
        <f t="shared" si="550"/>
        <v>0</v>
      </c>
      <c r="F155" s="289"/>
      <c r="G155" s="363" t="e">
        <f t="shared" si="551"/>
        <v>#DIV/0!</v>
      </c>
      <c r="H155" s="287"/>
      <c r="I155" s="313" t="e">
        <f t="shared" si="552"/>
        <v>#DIV/0!</v>
      </c>
      <c r="J155" s="287"/>
      <c r="K155" s="288" t="e">
        <f t="shared" si="477"/>
        <v>#DIV/0!</v>
      </c>
      <c r="L155" s="289"/>
      <c r="M155" s="290" t="e">
        <f t="shared" si="478"/>
        <v>#DIV/0!</v>
      </c>
      <c r="N155" s="287"/>
      <c r="O155" s="288" t="e">
        <f t="shared" si="479"/>
        <v>#DIV/0!</v>
      </c>
      <c r="P155" s="289"/>
      <c r="Q155" s="290" t="e">
        <f t="shared" si="480"/>
        <v>#DIV/0!</v>
      </c>
      <c r="R155" s="287"/>
      <c r="S155" s="288" t="e">
        <f t="shared" si="553"/>
        <v>#DIV/0!</v>
      </c>
      <c r="T155" s="287"/>
      <c r="U155" s="288" t="e">
        <f t="shared" si="481"/>
        <v>#DIV/0!</v>
      </c>
      <c r="V155" s="289"/>
      <c r="W155" s="290" t="e">
        <f t="shared" si="482"/>
        <v>#DIV/0!</v>
      </c>
      <c r="X155" s="287"/>
      <c r="Y155" s="313" t="e">
        <f t="shared" si="483"/>
        <v>#DIV/0!</v>
      </c>
      <c r="Z155" s="289"/>
      <c r="AA155" s="363" t="e">
        <f t="shared" si="554"/>
        <v>#DIV/0!</v>
      </c>
      <c r="AB155" s="287"/>
      <c r="AC155" s="313" t="e">
        <f t="shared" si="555"/>
        <v>#DIV/0!</v>
      </c>
      <c r="AD155" s="289"/>
      <c r="AE155" s="363" t="e">
        <f t="shared" si="556"/>
        <v>#DIV/0!</v>
      </c>
      <c r="AF155" s="323" t="e">
        <f t="shared" si="549"/>
        <v>#DIV/0!</v>
      </c>
      <c r="AG155" s="81">
        <f t="shared" si="557"/>
        <v>0</v>
      </c>
      <c r="AH155" s="81"/>
      <c r="AI155" s="84">
        <f t="shared" si="558"/>
        <v>0</v>
      </c>
      <c r="AJ155" s="85"/>
      <c r="AK155" s="48">
        <f t="shared" si="559"/>
        <v>0</v>
      </c>
      <c r="AL155" s="81"/>
      <c r="AM155" s="84">
        <f t="shared" si="560"/>
        <v>0</v>
      </c>
      <c r="AN155" s="85"/>
      <c r="AO155" s="84">
        <f t="shared" si="561"/>
        <v>0</v>
      </c>
      <c r="AP155" s="81"/>
      <c r="AQ155" s="84">
        <f t="shared" si="562"/>
        <v>0</v>
      </c>
      <c r="AR155" s="85"/>
      <c r="AS155" s="84">
        <f t="shared" si="563"/>
        <v>0</v>
      </c>
      <c r="AT155" s="85"/>
      <c r="AU155" s="84">
        <f t="shared" si="564"/>
        <v>0</v>
      </c>
      <c r="AV155" s="85"/>
      <c r="AW155" s="84">
        <f t="shared" si="565"/>
        <v>0</v>
      </c>
      <c r="AX155" s="85"/>
      <c r="AY155" s="84">
        <f t="shared" si="566"/>
        <v>0</v>
      </c>
      <c r="AZ155" s="85"/>
      <c r="BA155" s="84">
        <f t="shared" si="567"/>
        <v>0</v>
      </c>
      <c r="BB155" s="85"/>
      <c r="BC155" s="84">
        <f t="shared" si="568"/>
        <v>0</v>
      </c>
      <c r="BD155" s="81"/>
      <c r="BE155" s="214">
        <f t="shared" si="569"/>
        <v>0</v>
      </c>
    </row>
    <row r="156" spans="1:57" ht="14.25" hidden="1" customHeight="1" x14ac:dyDescent="0.35">
      <c r="A156" s="159" t="s">
        <v>416</v>
      </c>
      <c r="B156" s="170"/>
      <c r="C156" s="83">
        <f>'2020-21'!AS59</f>
        <v>0</v>
      </c>
      <c r="D156" s="107">
        <f t="shared" si="550"/>
        <v>0</v>
      </c>
      <c r="E156" s="304">
        <f t="shared" si="550"/>
        <v>0</v>
      </c>
      <c r="F156" s="289"/>
      <c r="G156" s="363" t="e">
        <f t="shared" si="551"/>
        <v>#DIV/0!</v>
      </c>
      <c r="H156" s="287"/>
      <c r="I156" s="313" t="e">
        <f t="shared" si="552"/>
        <v>#DIV/0!</v>
      </c>
      <c r="J156" s="287"/>
      <c r="K156" s="288" t="e">
        <f t="shared" si="477"/>
        <v>#DIV/0!</v>
      </c>
      <c r="L156" s="289"/>
      <c r="M156" s="290" t="e">
        <f t="shared" si="478"/>
        <v>#DIV/0!</v>
      </c>
      <c r="N156" s="287"/>
      <c r="O156" s="288" t="e">
        <f t="shared" si="479"/>
        <v>#DIV/0!</v>
      </c>
      <c r="P156" s="289"/>
      <c r="Q156" s="290" t="e">
        <f t="shared" si="480"/>
        <v>#DIV/0!</v>
      </c>
      <c r="R156" s="287"/>
      <c r="S156" s="288" t="e">
        <f t="shared" si="553"/>
        <v>#DIV/0!</v>
      </c>
      <c r="T156" s="287"/>
      <c r="U156" s="288" t="e">
        <f t="shared" si="481"/>
        <v>#DIV/0!</v>
      </c>
      <c r="V156" s="289"/>
      <c r="W156" s="290" t="e">
        <f t="shared" si="482"/>
        <v>#DIV/0!</v>
      </c>
      <c r="X156" s="287"/>
      <c r="Y156" s="313" t="e">
        <f t="shared" si="483"/>
        <v>#DIV/0!</v>
      </c>
      <c r="Z156" s="289"/>
      <c r="AA156" s="363" t="e">
        <f t="shared" si="554"/>
        <v>#DIV/0!</v>
      </c>
      <c r="AB156" s="287"/>
      <c r="AC156" s="313" t="e">
        <f t="shared" si="555"/>
        <v>#DIV/0!</v>
      </c>
      <c r="AD156" s="289"/>
      <c r="AE156" s="363" t="e">
        <f t="shared" si="556"/>
        <v>#DIV/0!</v>
      </c>
      <c r="AF156" s="323" t="e">
        <f t="shared" si="549"/>
        <v>#DIV/0!</v>
      </c>
      <c r="AG156" s="81">
        <f t="shared" si="557"/>
        <v>0</v>
      </c>
      <c r="AH156" s="81"/>
      <c r="AI156" s="84">
        <f t="shared" si="558"/>
        <v>0</v>
      </c>
      <c r="AJ156" s="85"/>
      <c r="AK156" s="48">
        <f t="shared" si="559"/>
        <v>0</v>
      </c>
      <c r="AL156" s="81"/>
      <c r="AM156" s="84">
        <f t="shared" si="560"/>
        <v>0</v>
      </c>
      <c r="AN156" s="85"/>
      <c r="AO156" s="84">
        <f t="shared" si="561"/>
        <v>0</v>
      </c>
      <c r="AP156" s="81"/>
      <c r="AQ156" s="84">
        <f t="shared" si="562"/>
        <v>0</v>
      </c>
      <c r="AR156" s="85"/>
      <c r="AS156" s="84">
        <f t="shared" si="563"/>
        <v>0</v>
      </c>
      <c r="AT156" s="85"/>
      <c r="AU156" s="84">
        <f t="shared" si="564"/>
        <v>0</v>
      </c>
      <c r="AV156" s="85"/>
      <c r="AW156" s="84">
        <f t="shared" si="565"/>
        <v>0</v>
      </c>
      <c r="AX156" s="85"/>
      <c r="AY156" s="84">
        <f t="shared" si="566"/>
        <v>0</v>
      </c>
      <c r="AZ156" s="85"/>
      <c r="BA156" s="84">
        <f t="shared" si="567"/>
        <v>0</v>
      </c>
      <c r="BB156" s="85"/>
      <c r="BC156" s="84">
        <f t="shared" si="568"/>
        <v>0</v>
      </c>
      <c r="BD156" s="81"/>
      <c r="BE156" s="214">
        <f t="shared" si="569"/>
        <v>0</v>
      </c>
    </row>
    <row r="157" spans="1:57" ht="14.25" hidden="1" customHeight="1" x14ac:dyDescent="0.35">
      <c r="A157" s="149" t="s">
        <v>396</v>
      </c>
      <c r="B157" s="170"/>
      <c r="C157" s="83">
        <f>'2020-21'!AS60</f>
        <v>0</v>
      </c>
      <c r="D157" s="107">
        <f t="shared" si="550"/>
        <v>0</v>
      </c>
      <c r="E157" s="304">
        <f t="shared" si="550"/>
        <v>0</v>
      </c>
      <c r="F157" s="289"/>
      <c r="G157" s="363" t="e">
        <f t="shared" si="551"/>
        <v>#DIV/0!</v>
      </c>
      <c r="H157" s="287"/>
      <c r="I157" s="313" t="e">
        <f t="shared" si="552"/>
        <v>#DIV/0!</v>
      </c>
      <c r="J157" s="287"/>
      <c r="K157" s="288" t="e">
        <f t="shared" si="477"/>
        <v>#DIV/0!</v>
      </c>
      <c r="L157" s="289"/>
      <c r="M157" s="290" t="e">
        <f t="shared" si="478"/>
        <v>#DIV/0!</v>
      </c>
      <c r="N157" s="287"/>
      <c r="O157" s="288" t="e">
        <f t="shared" si="479"/>
        <v>#DIV/0!</v>
      </c>
      <c r="P157" s="289"/>
      <c r="Q157" s="290" t="e">
        <f t="shared" si="480"/>
        <v>#DIV/0!</v>
      </c>
      <c r="R157" s="287"/>
      <c r="S157" s="288" t="e">
        <f t="shared" si="553"/>
        <v>#DIV/0!</v>
      </c>
      <c r="T157" s="287"/>
      <c r="U157" s="288" t="e">
        <f t="shared" si="481"/>
        <v>#DIV/0!</v>
      </c>
      <c r="V157" s="289"/>
      <c r="W157" s="290" t="e">
        <f t="shared" si="482"/>
        <v>#DIV/0!</v>
      </c>
      <c r="X157" s="287"/>
      <c r="Y157" s="313" t="e">
        <f t="shared" si="483"/>
        <v>#DIV/0!</v>
      </c>
      <c r="Z157" s="289"/>
      <c r="AA157" s="363" t="e">
        <f t="shared" si="554"/>
        <v>#DIV/0!</v>
      </c>
      <c r="AB157" s="287"/>
      <c r="AC157" s="313" t="e">
        <f t="shared" si="555"/>
        <v>#DIV/0!</v>
      </c>
      <c r="AD157" s="289"/>
      <c r="AE157" s="363" t="e">
        <f t="shared" si="556"/>
        <v>#DIV/0!</v>
      </c>
      <c r="AF157" s="323" t="e">
        <f t="shared" si="549"/>
        <v>#DIV/0!</v>
      </c>
      <c r="AG157" s="81">
        <f t="shared" si="557"/>
        <v>0</v>
      </c>
      <c r="AH157" s="81"/>
      <c r="AI157" s="84">
        <f t="shared" si="558"/>
        <v>0</v>
      </c>
      <c r="AJ157" s="85"/>
      <c r="AK157" s="48">
        <f t="shared" si="559"/>
        <v>0</v>
      </c>
      <c r="AL157" s="81"/>
      <c r="AM157" s="84">
        <f t="shared" si="560"/>
        <v>0</v>
      </c>
      <c r="AN157" s="85"/>
      <c r="AO157" s="84">
        <f t="shared" si="561"/>
        <v>0</v>
      </c>
      <c r="AP157" s="81"/>
      <c r="AQ157" s="84">
        <f t="shared" si="562"/>
        <v>0</v>
      </c>
      <c r="AR157" s="85"/>
      <c r="AS157" s="84">
        <f t="shared" si="563"/>
        <v>0</v>
      </c>
      <c r="AT157" s="85"/>
      <c r="AU157" s="84">
        <f t="shared" si="564"/>
        <v>0</v>
      </c>
      <c r="AV157" s="85"/>
      <c r="AW157" s="84">
        <f t="shared" si="565"/>
        <v>0</v>
      </c>
      <c r="AX157" s="85"/>
      <c r="AY157" s="84">
        <f t="shared" si="566"/>
        <v>0</v>
      </c>
      <c r="AZ157" s="85"/>
      <c r="BA157" s="84">
        <f t="shared" si="567"/>
        <v>0</v>
      </c>
      <c r="BB157" s="85"/>
      <c r="BC157" s="84">
        <f t="shared" si="568"/>
        <v>0</v>
      </c>
      <c r="BD157" s="81"/>
      <c r="BE157" s="214">
        <f t="shared" si="569"/>
        <v>0</v>
      </c>
    </row>
    <row r="158" spans="1:57" ht="14.25" hidden="1" customHeight="1" x14ac:dyDescent="0.35">
      <c r="A158" s="159" t="s">
        <v>382</v>
      </c>
      <c r="B158" s="170"/>
      <c r="C158" s="83">
        <f>'2020-21'!AS61</f>
        <v>0</v>
      </c>
      <c r="D158" s="107">
        <f t="shared" si="550"/>
        <v>0</v>
      </c>
      <c r="E158" s="304">
        <f t="shared" si="550"/>
        <v>0</v>
      </c>
      <c r="F158" s="289"/>
      <c r="G158" s="363" t="e">
        <f t="shared" si="551"/>
        <v>#DIV/0!</v>
      </c>
      <c r="H158" s="287"/>
      <c r="I158" s="313" t="e">
        <f t="shared" si="552"/>
        <v>#DIV/0!</v>
      </c>
      <c r="J158" s="287"/>
      <c r="K158" s="288" t="e">
        <f t="shared" si="477"/>
        <v>#DIV/0!</v>
      </c>
      <c r="L158" s="289"/>
      <c r="M158" s="290" t="e">
        <f t="shared" si="478"/>
        <v>#DIV/0!</v>
      </c>
      <c r="N158" s="287"/>
      <c r="O158" s="288" t="e">
        <f t="shared" si="479"/>
        <v>#DIV/0!</v>
      </c>
      <c r="P158" s="289"/>
      <c r="Q158" s="290" t="e">
        <f t="shared" si="480"/>
        <v>#DIV/0!</v>
      </c>
      <c r="R158" s="287"/>
      <c r="S158" s="288" t="e">
        <f t="shared" si="553"/>
        <v>#DIV/0!</v>
      </c>
      <c r="T158" s="287"/>
      <c r="U158" s="288" t="e">
        <f t="shared" si="481"/>
        <v>#DIV/0!</v>
      </c>
      <c r="V158" s="289"/>
      <c r="W158" s="290" t="e">
        <f t="shared" si="482"/>
        <v>#DIV/0!</v>
      </c>
      <c r="X158" s="287"/>
      <c r="Y158" s="313" t="e">
        <f t="shared" si="483"/>
        <v>#DIV/0!</v>
      </c>
      <c r="Z158" s="289"/>
      <c r="AA158" s="363" t="e">
        <f t="shared" si="554"/>
        <v>#DIV/0!</v>
      </c>
      <c r="AB158" s="287"/>
      <c r="AC158" s="313" t="e">
        <f t="shared" si="555"/>
        <v>#DIV/0!</v>
      </c>
      <c r="AD158" s="289"/>
      <c r="AE158" s="363" t="e">
        <f t="shared" si="556"/>
        <v>#DIV/0!</v>
      </c>
      <c r="AF158" s="323" t="e">
        <f t="shared" si="549"/>
        <v>#DIV/0!</v>
      </c>
      <c r="AG158" s="81">
        <f t="shared" si="557"/>
        <v>0</v>
      </c>
      <c r="AH158" s="81"/>
      <c r="AI158" s="84">
        <f t="shared" si="558"/>
        <v>0</v>
      </c>
      <c r="AJ158" s="85"/>
      <c r="AK158" s="48">
        <f t="shared" si="559"/>
        <v>0</v>
      </c>
      <c r="AL158" s="81"/>
      <c r="AM158" s="84">
        <f t="shared" si="560"/>
        <v>0</v>
      </c>
      <c r="AN158" s="85"/>
      <c r="AO158" s="84">
        <f t="shared" si="561"/>
        <v>0</v>
      </c>
      <c r="AP158" s="81"/>
      <c r="AQ158" s="84">
        <f t="shared" si="562"/>
        <v>0</v>
      </c>
      <c r="AR158" s="85"/>
      <c r="AS158" s="84">
        <f t="shared" si="563"/>
        <v>0</v>
      </c>
      <c r="AT158" s="85"/>
      <c r="AU158" s="84">
        <f t="shared" si="564"/>
        <v>0</v>
      </c>
      <c r="AV158" s="85"/>
      <c r="AW158" s="84">
        <f t="shared" si="565"/>
        <v>0</v>
      </c>
      <c r="AX158" s="85"/>
      <c r="AY158" s="84">
        <f t="shared" si="566"/>
        <v>0</v>
      </c>
      <c r="AZ158" s="85"/>
      <c r="BA158" s="84">
        <f t="shared" si="567"/>
        <v>0</v>
      </c>
      <c r="BB158" s="85"/>
      <c r="BC158" s="84">
        <f t="shared" si="568"/>
        <v>0</v>
      </c>
      <c r="BD158" s="81"/>
      <c r="BE158" s="214">
        <f t="shared" si="569"/>
        <v>0</v>
      </c>
    </row>
    <row r="159" spans="1:57" ht="14.25" hidden="1" customHeight="1" x14ac:dyDescent="0.35">
      <c r="A159" s="160" t="s">
        <v>433</v>
      </c>
      <c r="B159" s="170"/>
      <c r="C159" s="83">
        <f>'2020-21'!AS62</f>
        <v>0</v>
      </c>
      <c r="D159" s="107">
        <f t="shared" si="550"/>
        <v>0</v>
      </c>
      <c r="E159" s="304">
        <f t="shared" si="550"/>
        <v>0</v>
      </c>
      <c r="F159" s="289"/>
      <c r="G159" s="363" t="e">
        <f t="shared" si="551"/>
        <v>#DIV/0!</v>
      </c>
      <c r="H159" s="287"/>
      <c r="I159" s="313" t="e">
        <f t="shared" si="552"/>
        <v>#DIV/0!</v>
      </c>
      <c r="J159" s="287"/>
      <c r="K159" s="288" t="e">
        <f t="shared" si="477"/>
        <v>#DIV/0!</v>
      </c>
      <c r="L159" s="289"/>
      <c r="M159" s="290" t="e">
        <f t="shared" si="478"/>
        <v>#DIV/0!</v>
      </c>
      <c r="N159" s="287"/>
      <c r="O159" s="288" t="e">
        <f t="shared" si="479"/>
        <v>#DIV/0!</v>
      </c>
      <c r="P159" s="289"/>
      <c r="Q159" s="290" t="e">
        <f t="shared" si="480"/>
        <v>#DIV/0!</v>
      </c>
      <c r="R159" s="287"/>
      <c r="S159" s="288" t="e">
        <f t="shared" si="553"/>
        <v>#DIV/0!</v>
      </c>
      <c r="T159" s="287"/>
      <c r="U159" s="288" t="e">
        <f t="shared" si="481"/>
        <v>#DIV/0!</v>
      </c>
      <c r="V159" s="289"/>
      <c r="W159" s="290" t="e">
        <f t="shared" si="482"/>
        <v>#DIV/0!</v>
      </c>
      <c r="X159" s="287"/>
      <c r="Y159" s="313" t="e">
        <f t="shared" si="483"/>
        <v>#DIV/0!</v>
      </c>
      <c r="Z159" s="289"/>
      <c r="AA159" s="363" t="e">
        <f t="shared" si="554"/>
        <v>#DIV/0!</v>
      </c>
      <c r="AB159" s="287"/>
      <c r="AC159" s="313" t="e">
        <f t="shared" si="555"/>
        <v>#DIV/0!</v>
      </c>
      <c r="AD159" s="289"/>
      <c r="AE159" s="363" t="e">
        <f t="shared" si="556"/>
        <v>#DIV/0!</v>
      </c>
      <c r="AF159" s="323" t="e">
        <f t="shared" si="549"/>
        <v>#DIV/0!</v>
      </c>
      <c r="AG159" s="81">
        <f t="shared" si="557"/>
        <v>0</v>
      </c>
      <c r="AH159" s="81"/>
      <c r="AI159" s="84">
        <f t="shared" si="558"/>
        <v>0</v>
      </c>
      <c r="AJ159" s="85"/>
      <c r="AK159" s="48">
        <f t="shared" si="559"/>
        <v>0</v>
      </c>
      <c r="AL159" s="81"/>
      <c r="AM159" s="84">
        <f t="shared" si="560"/>
        <v>0</v>
      </c>
      <c r="AN159" s="85"/>
      <c r="AO159" s="84">
        <f t="shared" si="561"/>
        <v>0</v>
      </c>
      <c r="AP159" s="81"/>
      <c r="AQ159" s="84">
        <f t="shared" si="562"/>
        <v>0</v>
      </c>
      <c r="AR159" s="85"/>
      <c r="AS159" s="84">
        <f t="shared" si="563"/>
        <v>0</v>
      </c>
      <c r="AT159" s="85"/>
      <c r="AU159" s="84">
        <f t="shared" si="564"/>
        <v>0</v>
      </c>
      <c r="AV159" s="85"/>
      <c r="AW159" s="84">
        <f t="shared" si="565"/>
        <v>0</v>
      </c>
      <c r="AX159" s="85"/>
      <c r="AY159" s="84">
        <f t="shared" si="566"/>
        <v>0</v>
      </c>
      <c r="AZ159" s="85"/>
      <c r="BA159" s="84">
        <f t="shared" si="567"/>
        <v>0</v>
      </c>
      <c r="BB159" s="85"/>
      <c r="BC159" s="84">
        <f t="shared" si="568"/>
        <v>0</v>
      </c>
      <c r="BD159" s="81"/>
      <c r="BE159" s="214">
        <f t="shared" si="569"/>
        <v>0</v>
      </c>
    </row>
    <row r="160" spans="1:57" ht="14.25" hidden="1" customHeight="1" x14ac:dyDescent="0.35">
      <c r="A160" s="100" t="s">
        <v>356</v>
      </c>
      <c r="B160" s="172"/>
      <c r="C160" s="83">
        <f>'2020-21'!AS63</f>
        <v>0</v>
      </c>
      <c r="D160" s="107">
        <f t="shared" si="550"/>
        <v>0</v>
      </c>
      <c r="E160" s="304">
        <f t="shared" si="550"/>
        <v>0</v>
      </c>
      <c r="F160" s="289"/>
      <c r="G160" s="363" t="e">
        <f t="shared" si="551"/>
        <v>#DIV/0!</v>
      </c>
      <c r="H160" s="287"/>
      <c r="I160" s="313" t="e">
        <f t="shared" si="552"/>
        <v>#DIV/0!</v>
      </c>
      <c r="J160" s="287"/>
      <c r="K160" s="288" t="e">
        <f t="shared" si="477"/>
        <v>#DIV/0!</v>
      </c>
      <c r="L160" s="289"/>
      <c r="M160" s="290" t="e">
        <f t="shared" si="478"/>
        <v>#DIV/0!</v>
      </c>
      <c r="N160" s="287"/>
      <c r="O160" s="288" t="e">
        <f t="shared" si="479"/>
        <v>#DIV/0!</v>
      </c>
      <c r="P160" s="289"/>
      <c r="Q160" s="290" t="e">
        <f t="shared" si="480"/>
        <v>#DIV/0!</v>
      </c>
      <c r="R160" s="287"/>
      <c r="S160" s="288" t="e">
        <f t="shared" si="553"/>
        <v>#DIV/0!</v>
      </c>
      <c r="T160" s="287"/>
      <c r="U160" s="288" t="e">
        <f t="shared" si="481"/>
        <v>#DIV/0!</v>
      </c>
      <c r="V160" s="289"/>
      <c r="W160" s="290" t="e">
        <f t="shared" si="482"/>
        <v>#DIV/0!</v>
      </c>
      <c r="X160" s="287"/>
      <c r="Y160" s="313" t="e">
        <f t="shared" si="483"/>
        <v>#DIV/0!</v>
      </c>
      <c r="Z160" s="289"/>
      <c r="AA160" s="363" t="e">
        <f t="shared" si="554"/>
        <v>#DIV/0!</v>
      </c>
      <c r="AB160" s="287"/>
      <c r="AC160" s="313" t="e">
        <f t="shared" si="555"/>
        <v>#DIV/0!</v>
      </c>
      <c r="AD160" s="289"/>
      <c r="AE160" s="363" t="e">
        <f t="shared" si="556"/>
        <v>#DIV/0!</v>
      </c>
      <c r="AF160" s="323" t="e">
        <f t="shared" si="549"/>
        <v>#DIV/0!</v>
      </c>
      <c r="AG160" s="81">
        <f t="shared" si="557"/>
        <v>0</v>
      </c>
      <c r="AH160" s="81"/>
      <c r="AI160" s="84">
        <f t="shared" si="558"/>
        <v>0</v>
      </c>
      <c r="AJ160" s="85"/>
      <c r="AK160" s="48">
        <f t="shared" si="559"/>
        <v>0</v>
      </c>
      <c r="AL160" s="81"/>
      <c r="AM160" s="84">
        <f t="shared" si="560"/>
        <v>0</v>
      </c>
      <c r="AN160" s="85"/>
      <c r="AO160" s="84">
        <f t="shared" si="561"/>
        <v>0</v>
      </c>
      <c r="AP160" s="81"/>
      <c r="AQ160" s="84">
        <f t="shared" si="562"/>
        <v>0</v>
      </c>
      <c r="AR160" s="85"/>
      <c r="AS160" s="84">
        <f t="shared" si="563"/>
        <v>0</v>
      </c>
      <c r="AT160" s="85"/>
      <c r="AU160" s="84">
        <f t="shared" si="564"/>
        <v>0</v>
      </c>
      <c r="AV160" s="85"/>
      <c r="AW160" s="84">
        <f t="shared" si="565"/>
        <v>0</v>
      </c>
      <c r="AX160" s="85"/>
      <c r="AY160" s="84">
        <f t="shared" si="566"/>
        <v>0</v>
      </c>
      <c r="AZ160" s="85"/>
      <c r="BA160" s="84">
        <f t="shared" si="567"/>
        <v>0</v>
      </c>
      <c r="BB160" s="85"/>
      <c r="BC160" s="84">
        <f t="shared" si="568"/>
        <v>0</v>
      </c>
      <c r="BD160" s="81"/>
      <c r="BE160" s="214">
        <f t="shared" si="569"/>
        <v>0</v>
      </c>
    </row>
    <row r="161" spans="1:57" ht="14.25" hidden="1" customHeight="1" x14ac:dyDescent="0.35">
      <c r="A161" s="160" t="s">
        <v>423</v>
      </c>
      <c r="B161" s="170"/>
      <c r="C161" s="83">
        <f>'2020-21'!AS64</f>
        <v>0</v>
      </c>
      <c r="D161" s="107">
        <f t="shared" si="550"/>
        <v>0</v>
      </c>
      <c r="E161" s="304">
        <f t="shared" si="550"/>
        <v>0</v>
      </c>
      <c r="F161" s="289"/>
      <c r="G161" s="363" t="e">
        <f t="shared" si="551"/>
        <v>#DIV/0!</v>
      </c>
      <c r="H161" s="287"/>
      <c r="I161" s="313" t="e">
        <f t="shared" si="552"/>
        <v>#DIV/0!</v>
      </c>
      <c r="J161" s="287"/>
      <c r="K161" s="288" t="e">
        <f t="shared" si="477"/>
        <v>#DIV/0!</v>
      </c>
      <c r="L161" s="289"/>
      <c r="M161" s="290" t="e">
        <f t="shared" si="478"/>
        <v>#DIV/0!</v>
      </c>
      <c r="N161" s="287"/>
      <c r="O161" s="288" t="e">
        <f t="shared" si="479"/>
        <v>#DIV/0!</v>
      </c>
      <c r="P161" s="289"/>
      <c r="Q161" s="290" t="e">
        <f t="shared" si="480"/>
        <v>#DIV/0!</v>
      </c>
      <c r="R161" s="287"/>
      <c r="S161" s="288" t="e">
        <f t="shared" si="553"/>
        <v>#DIV/0!</v>
      </c>
      <c r="T161" s="287"/>
      <c r="U161" s="288" t="e">
        <f t="shared" si="481"/>
        <v>#DIV/0!</v>
      </c>
      <c r="V161" s="289"/>
      <c r="W161" s="290" t="e">
        <f t="shared" si="482"/>
        <v>#DIV/0!</v>
      </c>
      <c r="X161" s="287"/>
      <c r="Y161" s="313" t="e">
        <f t="shared" si="483"/>
        <v>#DIV/0!</v>
      </c>
      <c r="Z161" s="289"/>
      <c r="AA161" s="363" t="e">
        <f t="shared" si="554"/>
        <v>#DIV/0!</v>
      </c>
      <c r="AB161" s="287"/>
      <c r="AC161" s="313" t="e">
        <f t="shared" si="555"/>
        <v>#DIV/0!</v>
      </c>
      <c r="AD161" s="289"/>
      <c r="AE161" s="363" t="e">
        <f t="shared" si="556"/>
        <v>#DIV/0!</v>
      </c>
      <c r="AF161" s="323" t="e">
        <f t="shared" si="549"/>
        <v>#DIV/0!</v>
      </c>
      <c r="AG161" s="81">
        <f t="shared" si="557"/>
        <v>0</v>
      </c>
      <c r="AH161" s="81"/>
      <c r="AI161" s="84">
        <f t="shared" si="558"/>
        <v>0</v>
      </c>
      <c r="AJ161" s="85"/>
      <c r="AK161" s="48">
        <f t="shared" si="559"/>
        <v>0</v>
      </c>
      <c r="AL161" s="81"/>
      <c r="AM161" s="84">
        <f t="shared" si="560"/>
        <v>0</v>
      </c>
      <c r="AN161" s="85"/>
      <c r="AO161" s="84">
        <f t="shared" si="561"/>
        <v>0</v>
      </c>
      <c r="AP161" s="81"/>
      <c r="AQ161" s="84">
        <f t="shared" si="562"/>
        <v>0</v>
      </c>
      <c r="AR161" s="85"/>
      <c r="AS161" s="84">
        <f t="shared" si="563"/>
        <v>0</v>
      </c>
      <c r="AT161" s="85"/>
      <c r="AU161" s="84">
        <f t="shared" si="564"/>
        <v>0</v>
      </c>
      <c r="AV161" s="85"/>
      <c r="AW161" s="84">
        <f t="shared" si="565"/>
        <v>0</v>
      </c>
      <c r="AX161" s="85"/>
      <c r="AY161" s="84">
        <f t="shared" si="566"/>
        <v>0</v>
      </c>
      <c r="AZ161" s="85"/>
      <c r="BA161" s="84">
        <f t="shared" si="567"/>
        <v>0</v>
      </c>
      <c r="BB161" s="85"/>
      <c r="BC161" s="84">
        <f t="shared" si="568"/>
        <v>0</v>
      </c>
      <c r="BD161" s="81"/>
      <c r="BE161" s="214">
        <f t="shared" si="569"/>
        <v>0</v>
      </c>
    </row>
    <row r="162" spans="1:57" ht="14.25" hidden="1" customHeight="1" x14ac:dyDescent="0.35">
      <c r="A162" s="151" t="s">
        <v>421</v>
      </c>
      <c r="B162" s="170"/>
      <c r="C162" s="83">
        <f>'2020-21'!AS65</f>
        <v>0</v>
      </c>
      <c r="D162" s="107">
        <f t="shared" si="550"/>
        <v>0</v>
      </c>
      <c r="E162" s="304">
        <f t="shared" si="550"/>
        <v>0</v>
      </c>
      <c r="F162" s="289"/>
      <c r="G162" s="363" t="e">
        <f t="shared" si="551"/>
        <v>#DIV/0!</v>
      </c>
      <c r="H162" s="287"/>
      <c r="I162" s="313" t="e">
        <f t="shared" si="552"/>
        <v>#DIV/0!</v>
      </c>
      <c r="J162" s="287"/>
      <c r="K162" s="288" t="e">
        <f t="shared" si="477"/>
        <v>#DIV/0!</v>
      </c>
      <c r="L162" s="289"/>
      <c r="M162" s="290" t="e">
        <f t="shared" si="478"/>
        <v>#DIV/0!</v>
      </c>
      <c r="N162" s="287"/>
      <c r="O162" s="288" t="e">
        <f t="shared" si="479"/>
        <v>#DIV/0!</v>
      </c>
      <c r="P162" s="289"/>
      <c r="Q162" s="290" t="e">
        <f t="shared" si="480"/>
        <v>#DIV/0!</v>
      </c>
      <c r="R162" s="287"/>
      <c r="S162" s="288" t="e">
        <f t="shared" si="553"/>
        <v>#DIV/0!</v>
      </c>
      <c r="T162" s="287"/>
      <c r="U162" s="288" t="e">
        <f t="shared" si="481"/>
        <v>#DIV/0!</v>
      </c>
      <c r="V162" s="289"/>
      <c r="W162" s="290" t="e">
        <f t="shared" si="482"/>
        <v>#DIV/0!</v>
      </c>
      <c r="X162" s="287"/>
      <c r="Y162" s="313" t="e">
        <f t="shared" si="483"/>
        <v>#DIV/0!</v>
      </c>
      <c r="Z162" s="289"/>
      <c r="AA162" s="363" t="e">
        <f t="shared" si="554"/>
        <v>#DIV/0!</v>
      </c>
      <c r="AB162" s="287"/>
      <c r="AC162" s="313" t="e">
        <f t="shared" si="555"/>
        <v>#DIV/0!</v>
      </c>
      <c r="AD162" s="289"/>
      <c r="AE162" s="363" t="e">
        <f t="shared" si="556"/>
        <v>#DIV/0!</v>
      </c>
      <c r="AF162" s="323" t="e">
        <f t="shared" si="549"/>
        <v>#DIV/0!</v>
      </c>
      <c r="AG162" s="81">
        <f t="shared" si="557"/>
        <v>0</v>
      </c>
      <c r="AH162" s="81"/>
      <c r="AI162" s="84">
        <f t="shared" si="558"/>
        <v>0</v>
      </c>
      <c r="AJ162" s="51"/>
      <c r="AK162" s="48">
        <f t="shared" si="559"/>
        <v>0</v>
      </c>
      <c r="AL162" s="81"/>
      <c r="AM162" s="84">
        <f t="shared" si="560"/>
        <v>0</v>
      </c>
      <c r="AN162" s="85"/>
      <c r="AO162" s="84">
        <f t="shared" si="561"/>
        <v>0</v>
      </c>
      <c r="AP162" s="81"/>
      <c r="AQ162" s="84">
        <f t="shared" si="562"/>
        <v>0</v>
      </c>
      <c r="AR162" s="85"/>
      <c r="AS162" s="84">
        <f t="shared" si="563"/>
        <v>0</v>
      </c>
      <c r="AT162" s="85"/>
      <c r="AU162" s="84">
        <f t="shared" si="564"/>
        <v>0</v>
      </c>
      <c r="AV162" s="85"/>
      <c r="AW162" s="84">
        <f t="shared" si="565"/>
        <v>0</v>
      </c>
      <c r="AX162" s="85"/>
      <c r="AY162" s="84">
        <f t="shared" si="566"/>
        <v>0</v>
      </c>
      <c r="AZ162" s="85"/>
      <c r="BA162" s="84">
        <f t="shared" si="567"/>
        <v>0</v>
      </c>
      <c r="BB162" s="85"/>
      <c r="BC162" s="84">
        <f t="shared" si="568"/>
        <v>0</v>
      </c>
      <c r="BD162" s="81"/>
      <c r="BE162" s="214">
        <f t="shared" si="569"/>
        <v>0</v>
      </c>
    </row>
    <row r="163" spans="1:57" ht="14.25" hidden="1" customHeight="1" x14ac:dyDescent="0.35">
      <c r="A163" s="160" t="s">
        <v>422</v>
      </c>
      <c r="B163" s="170"/>
      <c r="C163" s="83">
        <f>'2020-21'!AS66</f>
        <v>0</v>
      </c>
      <c r="D163" s="107">
        <f t="shared" si="550"/>
        <v>0</v>
      </c>
      <c r="E163" s="304">
        <f t="shared" si="550"/>
        <v>0</v>
      </c>
      <c r="F163" s="289"/>
      <c r="G163" s="363" t="e">
        <f t="shared" si="551"/>
        <v>#DIV/0!</v>
      </c>
      <c r="H163" s="287"/>
      <c r="I163" s="313" t="e">
        <f t="shared" si="552"/>
        <v>#DIV/0!</v>
      </c>
      <c r="J163" s="287"/>
      <c r="K163" s="288" t="e">
        <f t="shared" si="477"/>
        <v>#DIV/0!</v>
      </c>
      <c r="L163" s="289"/>
      <c r="M163" s="290" t="e">
        <f t="shared" si="478"/>
        <v>#DIV/0!</v>
      </c>
      <c r="N163" s="287"/>
      <c r="O163" s="288" t="e">
        <f t="shared" si="479"/>
        <v>#DIV/0!</v>
      </c>
      <c r="P163" s="289"/>
      <c r="Q163" s="290" t="e">
        <f t="shared" si="480"/>
        <v>#DIV/0!</v>
      </c>
      <c r="R163" s="287"/>
      <c r="S163" s="288" t="e">
        <f t="shared" si="553"/>
        <v>#DIV/0!</v>
      </c>
      <c r="T163" s="287"/>
      <c r="U163" s="288" t="e">
        <f t="shared" si="481"/>
        <v>#DIV/0!</v>
      </c>
      <c r="V163" s="289"/>
      <c r="W163" s="290" t="e">
        <f t="shared" si="482"/>
        <v>#DIV/0!</v>
      </c>
      <c r="X163" s="287"/>
      <c r="Y163" s="313" t="e">
        <f t="shared" si="483"/>
        <v>#DIV/0!</v>
      </c>
      <c r="Z163" s="289"/>
      <c r="AA163" s="363" t="e">
        <f t="shared" si="554"/>
        <v>#DIV/0!</v>
      </c>
      <c r="AB163" s="287"/>
      <c r="AC163" s="313" t="e">
        <f t="shared" si="555"/>
        <v>#DIV/0!</v>
      </c>
      <c r="AD163" s="289"/>
      <c r="AE163" s="363" t="e">
        <f t="shared" si="556"/>
        <v>#DIV/0!</v>
      </c>
      <c r="AF163" s="323" t="e">
        <f t="shared" si="549"/>
        <v>#DIV/0!</v>
      </c>
      <c r="AG163" s="81">
        <f t="shared" si="557"/>
        <v>0</v>
      </c>
      <c r="AH163" s="81"/>
      <c r="AI163" s="84">
        <f t="shared" si="558"/>
        <v>0</v>
      </c>
      <c r="AJ163" s="85"/>
      <c r="AK163" s="48">
        <f t="shared" si="559"/>
        <v>0</v>
      </c>
      <c r="AL163" s="81"/>
      <c r="AM163" s="84">
        <f t="shared" si="560"/>
        <v>0</v>
      </c>
      <c r="AN163" s="85"/>
      <c r="AO163" s="84">
        <f t="shared" si="561"/>
        <v>0</v>
      </c>
      <c r="AP163" s="81"/>
      <c r="AQ163" s="84">
        <f t="shared" si="562"/>
        <v>0</v>
      </c>
      <c r="AR163" s="85"/>
      <c r="AS163" s="84">
        <f t="shared" si="563"/>
        <v>0</v>
      </c>
      <c r="AT163" s="85"/>
      <c r="AU163" s="84">
        <f t="shared" si="564"/>
        <v>0</v>
      </c>
      <c r="AV163" s="85"/>
      <c r="AW163" s="84">
        <f t="shared" si="565"/>
        <v>0</v>
      </c>
      <c r="AX163" s="85"/>
      <c r="AY163" s="84">
        <f t="shared" si="566"/>
        <v>0</v>
      </c>
      <c r="AZ163" s="85"/>
      <c r="BA163" s="84">
        <f t="shared" si="567"/>
        <v>0</v>
      </c>
      <c r="BB163" s="85"/>
      <c r="BC163" s="84">
        <f t="shared" si="568"/>
        <v>0</v>
      </c>
      <c r="BD163" s="81"/>
      <c r="BE163" s="214">
        <f t="shared" si="569"/>
        <v>0</v>
      </c>
    </row>
    <row r="164" spans="1:57" ht="14.25" hidden="1" customHeight="1" x14ac:dyDescent="0.35">
      <c r="A164" s="151" t="s">
        <v>467</v>
      </c>
      <c r="B164" s="180"/>
      <c r="C164" s="83">
        <f>'2020-21'!AS67</f>
        <v>0</v>
      </c>
      <c r="D164" s="107">
        <f t="shared" si="550"/>
        <v>0</v>
      </c>
      <c r="E164" s="304">
        <f t="shared" si="550"/>
        <v>0</v>
      </c>
      <c r="F164" s="289"/>
      <c r="G164" s="363" t="e">
        <f t="shared" si="551"/>
        <v>#DIV/0!</v>
      </c>
      <c r="H164" s="287"/>
      <c r="I164" s="313" t="e">
        <f t="shared" si="552"/>
        <v>#DIV/0!</v>
      </c>
      <c r="J164" s="287"/>
      <c r="K164" s="288" t="e">
        <f t="shared" si="477"/>
        <v>#DIV/0!</v>
      </c>
      <c r="L164" s="289"/>
      <c r="M164" s="290" t="e">
        <f t="shared" si="478"/>
        <v>#DIV/0!</v>
      </c>
      <c r="N164" s="287"/>
      <c r="O164" s="288" t="e">
        <f t="shared" si="479"/>
        <v>#DIV/0!</v>
      </c>
      <c r="P164" s="289"/>
      <c r="Q164" s="290" t="e">
        <f t="shared" si="480"/>
        <v>#DIV/0!</v>
      </c>
      <c r="R164" s="287"/>
      <c r="S164" s="288" t="e">
        <f t="shared" si="553"/>
        <v>#DIV/0!</v>
      </c>
      <c r="T164" s="287"/>
      <c r="U164" s="288" t="e">
        <f t="shared" si="481"/>
        <v>#DIV/0!</v>
      </c>
      <c r="V164" s="289"/>
      <c r="W164" s="290" t="e">
        <f t="shared" si="482"/>
        <v>#DIV/0!</v>
      </c>
      <c r="X164" s="287"/>
      <c r="Y164" s="313" t="e">
        <f t="shared" si="483"/>
        <v>#DIV/0!</v>
      </c>
      <c r="Z164" s="289"/>
      <c r="AA164" s="363" t="e">
        <f t="shared" si="554"/>
        <v>#DIV/0!</v>
      </c>
      <c r="AB164" s="287"/>
      <c r="AC164" s="313" t="e">
        <f t="shared" si="555"/>
        <v>#DIV/0!</v>
      </c>
      <c r="AD164" s="289"/>
      <c r="AE164" s="363" t="e">
        <f t="shared" si="556"/>
        <v>#DIV/0!</v>
      </c>
      <c r="AF164" s="323" t="e">
        <f t="shared" si="549"/>
        <v>#DIV/0!</v>
      </c>
      <c r="AG164" s="81">
        <f t="shared" si="557"/>
        <v>0</v>
      </c>
      <c r="AH164" s="81"/>
      <c r="AI164" s="84">
        <f t="shared" si="558"/>
        <v>0</v>
      </c>
      <c r="AJ164" s="85"/>
      <c r="AK164" s="48">
        <f t="shared" si="559"/>
        <v>0</v>
      </c>
      <c r="AL164" s="81"/>
      <c r="AM164" s="84">
        <f t="shared" si="560"/>
        <v>0</v>
      </c>
      <c r="AN164" s="85"/>
      <c r="AO164" s="84">
        <f t="shared" si="561"/>
        <v>0</v>
      </c>
      <c r="AP164" s="81"/>
      <c r="AQ164" s="84">
        <f t="shared" si="562"/>
        <v>0</v>
      </c>
      <c r="AR164" s="85"/>
      <c r="AS164" s="84">
        <f t="shared" si="563"/>
        <v>0</v>
      </c>
      <c r="AT164" s="85"/>
      <c r="AU164" s="84">
        <f t="shared" si="564"/>
        <v>0</v>
      </c>
      <c r="AV164" s="85"/>
      <c r="AW164" s="84">
        <f t="shared" si="565"/>
        <v>0</v>
      </c>
      <c r="AX164" s="85"/>
      <c r="AY164" s="84">
        <f t="shared" si="566"/>
        <v>0</v>
      </c>
      <c r="AZ164" s="85"/>
      <c r="BA164" s="84">
        <f t="shared" si="567"/>
        <v>0</v>
      </c>
      <c r="BB164" s="85"/>
      <c r="BC164" s="84">
        <f t="shared" si="568"/>
        <v>0</v>
      </c>
      <c r="BD164" s="81"/>
      <c r="BE164" s="214">
        <f t="shared" si="569"/>
        <v>0</v>
      </c>
    </row>
    <row r="165" spans="1:57" ht="14.25" hidden="1" customHeight="1" x14ac:dyDescent="0.35">
      <c r="A165" s="151" t="s">
        <v>308</v>
      </c>
      <c r="B165" s="180"/>
      <c r="C165" s="83">
        <f>'2020-21'!AS68</f>
        <v>0</v>
      </c>
      <c r="D165" s="107">
        <f t="shared" si="550"/>
        <v>0</v>
      </c>
      <c r="E165" s="304">
        <f t="shared" si="550"/>
        <v>0</v>
      </c>
      <c r="F165" s="289"/>
      <c r="G165" s="363" t="e">
        <f t="shared" si="551"/>
        <v>#DIV/0!</v>
      </c>
      <c r="H165" s="287"/>
      <c r="I165" s="313" t="e">
        <f t="shared" si="552"/>
        <v>#DIV/0!</v>
      </c>
      <c r="J165" s="287"/>
      <c r="K165" s="288" t="e">
        <f t="shared" si="477"/>
        <v>#DIV/0!</v>
      </c>
      <c r="L165" s="289"/>
      <c r="M165" s="290" t="e">
        <f t="shared" si="478"/>
        <v>#DIV/0!</v>
      </c>
      <c r="N165" s="287"/>
      <c r="O165" s="288" t="e">
        <f t="shared" si="479"/>
        <v>#DIV/0!</v>
      </c>
      <c r="P165" s="289"/>
      <c r="Q165" s="290" t="e">
        <f t="shared" si="480"/>
        <v>#DIV/0!</v>
      </c>
      <c r="R165" s="287"/>
      <c r="S165" s="288" t="e">
        <f t="shared" si="553"/>
        <v>#DIV/0!</v>
      </c>
      <c r="T165" s="287"/>
      <c r="U165" s="288" t="e">
        <f t="shared" si="481"/>
        <v>#DIV/0!</v>
      </c>
      <c r="V165" s="289"/>
      <c r="W165" s="290" t="e">
        <f t="shared" si="482"/>
        <v>#DIV/0!</v>
      </c>
      <c r="X165" s="287"/>
      <c r="Y165" s="313" t="e">
        <f t="shared" si="483"/>
        <v>#DIV/0!</v>
      </c>
      <c r="Z165" s="289"/>
      <c r="AA165" s="363" t="e">
        <f t="shared" si="554"/>
        <v>#DIV/0!</v>
      </c>
      <c r="AB165" s="287"/>
      <c r="AC165" s="313" t="e">
        <f t="shared" si="555"/>
        <v>#DIV/0!</v>
      </c>
      <c r="AD165" s="289"/>
      <c r="AE165" s="363" t="e">
        <f t="shared" si="556"/>
        <v>#DIV/0!</v>
      </c>
      <c r="AF165" s="323" t="e">
        <f t="shared" si="549"/>
        <v>#DIV/0!</v>
      </c>
      <c r="AG165" s="81">
        <f t="shared" si="557"/>
        <v>0</v>
      </c>
      <c r="AH165" s="81"/>
      <c r="AI165" s="84">
        <f t="shared" si="558"/>
        <v>0</v>
      </c>
      <c r="AJ165" s="85"/>
      <c r="AK165" s="48">
        <f t="shared" si="559"/>
        <v>0</v>
      </c>
      <c r="AL165" s="81"/>
      <c r="AM165" s="84">
        <f t="shared" si="560"/>
        <v>0</v>
      </c>
      <c r="AN165" s="85"/>
      <c r="AO165" s="84">
        <f t="shared" si="561"/>
        <v>0</v>
      </c>
      <c r="AP165" s="81"/>
      <c r="AQ165" s="84">
        <f t="shared" si="562"/>
        <v>0</v>
      </c>
      <c r="AR165" s="85"/>
      <c r="AS165" s="84">
        <f t="shared" si="563"/>
        <v>0</v>
      </c>
      <c r="AT165" s="85"/>
      <c r="AU165" s="84">
        <f t="shared" si="564"/>
        <v>0</v>
      </c>
      <c r="AV165" s="85"/>
      <c r="AW165" s="84">
        <f t="shared" si="565"/>
        <v>0</v>
      </c>
      <c r="AX165" s="85"/>
      <c r="AY165" s="84">
        <f t="shared" si="566"/>
        <v>0</v>
      </c>
      <c r="AZ165" s="85"/>
      <c r="BA165" s="84">
        <f t="shared" si="567"/>
        <v>0</v>
      </c>
      <c r="BB165" s="85"/>
      <c r="BC165" s="84">
        <f t="shared" si="568"/>
        <v>0</v>
      </c>
      <c r="BD165" s="81"/>
      <c r="BE165" s="214">
        <f t="shared" si="569"/>
        <v>0</v>
      </c>
    </row>
    <row r="166" spans="1:57" ht="14.25" hidden="1" customHeight="1" x14ac:dyDescent="0.35">
      <c r="A166" s="187" t="s">
        <v>381</v>
      </c>
      <c r="B166" s="170"/>
      <c r="C166" s="83">
        <f>'2020-21'!AS69</f>
        <v>0</v>
      </c>
      <c r="D166" s="107">
        <f t="shared" si="550"/>
        <v>0</v>
      </c>
      <c r="E166" s="304">
        <f t="shared" si="550"/>
        <v>0</v>
      </c>
      <c r="F166" s="289"/>
      <c r="G166" s="363" t="e">
        <f t="shared" si="551"/>
        <v>#DIV/0!</v>
      </c>
      <c r="H166" s="287"/>
      <c r="I166" s="313" t="e">
        <f t="shared" si="552"/>
        <v>#DIV/0!</v>
      </c>
      <c r="J166" s="287"/>
      <c r="K166" s="288" t="e">
        <f t="shared" si="477"/>
        <v>#DIV/0!</v>
      </c>
      <c r="L166" s="289"/>
      <c r="M166" s="290" t="e">
        <f t="shared" si="478"/>
        <v>#DIV/0!</v>
      </c>
      <c r="N166" s="287"/>
      <c r="O166" s="288" t="e">
        <f t="shared" si="479"/>
        <v>#DIV/0!</v>
      </c>
      <c r="P166" s="289"/>
      <c r="Q166" s="290" t="e">
        <f t="shared" si="480"/>
        <v>#DIV/0!</v>
      </c>
      <c r="R166" s="287"/>
      <c r="S166" s="288" t="e">
        <f t="shared" si="553"/>
        <v>#DIV/0!</v>
      </c>
      <c r="T166" s="287"/>
      <c r="U166" s="288" t="e">
        <f t="shared" si="481"/>
        <v>#DIV/0!</v>
      </c>
      <c r="V166" s="289"/>
      <c r="W166" s="290" t="e">
        <f t="shared" si="482"/>
        <v>#DIV/0!</v>
      </c>
      <c r="X166" s="287"/>
      <c r="Y166" s="313" t="e">
        <f t="shared" si="483"/>
        <v>#DIV/0!</v>
      </c>
      <c r="Z166" s="289"/>
      <c r="AA166" s="363" t="e">
        <f t="shared" si="554"/>
        <v>#DIV/0!</v>
      </c>
      <c r="AB166" s="287"/>
      <c r="AC166" s="313" t="e">
        <f t="shared" si="555"/>
        <v>#DIV/0!</v>
      </c>
      <c r="AD166" s="289"/>
      <c r="AE166" s="363" t="e">
        <f t="shared" si="556"/>
        <v>#DIV/0!</v>
      </c>
      <c r="AF166" s="323" t="e">
        <f t="shared" si="549"/>
        <v>#DIV/0!</v>
      </c>
      <c r="AG166" s="81">
        <f t="shared" si="557"/>
        <v>0</v>
      </c>
      <c r="AH166" s="81"/>
      <c r="AI166" s="84">
        <f t="shared" si="558"/>
        <v>0</v>
      </c>
      <c r="AJ166" s="85"/>
      <c r="AK166" s="48">
        <f t="shared" si="559"/>
        <v>0</v>
      </c>
      <c r="AL166" s="81"/>
      <c r="AM166" s="84">
        <f t="shared" si="560"/>
        <v>0</v>
      </c>
      <c r="AN166" s="85"/>
      <c r="AO166" s="84">
        <f t="shared" si="561"/>
        <v>0</v>
      </c>
      <c r="AP166" s="81"/>
      <c r="AQ166" s="84">
        <f t="shared" si="562"/>
        <v>0</v>
      </c>
      <c r="AR166" s="85"/>
      <c r="AS166" s="84">
        <f t="shared" si="563"/>
        <v>0</v>
      </c>
      <c r="AT166" s="85"/>
      <c r="AU166" s="84">
        <f t="shared" si="564"/>
        <v>0</v>
      </c>
      <c r="AV166" s="85"/>
      <c r="AW166" s="84">
        <f t="shared" si="565"/>
        <v>0</v>
      </c>
      <c r="AX166" s="85"/>
      <c r="AY166" s="84">
        <f t="shared" si="566"/>
        <v>0</v>
      </c>
      <c r="AZ166" s="85"/>
      <c r="BA166" s="84">
        <f t="shared" si="567"/>
        <v>0</v>
      </c>
      <c r="BB166" s="85"/>
      <c r="BC166" s="84">
        <f t="shared" si="568"/>
        <v>0</v>
      </c>
      <c r="BD166" s="81"/>
      <c r="BE166" s="214">
        <f t="shared" si="569"/>
        <v>0</v>
      </c>
    </row>
    <row r="167" spans="1:57" ht="14.25" hidden="1" customHeight="1" x14ac:dyDescent="0.35">
      <c r="A167" s="159" t="s">
        <v>399</v>
      </c>
      <c r="B167" s="170"/>
      <c r="C167" s="83">
        <f>'2020-21'!AS70</f>
        <v>0</v>
      </c>
      <c r="D167" s="107">
        <f t="shared" si="550"/>
        <v>0</v>
      </c>
      <c r="E167" s="304">
        <f t="shared" si="550"/>
        <v>0</v>
      </c>
      <c r="F167" s="289"/>
      <c r="G167" s="363" t="e">
        <f t="shared" si="551"/>
        <v>#DIV/0!</v>
      </c>
      <c r="H167" s="287"/>
      <c r="I167" s="313" t="e">
        <f t="shared" si="552"/>
        <v>#DIV/0!</v>
      </c>
      <c r="J167" s="287"/>
      <c r="K167" s="288" t="e">
        <f t="shared" si="477"/>
        <v>#DIV/0!</v>
      </c>
      <c r="L167" s="289"/>
      <c r="M167" s="290" t="e">
        <f t="shared" si="478"/>
        <v>#DIV/0!</v>
      </c>
      <c r="N167" s="287"/>
      <c r="O167" s="288" t="e">
        <f t="shared" si="479"/>
        <v>#DIV/0!</v>
      </c>
      <c r="P167" s="289"/>
      <c r="Q167" s="290" t="e">
        <f t="shared" si="480"/>
        <v>#DIV/0!</v>
      </c>
      <c r="R167" s="287"/>
      <c r="S167" s="288" t="e">
        <f t="shared" si="553"/>
        <v>#DIV/0!</v>
      </c>
      <c r="T167" s="287"/>
      <c r="U167" s="288" t="e">
        <f t="shared" si="481"/>
        <v>#DIV/0!</v>
      </c>
      <c r="V167" s="289"/>
      <c r="W167" s="290" t="e">
        <f t="shared" si="482"/>
        <v>#DIV/0!</v>
      </c>
      <c r="X167" s="287"/>
      <c r="Y167" s="313" t="e">
        <f t="shared" si="483"/>
        <v>#DIV/0!</v>
      </c>
      <c r="Z167" s="289"/>
      <c r="AA167" s="363" t="e">
        <f t="shared" si="554"/>
        <v>#DIV/0!</v>
      </c>
      <c r="AB167" s="287"/>
      <c r="AC167" s="313" t="e">
        <f t="shared" si="555"/>
        <v>#DIV/0!</v>
      </c>
      <c r="AD167" s="289"/>
      <c r="AE167" s="363" t="e">
        <f t="shared" si="556"/>
        <v>#DIV/0!</v>
      </c>
      <c r="AF167" s="323" t="e">
        <f t="shared" si="549"/>
        <v>#DIV/0!</v>
      </c>
      <c r="AG167" s="81">
        <f t="shared" si="557"/>
        <v>0</v>
      </c>
      <c r="AH167" s="81"/>
      <c r="AI167" s="84">
        <f t="shared" si="558"/>
        <v>0</v>
      </c>
      <c r="AJ167" s="85"/>
      <c r="AK167" s="48">
        <f t="shared" si="559"/>
        <v>0</v>
      </c>
      <c r="AL167" s="81"/>
      <c r="AM167" s="84">
        <f t="shared" si="560"/>
        <v>0</v>
      </c>
      <c r="AN167" s="85"/>
      <c r="AO167" s="84">
        <f t="shared" si="561"/>
        <v>0</v>
      </c>
      <c r="AP167" s="81"/>
      <c r="AQ167" s="84">
        <f t="shared" si="562"/>
        <v>0</v>
      </c>
      <c r="AR167" s="85"/>
      <c r="AS167" s="84">
        <f t="shared" si="563"/>
        <v>0</v>
      </c>
      <c r="AT167" s="85"/>
      <c r="AU167" s="84">
        <f t="shared" si="564"/>
        <v>0</v>
      </c>
      <c r="AV167" s="85"/>
      <c r="AW167" s="84">
        <f t="shared" si="565"/>
        <v>0</v>
      </c>
      <c r="AX167" s="85"/>
      <c r="AY167" s="84">
        <f t="shared" si="566"/>
        <v>0</v>
      </c>
      <c r="AZ167" s="85"/>
      <c r="BA167" s="84">
        <f t="shared" si="567"/>
        <v>0</v>
      </c>
      <c r="BB167" s="85"/>
      <c r="BC167" s="84">
        <f t="shared" si="568"/>
        <v>0</v>
      </c>
      <c r="BD167" s="81"/>
      <c r="BE167" s="214">
        <f t="shared" si="569"/>
        <v>0</v>
      </c>
    </row>
    <row r="168" spans="1:57" ht="14.25" hidden="1" customHeight="1" x14ac:dyDescent="0.35">
      <c r="A168" s="161" t="s">
        <v>397</v>
      </c>
      <c r="B168" s="170"/>
      <c r="C168" s="83">
        <f>'2020-21'!AS71</f>
        <v>0</v>
      </c>
      <c r="D168" s="107">
        <f t="shared" si="550"/>
        <v>0</v>
      </c>
      <c r="E168" s="304">
        <f t="shared" si="550"/>
        <v>0</v>
      </c>
      <c r="F168" s="289"/>
      <c r="G168" s="363" t="e">
        <f t="shared" si="551"/>
        <v>#DIV/0!</v>
      </c>
      <c r="H168" s="287"/>
      <c r="I168" s="313" t="e">
        <f t="shared" si="552"/>
        <v>#DIV/0!</v>
      </c>
      <c r="J168" s="287"/>
      <c r="K168" s="288" t="e">
        <f t="shared" si="477"/>
        <v>#DIV/0!</v>
      </c>
      <c r="L168" s="289"/>
      <c r="M168" s="290" t="e">
        <f t="shared" si="478"/>
        <v>#DIV/0!</v>
      </c>
      <c r="N168" s="287"/>
      <c r="O168" s="288" t="e">
        <f t="shared" si="479"/>
        <v>#DIV/0!</v>
      </c>
      <c r="P168" s="289"/>
      <c r="Q168" s="290" t="e">
        <f t="shared" si="480"/>
        <v>#DIV/0!</v>
      </c>
      <c r="R168" s="287"/>
      <c r="S168" s="288" t="e">
        <f t="shared" si="553"/>
        <v>#DIV/0!</v>
      </c>
      <c r="T168" s="287"/>
      <c r="U168" s="288" t="e">
        <f t="shared" si="481"/>
        <v>#DIV/0!</v>
      </c>
      <c r="V168" s="289"/>
      <c r="W168" s="290" t="e">
        <f t="shared" si="482"/>
        <v>#DIV/0!</v>
      </c>
      <c r="X168" s="287"/>
      <c r="Y168" s="313" t="e">
        <f t="shared" si="483"/>
        <v>#DIV/0!</v>
      </c>
      <c r="Z168" s="289"/>
      <c r="AA168" s="363" t="e">
        <f t="shared" si="554"/>
        <v>#DIV/0!</v>
      </c>
      <c r="AB168" s="287"/>
      <c r="AC168" s="313" t="e">
        <f t="shared" si="555"/>
        <v>#DIV/0!</v>
      </c>
      <c r="AD168" s="289"/>
      <c r="AE168" s="363" t="e">
        <f t="shared" si="556"/>
        <v>#DIV/0!</v>
      </c>
      <c r="AF168" s="323" t="e">
        <f t="shared" si="549"/>
        <v>#DIV/0!</v>
      </c>
      <c r="AG168" s="81">
        <f t="shared" si="557"/>
        <v>0</v>
      </c>
      <c r="AH168" s="81"/>
      <c r="AI168" s="84">
        <f t="shared" si="558"/>
        <v>0</v>
      </c>
      <c r="AJ168" s="85"/>
      <c r="AK168" s="48">
        <f t="shared" si="559"/>
        <v>0</v>
      </c>
      <c r="AL168" s="81"/>
      <c r="AM168" s="84">
        <f t="shared" si="560"/>
        <v>0</v>
      </c>
      <c r="AN168" s="85"/>
      <c r="AO168" s="84">
        <f t="shared" si="561"/>
        <v>0</v>
      </c>
      <c r="AP168" s="81"/>
      <c r="AQ168" s="84">
        <f t="shared" si="562"/>
        <v>0</v>
      </c>
      <c r="AR168" s="85"/>
      <c r="AS168" s="84">
        <f t="shared" si="563"/>
        <v>0</v>
      </c>
      <c r="AT168" s="85"/>
      <c r="AU168" s="84">
        <f t="shared" si="564"/>
        <v>0</v>
      </c>
      <c r="AV168" s="85"/>
      <c r="AW168" s="84">
        <f t="shared" si="565"/>
        <v>0</v>
      </c>
      <c r="AX168" s="85"/>
      <c r="AY168" s="84">
        <f t="shared" si="566"/>
        <v>0</v>
      </c>
      <c r="AZ168" s="85"/>
      <c r="BA168" s="84">
        <f t="shared" si="567"/>
        <v>0</v>
      </c>
      <c r="BB168" s="85"/>
      <c r="BC168" s="84">
        <f t="shared" si="568"/>
        <v>0</v>
      </c>
      <c r="BD168" s="81"/>
      <c r="BE168" s="214">
        <f t="shared" si="569"/>
        <v>0</v>
      </c>
    </row>
    <row r="169" spans="1:57" ht="14.25" hidden="1" customHeight="1" x14ac:dyDescent="0.35">
      <c r="A169" s="159" t="s">
        <v>428</v>
      </c>
      <c r="B169" s="180"/>
      <c r="C169" s="83">
        <f>'2020-21'!AS72</f>
        <v>0</v>
      </c>
      <c r="D169" s="107">
        <f t="shared" si="550"/>
        <v>0</v>
      </c>
      <c r="E169" s="304">
        <f t="shared" si="550"/>
        <v>0</v>
      </c>
      <c r="F169" s="289"/>
      <c r="G169" s="363" t="e">
        <f t="shared" si="551"/>
        <v>#DIV/0!</v>
      </c>
      <c r="H169" s="287"/>
      <c r="I169" s="313" t="e">
        <f t="shared" si="552"/>
        <v>#DIV/0!</v>
      </c>
      <c r="J169" s="287"/>
      <c r="K169" s="288" t="e">
        <f t="shared" si="477"/>
        <v>#DIV/0!</v>
      </c>
      <c r="L169" s="289"/>
      <c r="M169" s="290" t="e">
        <f t="shared" si="478"/>
        <v>#DIV/0!</v>
      </c>
      <c r="N169" s="287"/>
      <c r="O169" s="288" t="e">
        <f t="shared" si="479"/>
        <v>#DIV/0!</v>
      </c>
      <c r="P169" s="289"/>
      <c r="Q169" s="290" t="e">
        <f t="shared" si="480"/>
        <v>#DIV/0!</v>
      </c>
      <c r="R169" s="287"/>
      <c r="S169" s="288" t="e">
        <f t="shared" si="553"/>
        <v>#DIV/0!</v>
      </c>
      <c r="T169" s="287"/>
      <c r="U169" s="288" t="e">
        <f t="shared" si="481"/>
        <v>#DIV/0!</v>
      </c>
      <c r="V169" s="289"/>
      <c r="W169" s="290" t="e">
        <f t="shared" si="482"/>
        <v>#DIV/0!</v>
      </c>
      <c r="X169" s="287"/>
      <c r="Y169" s="313" t="e">
        <f t="shared" si="483"/>
        <v>#DIV/0!</v>
      </c>
      <c r="Z169" s="289"/>
      <c r="AA169" s="363" t="e">
        <f t="shared" si="554"/>
        <v>#DIV/0!</v>
      </c>
      <c r="AB169" s="287"/>
      <c r="AC169" s="313" t="e">
        <f t="shared" si="555"/>
        <v>#DIV/0!</v>
      </c>
      <c r="AD169" s="289"/>
      <c r="AE169" s="363" t="e">
        <f t="shared" si="556"/>
        <v>#DIV/0!</v>
      </c>
      <c r="AF169" s="323" t="e">
        <f t="shared" si="549"/>
        <v>#DIV/0!</v>
      </c>
      <c r="AG169" s="81">
        <f t="shared" si="557"/>
        <v>0</v>
      </c>
      <c r="AH169" s="81"/>
      <c r="AI169" s="84">
        <f t="shared" si="558"/>
        <v>0</v>
      </c>
      <c r="AJ169" s="85"/>
      <c r="AK169" s="48">
        <f t="shared" si="559"/>
        <v>0</v>
      </c>
      <c r="AL169" s="81"/>
      <c r="AM169" s="84">
        <f t="shared" si="560"/>
        <v>0</v>
      </c>
      <c r="AN169" s="85"/>
      <c r="AO169" s="84">
        <f t="shared" si="561"/>
        <v>0</v>
      </c>
      <c r="AP169" s="81"/>
      <c r="AQ169" s="84">
        <f t="shared" si="562"/>
        <v>0</v>
      </c>
      <c r="AR169" s="85"/>
      <c r="AS169" s="84">
        <f t="shared" si="563"/>
        <v>0</v>
      </c>
      <c r="AT169" s="85"/>
      <c r="AU169" s="84">
        <f t="shared" si="564"/>
        <v>0</v>
      </c>
      <c r="AV169" s="85"/>
      <c r="AW169" s="84">
        <f t="shared" si="565"/>
        <v>0</v>
      </c>
      <c r="AX169" s="85"/>
      <c r="AY169" s="84">
        <f t="shared" si="566"/>
        <v>0</v>
      </c>
      <c r="AZ169" s="85"/>
      <c r="BA169" s="84">
        <f t="shared" si="567"/>
        <v>0</v>
      </c>
      <c r="BB169" s="85"/>
      <c r="BC169" s="84">
        <f t="shared" si="568"/>
        <v>0</v>
      </c>
      <c r="BD169" s="81"/>
      <c r="BE169" s="214">
        <f t="shared" si="569"/>
        <v>0</v>
      </c>
    </row>
    <row r="170" spans="1:57" ht="14.25" hidden="1" customHeight="1" x14ac:dyDescent="0.35">
      <c r="A170" s="159" t="s">
        <v>410</v>
      </c>
      <c r="B170" s="172"/>
      <c r="C170" s="83">
        <f>'2020-21'!AS73</f>
        <v>0</v>
      </c>
      <c r="D170" s="107">
        <f t="shared" si="550"/>
        <v>0</v>
      </c>
      <c r="E170" s="304">
        <f t="shared" si="550"/>
        <v>0</v>
      </c>
      <c r="F170" s="289"/>
      <c r="G170" s="363" t="e">
        <f t="shared" si="551"/>
        <v>#DIV/0!</v>
      </c>
      <c r="H170" s="287"/>
      <c r="I170" s="313" t="e">
        <f t="shared" si="552"/>
        <v>#DIV/0!</v>
      </c>
      <c r="J170" s="287"/>
      <c r="K170" s="288" t="e">
        <f t="shared" si="477"/>
        <v>#DIV/0!</v>
      </c>
      <c r="L170" s="289"/>
      <c r="M170" s="290" t="e">
        <f t="shared" si="478"/>
        <v>#DIV/0!</v>
      </c>
      <c r="N170" s="287"/>
      <c r="O170" s="288" t="e">
        <f t="shared" si="479"/>
        <v>#DIV/0!</v>
      </c>
      <c r="P170" s="289"/>
      <c r="Q170" s="290" t="e">
        <f t="shared" si="480"/>
        <v>#DIV/0!</v>
      </c>
      <c r="R170" s="287"/>
      <c r="S170" s="288" t="e">
        <f t="shared" si="553"/>
        <v>#DIV/0!</v>
      </c>
      <c r="T170" s="287"/>
      <c r="U170" s="288" t="e">
        <f t="shared" si="481"/>
        <v>#DIV/0!</v>
      </c>
      <c r="V170" s="289"/>
      <c r="W170" s="290" t="e">
        <f t="shared" si="482"/>
        <v>#DIV/0!</v>
      </c>
      <c r="X170" s="287"/>
      <c r="Y170" s="313" t="e">
        <f t="shared" si="483"/>
        <v>#DIV/0!</v>
      </c>
      <c r="Z170" s="289"/>
      <c r="AA170" s="363" t="e">
        <f t="shared" si="554"/>
        <v>#DIV/0!</v>
      </c>
      <c r="AB170" s="287"/>
      <c r="AC170" s="313" t="e">
        <f t="shared" si="555"/>
        <v>#DIV/0!</v>
      </c>
      <c r="AD170" s="289"/>
      <c r="AE170" s="363" t="e">
        <f t="shared" si="556"/>
        <v>#DIV/0!</v>
      </c>
      <c r="AF170" s="323" t="e">
        <f t="shared" si="549"/>
        <v>#DIV/0!</v>
      </c>
      <c r="AG170" s="81">
        <f t="shared" si="557"/>
        <v>0</v>
      </c>
      <c r="AH170" s="81"/>
      <c r="AI170" s="84">
        <f t="shared" si="558"/>
        <v>0</v>
      </c>
      <c r="AJ170" s="85"/>
      <c r="AK170" s="48">
        <f t="shared" si="559"/>
        <v>0</v>
      </c>
      <c r="AL170" s="81"/>
      <c r="AM170" s="84">
        <f t="shared" si="560"/>
        <v>0</v>
      </c>
      <c r="AN170" s="85"/>
      <c r="AO170" s="84">
        <f t="shared" si="561"/>
        <v>0</v>
      </c>
      <c r="AP170" s="81"/>
      <c r="AQ170" s="84">
        <f t="shared" si="562"/>
        <v>0</v>
      </c>
      <c r="AR170" s="85"/>
      <c r="AS170" s="84">
        <f t="shared" si="563"/>
        <v>0</v>
      </c>
      <c r="AT170" s="85"/>
      <c r="AU170" s="84">
        <f t="shared" si="564"/>
        <v>0</v>
      </c>
      <c r="AV170" s="85"/>
      <c r="AW170" s="84">
        <f t="shared" si="565"/>
        <v>0</v>
      </c>
      <c r="AX170" s="85"/>
      <c r="AY170" s="84">
        <f t="shared" si="566"/>
        <v>0</v>
      </c>
      <c r="AZ170" s="85"/>
      <c r="BA170" s="84">
        <f t="shared" si="567"/>
        <v>0</v>
      </c>
      <c r="BB170" s="85"/>
      <c r="BC170" s="84">
        <f t="shared" si="568"/>
        <v>0</v>
      </c>
      <c r="BD170" s="81"/>
      <c r="BE170" s="214">
        <f t="shared" si="569"/>
        <v>0</v>
      </c>
    </row>
    <row r="171" spans="1:57" ht="14.25" hidden="1" customHeight="1" x14ac:dyDescent="0.35">
      <c r="A171" s="100" t="s">
        <v>363</v>
      </c>
      <c r="B171" s="172"/>
      <c r="C171" s="83">
        <f>'2020-21'!AS74</f>
        <v>0</v>
      </c>
      <c r="D171" s="107">
        <f t="shared" si="550"/>
        <v>0</v>
      </c>
      <c r="E171" s="304">
        <f t="shared" si="550"/>
        <v>0</v>
      </c>
      <c r="F171" s="289"/>
      <c r="G171" s="363" t="e">
        <f t="shared" si="551"/>
        <v>#DIV/0!</v>
      </c>
      <c r="H171" s="287"/>
      <c r="I171" s="313" t="e">
        <f t="shared" si="552"/>
        <v>#DIV/0!</v>
      </c>
      <c r="J171" s="287"/>
      <c r="K171" s="288" t="e">
        <f t="shared" si="477"/>
        <v>#DIV/0!</v>
      </c>
      <c r="L171" s="289"/>
      <c r="M171" s="290" t="e">
        <f t="shared" si="478"/>
        <v>#DIV/0!</v>
      </c>
      <c r="N171" s="287"/>
      <c r="O171" s="288" t="e">
        <f t="shared" si="479"/>
        <v>#DIV/0!</v>
      </c>
      <c r="P171" s="289"/>
      <c r="Q171" s="290" t="e">
        <f t="shared" si="480"/>
        <v>#DIV/0!</v>
      </c>
      <c r="R171" s="287"/>
      <c r="S171" s="288" t="e">
        <f t="shared" si="553"/>
        <v>#DIV/0!</v>
      </c>
      <c r="T171" s="287"/>
      <c r="U171" s="288" t="e">
        <f t="shared" si="481"/>
        <v>#DIV/0!</v>
      </c>
      <c r="V171" s="289"/>
      <c r="W171" s="290" t="e">
        <f t="shared" si="482"/>
        <v>#DIV/0!</v>
      </c>
      <c r="X171" s="287"/>
      <c r="Y171" s="313" t="e">
        <f t="shared" si="483"/>
        <v>#DIV/0!</v>
      </c>
      <c r="Z171" s="289"/>
      <c r="AA171" s="363" t="e">
        <f t="shared" si="554"/>
        <v>#DIV/0!</v>
      </c>
      <c r="AB171" s="287"/>
      <c r="AC171" s="313" t="e">
        <f t="shared" si="555"/>
        <v>#DIV/0!</v>
      </c>
      <c r="AD171" s="289"/>
      <c r="AE171" s="363" t="e">
        <f t="shared" si="556"/>
        <v>#DIV/0!</v>
      </c>
      <c r="AF171" s="323" t="e">
        <f t="shared" si="549"/>
        <v>#DIV/0!</v>
      </c>
      <c r="AG171" s="81">
        <f t="shared" si="557"/>
        <v>0</v>
      </c>
      <c r="AH171" s="81"/>
      <c r="AI171" s="84">
        <f t="shared" si="558"/>
        <v>0</v>
      </c>
      <c r="AJ171" s="85"/>
      <c r="AK171" s="48">
        <f t="shared" si="559"/>
        <v>0</v>
      </c>
      <c r="AL171" s="81"/>
      <c r="AM171" s="84">
        <f t="shared" si="560"/>
        <v>0</v>
      </c>
      <c r="AN171" s="85"/>
      <c r="AO171" s="84">
        <f t="shared" si="561"/>
        <v>0</v>
      </c>
      <c r="AP171" s="81"/>
      <c r="AQ171" s="84">
        <f t="shared" si="562"/>
        <v>0</v>
      </c>
      <c r="AR171" s="85"/>
      <c r="AS171" s="84">
        <f t="shared" si="563"/>
        <v>0</v>
      </c>
      <c r="AT171" s="85"/>
      <c r="AU171" s="84">
        <f t="shared" si="564"/>
        <v>0</v>
      </c>
      <c r="AV171" s="85"/>
      <c r="AW171" s="84">
        <f t="shared" si="565"/>
        <v>0</v>
      </c>
      <c r="AX171" s="85"/>
      <c r="AY171" s="84">
        <f t="shared" si="566"/>
        <v>0</v>
      </c>
      <c r="AZ171" s="85"/>
      <c r="BA171" s="84">
        <f t="shared" si="567"/>
        <v>0</v>
      </c>
      <c r="BB171" s="85"/>
      <c r="BC171" s="84">
        <f t="shared" si="568"/>
        <v>0</v>
      </c>
      <c r="BD171" s="81"/>
      <c r="BE171" s="214">
        <f t="shared" si="569"/>
        <v>0</v>
      </c>
    </row>
    <row r="172" spans="1:57" ht="14.25" hidden="1" customHeight="1" x14ac:dyDescent="0.35">
      <c r="A172" s="159" t="s">
        <v>402</v>
      </c>
      <c r="B172" s="170"/>
      <c r="C172" s="83">
        <f>'2020-21'!AS75</f>
        <v>0</v>
      </c>
      <c r="D172" s="107">
        <f t="shared" si="550"/>
        <v>0</v>
      </c>
      <c r="E172" s="304">
        <f t="shared" si="550"/>
        <v>0</v>
      </c>
      <c r="F172" s="289"/>
      <c r="G172" s="363" t="e">
        <f t="shared" si="551"/>
        <v>#DIV/0!</v>
      </c>
      <c r="H172" s="287"/>
      <c r="I172" s="313" t="e">
        <f t="shared" si="552"/>
        <v>#DIV/0!</v>
      </c>
      <c r="J172" s="287"/>
      <c r="K172" s="288" t="e">
        <f t="shared" si="477"/>
        <v>#DIV/0!</v>
      </c>
      <c r="L172" s="289"/>
      <c r="M172" s="290" t="e">
        <f t="shared" si="478"/>
        <v>#DIV/0!</v>
      </c>
      <c r="N172" s="287"/>
      <c r="O172" s="288" t="e">
        <f t="shared" si="479"/>
        <v>#DIV/0!</v>
      </c>
      <c r="P172" s="289"/>
      <c r="Q172" s="290" t="e">
        <f t="shared" si="480"/>
        <v>#DIV/0!</v>
      </c>
      <c r="R172" s="287"/>
      <c r="S172" s="288" t="e">
        <f t="shared" si="553"/>
        <v>#DIV/0!</v>
      </c>
      <c r="T172" s="287"/>
      <c r="U172" s="288" t="e">
        <f t="shared" si="481"/>
        <v>#DIV/0!</v>
      </c>
      <c r="V172" s="289"/>
      <c r="W172" s="290" t="e">
        <f t="shared" si="482"/>
        <v>#DIV/0!</v>
      </c>
      <c r="X172" s="287"/>
      <c r="Y172" s="313" t="e">
        <f t="shared" si="483"/>
        <v>#DIV/0!</v>
      </c>
      <c r="Z172" s="289"/>
      <c r="AA172" s="363" t="e">
        <f t="shared" si="554"/>
        <v>#DIV/0!</v>
      </c>
      <c r="AB172" s="287"/>
      <c r="AC172" s="313" t="e">
        <f t="shared" si="555"/>
        <v>#DIV/0!</v>
      </c>
      <c r="AD172" s="289"/>
      <c r="AE172" s="363" t="e">
        <f t="shared" si="556"/>
        <v>#DIV/0!</v>
      </c>
      <c r="AF172" s="323" t="e">
        <f t="shared" si="549"/>
        <v>#DIV/0!</v>
      </c>
      <c r="AG172" s="81">
        <f t="shared" si="557"/>
        <v>0</v>
      </c>
      <c r="AH172" s="81"/>
      <c r="AI172" s="84">
        <f t="shared" si="558"/>
        <v>0</v>
      </c>
      <c r="AJ172" s="85"/>
      <c r="AK172" s="48">
        <f t="shared" si="559"/>
        <v>0</v>
      </c>
      <c r="AL172" s="81"/>
      <c r="AM172" s="84">
        <f t="shared" si="560"/>
        <v>0</v>
      </c>
      <c r="AN172" s="85"/>
      <c r="AO172" s="84">
        <f t="shared" si="561"/>
        <v>0</v>
      </c>
      <c r="AP172" s="81"/>
      <c r="AQ172" s="84">
        <f t="shared" si="562"/>
        <v>0</v>
      </c>
      <c r="AR172" s="85"/>
      <c r="AS172" s="84">
        <f t="shared" si="563"/>
        <v>0</v>
      </c>
      <c r="AT172" s="85"/>
      <c r="AU172" s="84">
        <f t="shared" si="564"/>
        <v>0</v>
      </c>
      <c r="AV172" s="85"/>
      <c r="AW172" s="84">
        <f t="shared" si="565"/>
        <v>0</v>
      </c>
      <c r="AX172" s="85"/>
      <c r="AY172" s="84">
        <f t="shared" si="566"/>
        <v>0</v>
      </c>
      <c r="AZ172" s="85"/>
      <c r="BA172" s="84">
        <f t="shared" si="567"/>
        <v>0</v>
      </c>
      <c r="BB172" s="85"/>
      <c r="BC172" s="84">
        <f t="shared" si="568"/>
        <v>0</v>
      </c>
      <c r="BD172" s="81"/>
      <c r="BE172" s="214">
        <f t="shared" si="569"/>
        <v>0</v>
      </c>
    </row>
    <row r="173" spans="1:57" ht="14.25" hidden="1" customHeight="1" x14ac:dyDescent="0.35">
      <c r="A173" s="41" t="s">
        <v>221</v>
      </c>
      <c r="B173" s="172"/>
      <c r="C173" s="83">
        <f>'2020-21'!AS76</f>
        <v>0</v>
      </c>
      <c r="D173" s="107">
        <f t="shared" si="550"/>
        <v>0</v>
      </c>
      <c r="E173" s="304">
        <f t="shared" si="550"/>
        <v>0</v>
      </c>
      <c r="F173" s="289"/>
      <c r="G173" s="363" t="e">
        <f t="shared" si="551"/>
        <v>#DIV/0!</v>
      </c>
      <c r="H173" s="287"/>
      <c r="I173" s="313" t="e">
        <f t="shared" si="552"/>
        <v>#DIV/0!</v>
      </c>
      <c r="J173" s="287"/>
      <c r="K173" s="288" t="e">
        <f t="shared" si="477"/>
        <v>#DIV/0!</v>
      </c>
      <c r="L173" s="289"/>
      <c r="M173" s="290" t="e">
        <f t="shared" si="478"/>
        <v>#DIV/0!</v>
      </c>
      <c r="N173" s="287"/>
      <c r="O173" s="288" t="e">
        <f t="shared" si="479"/>
        <v>#DIV/0!</v>
      </c>
      <c r="P173" s="289"/>
      <c r="Q173" s="290" t="e">
        <f t="shared" si="480"/>
        <v>#DIV/0!</v>
      </c>
      <c r="R173" s="287"/>
      <c r="S173" s="288" t="e">
        <f t="shared" si="553"/>
        <v>#DIV/0!</v>
      </c>
      <c r="T173" s="287"/>
      <c r="U173" s="288" t="e">
        <f t="shared" si="481"/>
        <v>#DIV/0!</v>
      </c>
      <c r="V173" s="289"/>
      <c r="W173" s="290" t="e">
        <f t="shared" si="482"/>
        <v>#DIV/0!</v>
      </c>
      <c r="X173" s="287"/>
      <c r="Y173" s="313" t="e">
        <f t="shared" si="483"/>
        <v>#DIV/0!</v>
      </c>
      <c r="Z173" s="289"/>
      <c r="AA173" s="363" t="e">
        <f t="shared" si="554"/>
        <v>#DIV/0!</v>
      </c>
      <c r="AB173" s="287"/>
      <c r="AC173" s="313" t="e">
        <f t="shared" si="555"/>
        <v>#DIV/0!</v>
      </c>
      <c r="AD173" s="289"/>
      <c r="AE173" s="363" t="e">
        <f t="shared" si="556"/>
        <v>#DIV/0!</v>
      </c>
      <c r="AF173" s="323" t="e">
        <f t="shared" si="549"/>
        <v>#DIV/0!</v>
      </c>
      <c r="AG173" s="81">
        <f t="shared" si="557"/>
        <v>0</v>
      </c>
      <c r="AH173" s="81"/>
      <c r="AI173" s="84">
        <f t="shared" si="558"/>
        <v>0</v>
      </c>
      <c r="AJ173" s="85"/>
      <c r="AK173" s="48">
        <f t="shared" si="559"/>
        <v>0</v>
      </c>
      <c r="AL173" s="81"/>
      <c r="AM173" s="84">
        <f t="shared" si="560"/>
        <v>0</v>
      </c>
      <c r="AN173" s="85"/>
      <c r="AO173" s="84">
        <f t="shared" si="561"/>
        <v>0</v>
      </c>
      <c r="AP173" s="81"/>
      <c r="AQ173" s="84">
        <f t="shared" si="562"/>
        <v>0</v>
      </c>
      <c r="AR173" s="85"/>
      <c r="AS173" s="84">
        <f t="shared" si="563"/>
        <v>0</v>
      </c>
      <c r="AT173" s="85"/>
      <c r="AU173" s="84">
        <f t="shared" si="564"/>
        <v>0</v>
      </c>
      <c r="AV173" s="85"/>
      <c r="AW173" s="84">
        <f t="shared" si="565"/>
        <v>0</v>
      </c>
      <c r="AX173" s="85"/>
      <c r="AY173" s="84">
        <f t="shared" si="566"/>
        <v>0</v>
      </c>
      <c r="AZ173" s="85"/>
      <c r="BA173" s="84">
        <f t="shared" si="567"/>
        <v>0</v>
      </c>
      <c r="BB173" s="85"/>
      <c r="BC173" s="84">
        <f t="shared" si="568"/>
        <v>0</v>
      </c>
      <c r="BD173" s="81"/>
      <c r="BE173" s="214">
        <f t="shared" si="569"/>
        <v>0</v>
      </c>
    </row>
    <row r="174" spans="1:57" ht="14.25" hidden="1" customHeight="1" x14ac:dyDescent="0.35">
      <c r="A174" s="66" t="s">
        <v>434</v>
      </c>
      <c r="B174" s="174"/>
      <c r="C174" s="83">
        <f>'2020-21'!AS77</f>
        <v>0</v>
      </c>
      <c r="D174" s="107">
        <f t="shared" si="550"/>
        <v>0</v>
      </c>
      <c r="E174" s="304">
        <f t="shared" si="550"/>
        <v>0</v>
      </c>
      <c r="F174" s="289"/>
      <c r="G174" s="363" t="e">
        <f t="shared" si="551"/>
        <v>#DIV/0!</v>
      </c>
      <c r="H174" s="287"/>
      <c r="I174" s="313" t="e">
        <f t="shared" si="552"/>
        <v>#DIV/0!</v>
      </c>
      <c r="J174" s="287"/>
      <c r="K174" s="288" t="e">
        <f t="shared" si="477"/>
        <v>#DIV/0!</v>
      </c>
      <c r="L174" s="289"/>
      <c r="M174" s="290" t="e">
        <f t="shared" si="478"/>
        <v>#DIV/0!</v>
      </c>
      <c r="N174" s="287"/>
      <c r="O174" s="288" t="e">
        <f t="shared" si="479"/>
        <v>#DIV/0!</v>
      </c>
      <c r="P174" s="289"/>
      <c r="Q174" s="290" t="e">
        <f t="shared" si="480"/>
        <v>#DIV/0!</v>
      </c>
      <c r="R174" s="287"/>
      <c r="S174" s="288" t="e">
        <f t="shared" si="553"/>
        <v>#DIV/0!</v>
      </c>
      <c r="T174" s="287"/>
      <c r="U174" s="288" t="e">
        <f t="shared" si="481"/>
        <v>#DIV/0!</v>
      </c>
      <c r="V174" s="289"/>
      <c r="W174" s="290" t="e">
        <f t="shared" si="482"/>
        <v>#DIV/0!</v>
      </c>
      <c r="X174" s="287"/>
      <c r="Y174" s="313" t="e">
        <f t="shared" si="483"/>
        <v>#DIV/0!</v>
      </c>
      <c r="Z174" s="289"/>
      <c r="AA174" s="363" t="e">
        <f t="shared" si="554"/>
        <v>#DIV/0!</v>
      </c>
      <c r="AB174" s="287"/>
      <c r="AC174" s="313" t="e">
        <f t="shared" si="555"/>
        <v>#DIV/0!</v>
      </c>
      <c r="AD174" s="289"/>
      <c r="AE174" s="363" t="e">
        <f t="shared" si="556"/>
        <v>#DIV/0!</v>
      </c>
      <c r="AF174" s="323" t="e">
        <f t="shared" si="549"/>
        <v>#DIV/0!</v>
      </c>
      <c r="AG174" s="81">
        <f t="shared" si="557"/>
        <v>0</v>
      </c>
      <c r="AH174" s="81"/>
      <c r="AI174" s="84">
        <f t="shared" si="558"/>
        <v>0</v>
      </c>
      <c r="AJ174" s="85"/>
      <c r="AK174" s="48">
        <f t="shared" si="559"/>
        <v>0</v>
      </c>
      <c r="AL174" s="81"/>
      <c r="AM174" s="84">
        <f t="shared" si="560"/>
        <v>0</v>
      </c>
      <c r="AN174" s="85"/>
      <c r="AO174" s="84">
        <f t="shared" si="561"/>
        <v>0</v>
      </c>
      <c r="AP174" s="81"/>
      <c r="AQ174" s="84">
        <f t="shared" si="562"/>
        <v>0</v>
      </c>
      <c r="AR174" s="85"/>
      <c r="AS174" s="84">
        <f t="shared" si="563"/>
        <v>0</v>
      </c>
      <c r="AT174" s="85"/>
      <c r="AU174" s="84">
        <f t="shared" si="564"/>
        <v>0</v>
      </c>
      <c r="AV174" s="85"/>
      <c r="AW174" s="84">
        <f t="shared" si="565"/>
        <v>0</v>
      </c>
      <c r="AX174" s="85"/>
      <c r="AY174" s="84">
        <f t="shared" si="566"/>
        <v>0</v>
      </c>
      <c r="AZ174" s="85"/>
      <c r="BA174" s="84">
        <f t="shared" si="567"/>
        <v>0</v>
      </c>
      <c r="BB174" s="85"/>
      <c r="BC174" s="84">
        <f t="shared" si="568"/>
        <v>0</v>
      </c>
      <c r="BD174" s="81"/>
      <c r="BE174" s="214">
        <f t="shared" si="569"/>
        <v>0</v>
      </c>
    </row>
    <row r="175" spans="1:57" ht="14.25" hidden="1" customHeight="1" x14ac:dyDescent="0.35">
      <c r="A175" s="161" t="s">
        <v>414</v>
      </c>
      <c r="B175" s="177"/>
      <c r="C175" s="83">
        <f>'2020-21'!AS78</f>
        <v>0</v>
      </c>
      <c r="D175" s="107">
        <f t="shared" si="550"/>
        <v>0</v>
      </c>
      <c r="E175" s="304">
        <f t="shared" si="550"/>
        <v>0</v>
      </c>
      <c r="F175" s="289"/>
      <c r="G175" s="363" t="e">
        <f t="shared" si="551"/>
        <v>#DIV/0!</v>
      </c>
      <c r="H175" s="287"/>
      <c r="I175" s="313" t="e">
        <f t="shared" si="552"/>
        <v>#DIV/0!</v>
      </c>
      <c r="J175" s="287"/>
      <c r="K175" s="288" t="e">
        <f t="shared" si="477"/>
        <v>#DIV/0!</v>
      </c>
      <c r="L175" s="289"/>
      <c r="M175" s="290" t="e">
        <f t="shared" si="478"/>
        <v>#DIV/0!</v>
      </c>
      <c r="N175" s="287"/>
      <c r="O175" s="288" t="e">
        <f t="shared" si="479"/>
        <v>#DIV/0!</v>
      </c>
      <c r="P175" s="289"/>
      <c r="Q175" s="290" t="e">
        <f t="shared" si="480"/>
        <v>#DIV/0!</v>
      </c>
      <c r="R175" s="287"/>
      <c r="S175" s="288" t="e">
        <f t="shared" si="553"/>
        <v>#DIV/0!</v>
      </c>
      <c r="T175" s="287"/>
      <c r="U175" s="288" t="e">
        <f t="shared" si="481"/>
        <v>#DIV/0!</v>
      </c>
      <c r="V175" s="289"/>
      <c r="W175" s="290" t="e">
        <f t="shared" si="482"/>
        <v>#DIV/0!</v>
      </c>
      <c r="X175" s="287"/>
      <c r="Y175" s="313" t="e">
        <f t="shared" si="483"/>
        <v>#DIV/0!</v>
      </c>
      <c r="Z175" s="289"/>
      <c r="AA175" s="363" t="e">
        <f t="shared" si="554"/>
        <v>#DIV/0!</v>
      </c>
      <c r="AB175" s="287"/>
      <c r="AC175" s="313" t="e">
        <f t="shared" si="555"/>
        <v>#DIV/0!</v>
      </c>
      <c r="AD175" s="289"/>
      <c r="AE175" s="363" t="e">
        <f t="shared" si="556"/>
        <v>#DIV/0!</v>
      </c>
      <c r="AF175" s="323" t="e">
        <f t="shared" si="549"/>
        <v>#DIV/0!</v>
      </c>
      <c r="AG175" s="81">
        <f t="shared" si="557"/>
        <v>0</v>
      </c>
      <c r="AH175" s="81"/>
      <c r="AI175" s="84">
        <f t="shared" si="558"/>
        <v>0</v>
      </c>
      <c r="AJ175" s="85"/>
      <c r="AK175" s="48">
        <f t="shared" si="559"/>
        <v>0</v>
      </c>
      <c r="AL175" s="81"/>
      <c r="AM175" s="84">
        <f t="shared" si="560"/>
        <v>0</v>
      </c>
      <c r="AN175" s="85"/>
      <c r="AO175" s="84">
        <f t="shared" si="561"/>
        <v>0</v>
      </c>
      <c r="AP175" s="81"/>
      <c r="AQ175" s="84">
        <f t="shared" si="562"/>
        <v>0</v>
      </c>
      <c r="AR175" s="85"/>
      <c r="AS175" s="84">
        <f t="shared" si="563"/>
        <v>0</v>
      </c>
      <c r="AT175" s="85"/>
      <c r="AU175" s="84">
        <f t="shared" si="564"/>
        <v>0</v>
      </c>
      <c r="AV175" s="85"/>
      <c r="AW175" s="84">
        <f t="shared" si="565"/>
        <v>0</v>
      </c>
      <c r="AX175" s="85"/>
      <c r="AY175" s="84">
        <f t="shared" si="566"/>
        <v>0</v>
      </c>
      <c r="AZ175" s="85"/>
      <c r="BA175" s="84">
        <f t="shared" si="567"/>
        <v>0</v>
      </c>
      <c r="BB175" s="85"/>
      <c r="BC175" s="84">
        <f t="shared" si="568"/>
        <v>0</v>
      </c>
      <c r="BD175" s="81"/>
      <c r="BE175" s="214">
        <f t="shared" si="569"/>
        <v>0</v>
      </c>
    </row>
    <row r="176" spans="1:57" ht="14.25" hidden="1" customHeight="1" x14ac:dyDescent="0.35">
      <c r="A176" s="159" t="s">
        <v>387</v>
      </c>
      <c r="B176" s="174"/>
      <c r="C176" s="83">
        <f>'2020-21'!AS79</f>
        <v>0</v>
      </c>
      <c r="D176" s="107">
        <f t="shared" si="550"/>
        <v>0</v>
      </c>
      <c r="E176" s="304">
        <f t="shared" si="550"/>
        <v>0</v>
      </c>
      <c r="F176" s="289"/>
      <c r="G176" s="363" t="e">
        <f t="shared" si="551"/>
        <v>#DIV/0!</v>
      </c>
      <c r="H176" s="287"/>
      <c r="I176" s="313" t="e">
        <f t="shared" si="552"/>
        <v>#DIV/0!</v>
      </c>
      <c r="J176" s="287"/>
      <c r="K176" s="288" t="e">
        <f t="shared" si="477"/>
        <v>#DIV/0!</v>
      </c>
      <c r="L176" s="289"/>
      <c r="M176" s="290" t="e">
        <f t="shared" si="478"/>
        <v>#DIV/0!</v>
      </c>
      <c r="N176" s="287"/>
      <c r="O176" s="288" t="e">
        <f t="shared" si="479"/>
        <v>#DIV/0!</v>
      </c>
      <c r="P176" s="289"/>
      <c r="Q176" s="290" t="e">
        <f t="shared" si="480"/>
        <v>#DIV/0!</v>
      </c>
      <c r="R176" s="287"/>
      <c r="S176" s="288" t="e">
        <f t="shared" si="553"/>
        <v>#DIV/0!</v>
      </c>
      <c r="T176" s="287"/>
      <c r="U176" s="288" t="e">
        <f t="shared" si="481"/>
        <v>#DIV/0!</v>
      </c>
      <c r="V176" s="289"/>
      <c r="W176" s="290" t="e">
        <f t="shared" si="482"/>
        <v>#DIV/0!</v>
      </c>
      <c r="X176" s="287"/>
      <c r="Y176" s="313" t="e">
        <f t="shared" si="483"/>
        <v>#DIV/0!</v>
      </c>
      <c r="Z176" s="289"/>
      <c r="AA176" s="363" t="e">
        <f t="shared" si="554"/>
        <v>#DIV/0!</v>
      </c>
      <c r="AB176" s="287"/>
      <c r="AC176" s="313" t="e">
        <f t="shared" si="555"/>
        <v>#DIV/0!</v>
      </c>
      <c r="AD176" s="289"/>
      <c r="AE176" s="363" t="e">
        <f t="shared" si="556"/>
        <v>#DIV/0!</v>
      </c>
      <c r="AF176" s="323" t="e">
        <f t="shared" si="549"/>
        <v>#DIV/0!</v>
      </c>
      <c r="AG176" s="81">
        <f t="shared" si="557"/>
        <v>0</v>
      </c>
      <c r="AH176" s="81"/>
      <c r="AI176" s="84">
        <f t="shared" si="558"/>
        <v>0</v>
      </c>
      <c r="AJ176" s="85"/>
      <c r="AK176" s="48">
        <f t="shared" si="559"/>
        <v>0</v>
      </c>
      <c r="AL176" s="81"/>
      <c r="AM176" s="84">
        <f t="shared" si="560"/>
        <v>0</v>
      </c>
      <c r="AN176" s="85"/>
      <c r="AO176" s="84">
        <f t="shared" si="561"/>
        <v>0</v>
      </c>
      <c r="AP176" s="81"/>
      <c r="AQ176" s="84">
        <f t="shared" si="562"/>
        <v>0</v>
      </c>
      <c r="AR176" s="85"/>
      <c r="AS176" s="84">
        <f t="shared" si="563"/>
        <v>0</v>
      </c>
      <c r="AT176" s="85"/>
      <c r="AU176" s="84">
        <f t="shared" si="564"/>
        <v>0</v>
      </c>
      <c r="AV176" s="85"/>
      <c r="AW176" s="84">
        <f t="shared" si="565"/>
        <v>0</v>
      </c>
      <c r="AX176" s="85"/>
      <c r="AY176" s="84">
        <f t="shared" si="566"/>
        <v>0</v>
      </c>
      <c r="AZ176" s="85"/>
      <c r="BA176" s="84">
        <f t="shared" si="567"/>
        <v>0</v>
      </c>
      <c r="BB176" s="85"/>
      <c r="BC176" s="84">
        <f t="shared" si="568"/>
        <v>0</v>
      </c>
      <c r="BD176" s="81"/>
      <c r="BE176" s="214">
        <f t="shared" si="569"/>
        <v>0</v>
      </c>
    </row>
    <row r="177" spans="1:57" ht="14.25" hidden="1" customHeight="1" x14ac:dyDescent="0.35">
      <c r="A177" s="187" t="s">
        <v>408</v>
      </c>
      <c r="B177" s="173"/>
      <c r="C177" s="83">
        <f>'2020-21'!AS80</f>
        <v>0</v>
      </c>
      <c r="D177" s="107">
        <f t="shared" si="550"/>
        <v>0</v>
      </c>
      <c r="E177" s="304">
        <f t="shared" si="550"/>
        <v>0</v>
      </c>
      <c r="F177" s="289"/>
      <c r="G177" s="363" t="e">
        <f t="shared" si="551"/>
        <v>#DIV/0!</v>
      </c>
      <c r="H177" s="287"/>
      <c r="I177" s="313" t="e">
        <f t="shared" si="552"/>
        <v>#DIV/0!</v>
      </c>
      <c r="J177" s="287"/>
      <c r="K177" s="288" t="e">
        <f t="shared" si="477"/>
        <v>#DIV/0!</v>
      </c>
      <c r="L177" s="289"/>
      <c r="M177" s="290" t="e">
        <f t="shared" si="478"/>
        <v>#DIV/0!</v>
      </c>
      <c r="N177" s="287"/>
      <c r="O177" s="288" t="e">
        <f t="shared" si="479"/>
        <v>#DIV/0!</v>
      </c>
      <c r="P177" s="289"/>
      <c r="Q177" s="290" t="e">
        <f t="shared" si="480"/>
        <v>#DIV/0!</v>
      </c>
      <c r="R177" s="287"/>
      <c r="S177" s="288" t="e">
        <f t="shared" si="553"/>
        <v>#DIV/0!</v>
      </c>
      <c r="T177" s="287"/>
      <c r="U177" s="288" t="e">
        <f t="shared" si="481"/>
        <v>#DIV/0!</v>
      </c>
      <c r="V177" s="289"/>
      <c r="W177" s="290" t="e">
        <f t="shared" si="482"/>
        <v>#DIV/0!</v>
      </c>
      <c r="X177" s="287"/>
      <c r="Y177" s="313" t="e">
        <f t="shared" si="483"/>
        <v>#DIV/0!</v>
      </c>
      <c r="Z177" s="289"/>
      <c r="AA177" s="363" t="e">
        <f t="shared" si="554"/>
        <v>#DIV/0!</v>
      </c>
      <c r="AB177" s="287"/>
      <c r="AC177" s="313" t="e">
        <f t="shared" si="555"/>
        <v>#DIV/0!</v>
      </c>
      <c r="AD177" s="289"/>
      <c r="AE177" s="363" t="e">
        <f t="shared" si="556"/>
        <v>#DIV/0!</v>
      </c>
      <c r="AF177" s="323" t="e">
        <f t="shared" si="549"/>
        <v>#DIV/0!</v>
      </c>
      <c r="AG177" s="81">
        <f t="shared" si="557"/>
        <v>0</v>
      </c>
      <c r="AH177" s="81"/>
      <c r="AI177" s="84">
        <f t="shared" si="558"/>
        <v>0</v>
      </c>
      <c r="AJ177" s="85"/>
      <c r="AK177" s="48">
        <f t="shared" si="559"/>
        <v>0</v>
      </c>
      <c r="AL177" s="81"/>
      <c r="AM177" s="84">
        <f t="shared" si="560"/>
        <v>0</v>
      </c>
      <c r="AN177" s="85"/>
      <c r="AO177" s="84">
        <f t="shared" si="561"/>
        <v>0</v>
      </c>
      <c r="AP177" s="81"/>
      <c r="AQ177" s="84">
        <f t="shared" si="562"/>
        <v>0</v>
      </c>
      <c r="AR177" s="85"/>
      <c r="AS177" s="84">
        <f t="shared" si="563"/>
        <v>0</v>
      </c>
      <c r="AT177" s="85"/>
      <c r="AU177" s="84">
        <f t="shared" si="564"/>
        <v>0</v>
      </c>
      <c r="AV177" s="85"/>
      <c r="AW177" s="84">
        <f t="shared" si="565"/>
        <v>0</v>
      </c>
      <c r="AX177" s="85"/>
      <c r="AY177" s="84">
        <f t="shared" si="566"/>
        <v>0</v>
      </c>
      <c r="AZ177" s="85"/>
      <c r="BA177" s="84">
        <f t="shared" si="567"/>
        <v>0</v>
      </c>
      <c r="BB177" s="85"/>
      <c r="BC177" s="84">
        <f t="shared" si="568"/>
        <v>0</v>
      </c>
      <c r="BD177" s="81"/>
      <c r="BE177" s="214">
        <f t="shared" si="569"/>
        <v>0</v>
      </c>
    </row>
    <row r="178" spans="1:57" ht="14.25" hidden="1" customHeight="1" x14ac:dyDescent="0.35">
      <c r="A178" s="100"/>
      <c r="B178" s="172"/>
      <c r="C178" s="107"/>
      <c r="D178" s="107"/>
      <c r="E178" s="304"/>
      <c r="F178" s="289"/>
      <c r="G178" s="363" t="e">
        <f t="shared" si="551"/>
        <v>#DIV/0!</v>
      </c>
      <c r="H178" s="287"/>
      <c r="I178" s="313" t="e">
        <f t="shared" si="552"/>
        <v>#DIV/0!</v>
      </c>
      <c r="J178" s="287"/>
      <c r="K178" s="288"/>
      <c r="L178" s="289"/>
      <c r="M178" s="289"/>
      <c r="N178" s="287"/>
      <c r="O178" s="287"/>
      <c r="P178" s="289"/>
      <c r="Q178" s="289"/>
      <c r="R178" s="287"/>
      <c r="S178" s="287"/>
      <c r="T178" s="287"/>
      <c r="U178" s="287"/>
      <c r="V178" s="289"/>
      <c r="W178" s="289"/>
      <c r="X178" s="287"/>
      <c r="Y178" s="314"/>
      <c r="Z178" s="289"/>
      <c r="AA178" s="364"/>
      <c r="AB178" s="287"/>
      <c r="AC178" s="313" t="e">
        <f t="shared" si="555"/>
        <v>#DIV/0!</v>
      </c>
      <c r="AD178" s="289"/>
      <c r="AE178" s="363" t="e">
        <f t="shared" si="556"/>
        <v>#DIV/0!</v>
      </c>
      <c r="AF178" s="323" t="e">
        <f t="shared" si="549"/>
        <v>#DIV/0!</v>
      </c>
      <c r="AG178" s="81"/>
      <c r="AH178" s="81"/>
      <c r="AI178" s="84"/>
      <c r="AJ178" s="85"/>
      <c r="AK178" s="81"/>
      <c r="AL178" s="81"/>
      <c r="AM178" s="84"/>
      <c r="AN178" s="85"/>
      <c r="AO178" s="84"/>
      <c r="AP178" s="81"/>
      <c r="AQ178" s="84"/>
      <c r="AR178" s="85"/>
      <c r="AS178" s="84"/>
      <c r="AT178" s="85"/>
      <c r="AU178" s="84"/>
      <c r="AV178" s="85"/>
      <c r="AW178" s="84"/>
      <c r="AX178" s="85"/>
      <c r="AY178" s="84"/>
      <c r="AZ178" s="85"/>
      <c r="BA178" s="84"/>
      <c r="BB178" s="85"/>
      <c r="BC178" s="84"/>
      <c r="BD178" s="81"/>
      <c r="BE178" s="214"/>
    </row>
    <row r="179" spans="1:57" x14ac:dyDescent="0.35">
      <c r="A179" s="159"/>
      <c r="B179" s="172"/>
      <c r="C179" s="107"/>
      <c r="D179" s="107"/>
      <c r="E179" s="304"/>
      <c r="F179" s="293"/>
      <c r="G179" s="365"/>
      <c r="H179" s="291"/>
      <c r="I179" s="315"/>
      <c r="J179" s="291"/>
      <c r="K179" s="292"/>
      <c r="L179" s="293"/>
      <c r="M179" s="293"/>
      <c r="N179" s="291"/>
      <c r="O179" s="291"/>
      <c r="P179" s="293"/>
      <c r="Q179" s="293"/>
      <c r="R179" s="291"/>
      <c r="S179" s="291"/>
      <c r="T179" s="291"/>
      <c r="U179" s="291"/>
      <c r="V179" s="293"/>
      <c r="W179" s="293"/>
      <c r="X179" s="291"/>
      <c r="Y179" s="315"/>
      <c r="Z179" s="293"/>
      <c r="AA179" s="365"/>
      <c r="AB179" s="291"/>
      <c r="AC179" s="313"/>
      <c r="AD179" s="293"/>
      <c r="AE179" s="363"/>
      <c r="AF179" s="323">
        <f t="shared" si="549"/>
        <v>0</v>
      </c>
      <c r="AG179" s="81"/>
      <c r="AH179" s="81"/>
      <c r="AI179" s="84"/>
      <c r="AJ179" s="85"/>
      <c r="AK179" s="81"/>
      <c r="AL179" s="81"/>
      <c r="AM179" s="84"/>
      <c r="AN179" s="85"/>
      <c r="AO179" s="84"/>
      <c r="AP179" s="81"/>
      <c r="AQ179" s="84"/>
      <c r="AR179" s="85"/>
      <c r="AS179" s="84"/>
      <c r="AT179" s="85"/>
      <c r="AU179" s="84"/>
      <c r="AV179" s="85"/>
      <c r="AW179" s="84"/>
      <c r="AX179" s="85"/>
      <c r="AY179" s="84"/>
      <c r="AZ179" s="85"/>
      <c r="BA179" s="84"/>
      <c r="BB179" s="85"/>
      <c r="BC179" s="84"/>
      <c r="BD179" s="81"/>
      <c r="BE179" s="214"/>
    </row>
    <row r="180" spans="1:57" x14ac:dyDescent="0.35">
      <c r="A180" s="159"/>
      <c r="B180" s="173"/>
      <c r="C180" s="83"/>
      <c r="D180" s="83"/>
      <c r="E180" s="301"/>
      <c r="F180" s="286"/>
      <c r="G180" s="360"/>
      <c r="H180" s="285"/>
      <c r="I180" s="312"/>
      <c r="J180" s="285"/>
      <c r="K180" s="294"/>
      <c r="L180" s="286"/>
      <c r="M180" s="286"/>
      <c r="N180" s="285"/>
      <c r="O180" s="285"/>
      <c r="P180" s="286"/>
      <c r="Q180" s="286"/>
      <c r="R180" s="285"/>
      <c r="S180" s="285"/>
      <c r="T180" s="285"/>
      <c r="U180" s="285"/>
      <c r="V180" s="286"/>
      <c r="W180" s="286"/>
      <c r="X180" s="285"/>
      <c r="Y180" s="312"/>
      <c r="Z180" s="286"/>
      <c r="AA180" s="360"/>
      <c r="AB180" s="285"/>
      <c r="AC180" s="313"/>
      <c r="AD180" s="286"/>
      <c r="AE180" s="360"/>
      <c r="AF180" s="323">
        <f t="shared" si="549"/>
        <v>0</v>
      </c>
      <c r="AH180" s="81"/>
      <c r="AI180" s="84"/>
      <c r="AJ180" s="85"/>
      <c r="AK180" s="81"/>
      <c r="AL180" s="81"/>
      <c r="AM180" s="84"/>
      <c r="AN180" s="85"/>
      <c r="AO180" s="84"/>
      <c r="AP180" s="81"/>
      <c r="AQ180" s="84"/>
      <c r="AR180" s="85"/>
      <c r="AS180" s="84"/>
      <c r="AT180" s="85"/>
      <c r="AU180" s="84"/>
      <c r="AV180" s="85"/>
      <c r="AW180" s="84"/>
      <c r="AX180" s="85"/>
      <c r="AY180" s="84"/>
      <c r="AZ180" s="85"/>
      <c r="BA180" s="84"/>
      <c r="BB180" s="85"/>
      <c r="BC180" s="84"/>
      <c r="BD180" s="81"/>
      <c r="BE180" s="214"/>
    </row>
    <row r="181" spans="1:57" ht="13.9" thickBot="1" x14ac:dyDescent="0.4">
      <c r="A181" s="159"/>
      <c r="B181" s="206"/>
      <c r="C181" s="207">
        <f>SUM(C7:C180)</f>
        <v>4519200.63</v>
      </c>
      <c r="D181" s="207">
        <f>SUM(D7:D180)</f>
        <v>4427709.37</v>
      </c>
      <c r="E181" s="310">
        <f>SUM(E7:E178)</f>
        <v>3677903.4700000011</v>
      </c>
      <c r="F181" s="308">
        <f>SUM(F16:F142)</f>
        <v>54635.560000000005</v>
      </c>
      <c r="G181" s="366">
        <f>F181/E181</f>
        <v>1.4855082643047178E-2</v>
      </c>
      <c r="H181" s="306">
        <f>SUM(H16:H142)</f>
        <v>58400.28</v>
      </c>
      <c r="I181" s="316">
        <f>H181/E181</f>
        <v>1.5878687539344252E-2</v>
      </c>
      <c r="J181" s="306">
        <f>SUM(J16:J142)</f>
        <v>486707.01999999996</v>
      </c>
      <c r="K181" s="307">
        <f>J181/E181</f>
        <v>0.1323327335722598</v>
      </c>
      <c r="L181" s="308">
        <f>SUM(L15:L142)</f>
        <v>414998.97000000003</v>
      </c>
      <c r="M181" s="309">
        <f>L181/E181</f>
        <v>0.11283574280431016</v>
      </c>
      <c r="N181" s="306">
        <f>SUM(N16:N142)</f>
        <v>503287.33000000007</v>
      </c>
      <c r="O181" s="307">
        <f>N181/E181</f>
        <v>0.1368408208929964</v>
      </c>
      <c r="P181" s="308">
        <f>SUM(P16:P142)</f>
        <v>435020.35000000003</v>
      </c>
      <c r="Q181" s="309">
        <f>P181/E181</f>
        <v>0.11827943651821833</v>
      </c>
      <c r="R181" s="306">
        <f>SUM(R16:R142)</f>
        <v>176208.77000000002</v>
      </c>
      <c r="S181" s="307">
        <f>R181/C181</f>
        <v>3.8991136801996777E-2</v>
      </c>
      <c r="T181" s="306">
        <f>SUM(T16:T142)</f>
        <v>242170.75999999998</v>
      </c>
      <c r="U181" s="307">
        <f>T181/E181</f>
        <v>6.5844784120992692E-2</v>
      </c>
      <c r="V181" s="308">
        <f>SUM(V16:V142)</f>
        <v>406232.21000000008</v>
      </c>
      <c r="W181" s="309">
        <f>V181/E181</f>
        <v>0.11045211308930844</v>
      </c>
      <c r="X181" s="306">
        <f>SUM(X16:X142)</f>
        <v>39354.94</v>
      </c>
      <c r="Y181" s="316">
        <f>X181/E181</f>
        <v>1.0700373275430199E-2</v>
      </c>
      <c r="Z181" s="308">
        <f>SUM(Z16:Z142)</f>
        <v>116602.28</v>
      </c>
      <c r="AA181" s="366">
        <f>Z181/E181</f>
        <v>3.1703463930226522E-2</v>
      </c>
      <c r="AB181" s="306">
        <f>SUM(AB16:AB142)</f>
        <v>73428.36</v>
      </c>
      <c r="AC181" s="316">
        <f>AB181/C181</f>
        <v>1.6248085892128228E-2</v>
      </c>
      <c r="AD181" s="308">
        <f>SUM(AD16:AD142)</f>
        <v>581056.85</v>
      </c>
      <c r="AE181" s="366">
        <f>AD181/E181</f>
        <v>0.15798588917288789</v>
      </c>
      <c r="AF181" s="324">
        <f t="shared" si="549"/>
        <v>0.8601269760894511</v>
      </c>
      <c r="AG181" s="76"/>
      <c r="AH181" s="220"/>
      <c r="AI181" s="153"/>
      <c r="AJ181" s="144"/>
      <c r="AK181" s="147"/>
      <c r="AL181" s="147"/>
      <c r="AM181" s="153"/>
      <c r="AN181" s="144"/>
      <c r="AO181" s="153"/>
      <c r="AP181" s="147"/>
      <c r="AQ181" s="153"/>
      <c r="AR181" s="144"/>
      <c r="AS181" s="153"/>
      <c r="AT181" s="144"/>
      <c r="AU181" s="153"/>
      <c r="AV181" s="144"/>
      <c r="AW181" s="153"/>
      <c r="AX181" s="144"/>
      <c r="AY181" s="153"/>
      <c r="AZ181" s="144"/>
      <c r="BA181" s="153"/>
      <c r="BB181" s="144"/>
      <c r="BC181" s="153"/>
      <c r="BD181" s="147"/>
      <c r="BE181" s="215"/>
    </row>
    <row r="182" spans="1:57" ht="13.9" thickTop="1" x14ac:dyDescent="0.35">
      <c r="A182" s="188"/>
      <c r="B182" s="189"/>
      <c r="C182" s="190"/>
      <c r="D182" s="190"/>
      <c r="E182" s="190"/>
      <c r="F182" s="190"/>
      <c r="G182" s="190"/>
      <c r="H182" s="190"/>
      <c r="I182" s="190"/>
      <c r="J182" s="190"/>
      <c r="K182" s="295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H182" s="48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5"/>
      <c r="BE182" s="48"/>
    </row>
    <row r="183" spans="1:57" x14ac:dyDescent="0.35">
      <c r="A183" s="88" t="s">
        <v>155</v>
      </c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53">
        <f>SUM(AG7:AG180)</f>
        <v>158416.31</v>
      </c>
      <c r="AH183" s="53"/>
      <c r="AI183" s="53">
        <f>SUM(AI7:AI180)</f>
        <v>180399.98</v>
      </c>
      <c r="AJ183" s="53"/>
      <c r="AK183" s="53">
        <f>SUM(AK7:AK180)</f>
        <v>119254.87999999999</v>
      </c>
      <c r="AL183" s="53"/>
      <c r="AM183" s="53">
        <f>SUM(AM7:AM180)</f>
        <v>189367.51999999996</v>
      </c>
      <c r="AN183" s="53"/>
      <c r="AO183" s="53">
        <f>SUM(AO7:AO180)</f>
        <v>161943.97</v>
      </c>
      <c r="AP183" s="53"/>
      <c r="AQ183" s="53">
        <f>SUM(AQ7:AQ180)</f>
        <v>204771.30000000005</v>
      </c>
      <c r="AR183" s="53"/>
      <c r="AS183" s="53">
        <f>SUM(AS7:AS180)</f>
        <v>176570.01</v>
      </c>
      <c r="AT183" s="53"/>
      <c r="AU183" s="89">
        <f>SUM(AU7:AU178)</f>
        <v>165827.10000000003</v>
      </c>
      <c r="AV183" s="89"/>
      <c r="AW183" s="89">
        <f>SUM(AW7:AW178)</f>
        <v>260808.78000000003</v>
      </c>
      <c r="AX183" s="89"/>
      <c r="AY183" s="53">
        <f>SUM(AY7:AY182)</f>
        <v>247888.72999999998</v>
      </c>
      <c r="AZ183" s="89"/>
      <c r="BA183" s="89">
        <f>SUM(BA7:BA178)</f>
        <v>82500.58</v>
      </c>
      <c r="BB183" s="89"/>
      <c r="BC183" s="89">
        <f>SUM(BC7:BC178)</f>
        <v>228837.25999999992</v>
      </c>
      <c r="BD183" s="90"/>
    </row>
    <row r="184" spans="1:57" x14ac:dyDescent="0.35">
      <c r="A184" s="92" t="s">
        <v>226</v>
      </c>
      <c r="B184" s="157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>
        <f>SUM(AH7:AH181)</f>
        <v>158416.10999999999</v>
      </c>
      <c r="AI184" s="93"/>
      <c r="AJ184" s="93">
        <f>SUM(AJ7:AJ181)</f>
        <v>180398.53</v>
      </c>
      <c r="AK184" s="93"/>
      <c r="AL184" s="93">
        <f>SUM(AL7:AL181)</f>
        <v>119253.95999999999</v>
      </c>
      <c r="AM184" s="93"/>
      <c r="AN184" s="93">
        <f>SUM(AN7:AN181)</f>
        <v>189167.12</v>
      </c>
      <c r="AO184" s="93"/>
      <c r="AP184" s="93">
        <f>SUM(AP7:AP181)</f>
        <v>161943.24999999997</v>
      </c>
      <c r="AQ184" s="93"/>
      <c r="AR184" s="93">
        <f>SUM(AR7:AR181)</f>
        <v>205372.55000000005</v>
      </c>
      <c r="AS184" s="93"/>
      <c r="AT184" s="93">
        <f>SUM(AT7:AT181)</f>
        <v>176570.41</v>
      </c>
      <c r="AU184" s="93"/>
      <c r="AV184" s="93">
        <f>SUM(AV7:AV181)</f>
        <v>165823.42000000001</v>
      </c>
      <c r="AW184" s="93"/>
      <c r="AX184" s="93">
        <f>SUM(AX7:AX181)</f>
        <v>260808.57000000004</v>
      </c>
      <c r="AY184" s="93"/>
      <c r="AZ184" s="93">
        <f>SUM(AZ7:AZ181)</f>
        <v>247889.09</v>
      </c>
      <c r="BA184" s="93"/>
      <c r="BB184" s="93">
        <f>SUM(BB7:BB181)</f>
        <v>82500.649999999994</v>
      </c>
      <c r="BC184" s="93"/>
      <c r="BD184" s="93">
        <f>SUM(BD7:BD181)</f>
        <v>237189.19000000003</v>
      </c>
      <c r="BE184" s="81"/>
    </row>
    <row r="185" spans="1:57" x14ac:dyDescent="0.35">
      <c r="A185" s="199" t="s">
        <v>439</v>
      </c>
      <c r="B185" s="200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>
        <f>'2022-23'!Z133</f>
        <v>154898</v>
      </c>
      <c r="AI185" s="201"/>
      <c r="AJ185" s="201">
        <f>'2022-23'!AB133</f>
        <v>158376.25</v>
      </c>
      <c r="AK185" s="201"/>
      <c r="AL185" s="201">
        <f>'2022-23'!AD133</f>
        <v>133613.82</v>
      </c>
      <c r="AM185" s="201"/>
      <c r="AN185" s="201">
        <f>'2022-23'!AF133</f>
        <v>120404.76000000001</v>
      </c>
      <c r="AO185" s="201"/>
      <c r="AP185" s="201">
        <f>'2022-23'!AH133</f>
        <v>154926.74</v>
      </c>
      <c r="AQ185" s="201"/>
      <c r="AR185" s="201">
        <f>'2022-23'!AJ133</f>
        <v>169090.65</v>
      </c>
      <c r="AS185" s="201"/>
      <c r="AT185" s="201">
        <f>'2022-23'!AL133</f>
        <v>144675.49000000002</v>
      </c>
      <c r="AU185" s="201"/>
      <c r="AV185" s="201">
        <f>'2022-23'!AN133</f>
        <v>135375.44999999998</v>
      </c>
      <c r="AW185" s="201"/>
      <c r="AX185" s="201">
        <f>'2022-23'!AP133</f>
        <v>202173.71000000002</v>
      </c>
      <c r="AY185" s="201"/>
      <c r="AZ185" s="201">
        <f>'2022-23'!AR133</f>
        <v>205389.38999999998</v>
      </c>
      <c r="BA185" s="201"/>
      <c r="BB185" s="201">
        <f>'2022-23'!AT133</f>
        <v>76944.89</v>
      </c>
      <c r="BC185" s="201"/>
      <c r="BD185" s="201">
        <f>'2022-23'!AV133</f>
        <v>181104.2</v>
      </c>
      <c r="BE185" s="48"/>
    </row>
    <row r="186" spans="1:57" x14ac:dyDescent="0.35">
      <c r="A186" s="199" t="s">
        <v>440</v>
      </c>
      <c r="B186" s="200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>
        <f>'2022-23'!Z134</f>
        <v>89329.89</v>
      </c>
      <c r="AI186" s="201"/>
      <c r="AJ186" s="201">
        <f>'2022-23'!AB134</f>
        <v>135786.78999999998</v>
      </c>
      <c r="AK186" s="201"/>
      <c r="AL186" s="201">
        <f>'2022-23'!AD134</f>
        <v>89177.909999999989</v>
      </c>
      <c r="AM186" s="201"/>
      <c r="AN186" s="201">
        <f>'2022-23'!AF134</f>
        <v>123217.23999999999</v>
      </c>
      <c r="AO186" s="201"/>
      <c r="AP186" s="201">
        <f>'2022-23'!AH134</f>
        <v>98311.469999999987</v>
      </c>
      <c r="AQ186" s="201"/>
      <c r="AR186" s="201">
        <f>'2022-23'!AJ134</f>
        <v>157426.93</v>
      </c>
      <c r="AS186" s="201"/>
      <c r="AT186" s="201">
        <f>'2022-23'!AL134</f>
        <v>133409.57</v>
      </c>
      <c r="AU186" s="358" t="s">
        <v>91</v>
      </c>
      <c r="AV186" s="201">
        <f>'2022-23'!AN134</f>
        <v>137880.73000000001</v>
      </c>
      <c r="AW186" s="201"/>
      <c r="AX186" s="201">
        <f>'2022-23'!AP134</f>
        <v>115871.58</v>
      </c>
      <c r="AY186" s="201"/>
      <c r="AZ186" s="201">
        <f>'2022-23'!AR134</f>
        <v>132007.07</v>
      </c>
      <c r="BA186" s="201"/>
      <c r="BB186" s="201">
        <f>'2022-23'!AT134</f>
        <v>103996.01000000001</v>
      </c>
      <c r="BC186" s="201"/>
      <c r="BD186" s="201">
        <f>'2022-23'!AV134</f>
        <v>90132.670000000013</v>
      </c>
      <c r="BE186" s="48"/>
    </row>
    <row r="187" spans="1:57" x14ac:dyDescent="0.35"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48" t="s">
        <v>711</v>
      </c>
    </row>
    <row r="188" spans="1:57" x14ac:dyDescent="0.35">
      <c r="A188" s="88" t="s">
        <v>225</v>
      </c>
      <c r="B188" s="184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>
        <f>AG183</f>
        <v>158416.31</v>
      </c>
      <c r="AH188" s="89"/>
      <c r="AI188" s="89">
        <f>AI183+AG188</f>
        <v>338816.29000000004</v>
      </c>
      <c r="AJ188" s="89"/>
      <c r="AK188" s="354">
        <f>AK183+AI188</f>
        <v>458071.17000000004</v>
      </c>
      <c r="AL188" s="89"/>
      <c r="AM188" s="89">
        <f>AM183+AK188</f>
        <v>647438.68999999994</v>
      </c>
      <c r="AN188" s="89"/>
      <c r="AO188" s="89">
        <f>AO183+AM188</f>
        <v>809382.65999999992</v>
      </c>
      <c r="AP188" s="89"/>
      <c r="AQ188" s="89">
        <f>AQ183+AO188</f>
        <v>1014153.96</v>
      </c>
      <c r="AR188" s="89"/>
      <c r="AS188" s="89">
        <f>AS183+AQ188</f>
        <v>1190723.97</v>
      </c>
      <c r="AT188" s="89"/>
      <c r="AU188" s="89">
        <f>AU183+AS188</f>
        <v>1356551.07</v>
      </c>
      <c r="AV188" s="89"/>
      <c r="AW188" s="89">
        <f>AW183+AU188</f>
        <v>1617359.85</v>
      </c>
      <c r="AX188" s="89"/>
      <c r="AY188" s="89">
        <f>AY183+AW188</f>
        <v>1865248.58</v>
      </c>
      <c r="AZ188" s="89"/>
      <c r="BA188" s="89">
        <f>BA183+AY188</f>
        <v>1947749.1600000001</v>
      </c>
      <c r="BB188" s="89"/>
      <c r="BC188" s="89">
        <f>BC183+BA188</f>
        <v>2176586.42</v>
      </c>
      <c r="BD188" s="90"/>
      <c r="BE188" s="81">
        <f>SUM(BE7:BE181)</f>
        <v>2170279.5099999998</v>
      </c>
    </row>
    <row r="189" spans="1:57" x14ac:dyDescent="0.35">
      <c r="A189" s="26" t="s">
        <v>678</v>
      </c>
      <c r="B189" s="157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>
        <f>AH184</f>
        <v>158416.10999999999</v>
      </c>
      <c r="AI189" s="93"/>
      <c r="AJ189" s="93">
        <f>AJ184+AH189</f>
        <v>338814.64</v>
      </c>
      <c r="AK189" s="93"/>
      <c r="AL189" s="93">
        <f>AL184+AJ189</f>
        <v>458068.6</v>
      </c>
      <c r="AM189" s="93"/>
      <c r="AN189" s="93">
        <f>AN184+AL189</f>
        <v>647235.72</v>
      </c>
      <c r="AO189" s="93"/>
      <c r="AP189" s="93">
        <f>AP184+AN189</f>
        <v>809178.97</v>
      </c>
      <c r="AQ189" s="93"/>
      <c r="AR189" s="93">
        <f>AR184+AP189</f>
        <v>1014551.52</v>
      </c>
      <c r="AS189" s="93"/>
      <c r="AT189" s="93">
        <f>AT184+AR189</f>
        <v>1191121.93</v>
      </c>
      <c r="AU189" s="93"/>
      <c r="AV189" s="93">
        <f>AV184+AT189</f>
        <v>1356945.3499999999</v>
      </c>
      <c r="AW189" s="93"/>
      <c r="AX189" s="93">
        <f>AX184+AV189</f>
        <v>1617753.92</v>
      </c>
      <c r="AY189" s="93"/>
      <c r="AZ189" s="93">
        <f>AZ184+AX189</f>
        <v>1865643.01</v>
      </c>
      <c r="BA189" s="93"/>
      <c r="BB189" s="93">
        <f>BB184+AZ189</f>
        <v>1948143.66</v>
      </c>
      <c r="BC189" s="93"/>
      <c r="BD189" s="203">
        <f>BD184+BB189</f>
        <v>2185332.85</v>
      </c>
      <c r="BE189" s="81"/>
    </row>
    <row r="190" spans="1:57" x14ac:dyDescent="0.35">
      <c r="A190" s="191" t="s">
        <v>442</v>
      </c>
      <c r="B190" s="192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  <c r="AH190" s="193">
        <f>'2022-23'!Z138</f>
        <v>154898</v>
      </c>
      <c r="AI190" s="193"/>
      <c r="AJ190" s="193">
        <f>'2022-23'!AB138</f>
        <v>313274.25</v>
      </c>
      <c r="AK190" s="193"/>
      <c r="AL190" s="193">
        <f>'2022-23'!AD138</f>
        <v>446888.07</v>
      </c>
      <c r="AM190" s="193"/>
      <c r="AN190" s="193">
        <f>'2022-23'!AF138</f>
        <v>567292.83000000007</v>
      </c>
      <c r="AO190" s="193"/>
      <c r="AP190" s="193">
        <f>'2022-23'!AH138</f>
        <v>722219.57000000007</v>
      </c>
      <c r="AQ190" s="193"/>
      <c r="AR190" s="193">
        <f>'2022-23'!AJ138</f>
        <v>891310.22000000009</v>
      </c>
      <c r="AS190" s="193"/>
      <c r="AT190" s="193">
        <f>'2022-23'!AL138</f>
        <v>1035985.7100000001</v>
      </c>
      <c r="AU190" s="193"/>
      <c r="AV190" s="193">
        <f>'2022-23'!AN138</f>
        <v>1171361.1600000001</v>
      </c>
      <c r="AW190" s="193"/>
      <c r="AX190" s="193">
        <f>'2022-23'!AP138</f>
        <v>1373534.87</v>
      </c>
      <c r="AY190" s="193"/>
      <c r="AZ190" s="193">
        <f>'2022-23'!AR138</f>
        <v>1578924.26</v>
      </c>
      <c r="BA190" s="193"/>
      <c r="BB190" s="193">
        <f>'2022-23'!AT138</f>
        <v>1655869.15</v>
      </c>
      <c r="BC190" s="193"/>
      <c r="BD190" s="193">
        <f>'2022-23'!AV138</f>
        <v>1836973.3499999999</v>
      </c>
      <c r="BE190" s="81"/>
    </row>
    <row r="191" spans="1:57" x14ac:dyDescent="0.35">
      <c r="A191" s="210" t="s">
        <v>443</v>
      </c>
      <c r="B191" s="208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>
        <f>'2022-23'!Z139</f>
        <v>89329.89</v>
      </c>
      <c r="AI191" s="209"/>
      <c r="AJ191" s="209">
        <f>'2022-23'!AB139</f>
        <v>225116.68</v>
      </c>
      <c r="AK191" s="209"/>
      <c r="AL191" s="209">
        <f>'2022-23'!AD139</f>
        <v>314294.58999999997</v>
      </c>
      <c r="AM191" s="209"/>
      <c r="AN191" s="209">
        <f>'2022-23'!AF139</f>
        <v>437511.82999999996</v>
      </c>
      <c r="AO191" s="209"/>
      <c r="AP191" s="209">
        <f>'2022-23'!AH139</f>
        <v>535823.29999999993</v>
      </c>
      <c r="AQ191" s="209"/>
      <c r="AR191" s="209">
        <f t="shared" ref="AR191:BD191" si="570">AP191+AR186</f>
        <v>693250.23</v>
      </c>
      <c r="AS191" s="209"/>
      <c r="AT191" s="209">
        <f t="shared" si="570"/>
        <v>826659.8</v>
      </c>
      <c r="AU191" s="209"/>
      <c r="AV191" s="209">
        <f t="shared" si="570"/>
        <v>964540.53</v>
      </c>
      <c r="AW191" s="209"/>
      <c r="AX191" s="209">
        <f t="shared" si="570"/>
        <v>1080412.1100000001</v>
      </c>
      <c r="AY191" s="209"/>
      <c r="AZ191" s="209">
        <f t="shared" si="570"/>
        <v>1212419.1800000002</v>
      </c>
      <c r="BA191" s="209"/>
      <c r="BB191" s="209">
        <f t="shared" si="570"/>
        <v>1316415.1900000002</v>
      </c>
      <c r="BC191" s="209"/>
      <c r="BD191" s="209">
        <f t="shared" si="570"/>
        <v>1406547.86</v>
      </c>
      <c r="BE191" s="81"/>
    </row>
    <row r="192" spans="1:57" x14ac:dyDescent="0.35"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>
        <f>'2017-18'!E71</f>
        <v>111463</v>
      </c>
      <c r="AI192" s="81"/>
      <c r="AJ192" s="81">
        <f>'2017-18'!G71</f>
        <v>208926.18</v>
      </c>
      <c r="AK192" s="81"/>
      <c r="AL192" s="81">
        <f>'2017-18'!I71</f>
        <v>355070.18</v>
      </c>
      <c r="AM192" s="81"/>
      <c r="AN192" s="81">
        <f>'2017-18'!K71</f>
        <v>363091.18</v>
      </c>
      <c r="AO192" s="81"/>
      <c r="AP192" s="81">
        <f>'2017-18'!M71</f>
        <v>476992.18</v>
      </c>
      <c r="AQ192" s="81"/>
      <c r="AR192" s="81">
        <f>'2017-18'!O71</f>
        <v>561427.17999999993</v>
      </c>
      <c r="AS192" s="81"/>
      <c r="AT192" s="81">
        <f>'2017-18'!Q71</f>
        <v>657549.27999999991</v>
      </c>
      <c r="AU192" s="81"/>
      <c r="AV192" s="81">
        <f>'2017-18'!S71</f>
        <v>771563.27999999991</v>
      </c>
      <c r="AW192" s="81"/>
      <c r="AX192" s="81">
        <f>'2017-18'!U71</f>
        <v>888586.27999999991</v>
      </c>
      <c r="AY192" s="81"/>
      <c r="AZ192" s="81">
        <f>'2017-18'!W71</f>
        <v>995143.32</v>
      </c>
      <c r="BA192" s="81"/>
      <c r="BB192" s="81">
        <f>'2017-18'!Y71</f>
        <v>995143.32</v>
      </c>
      <c r="BC192" s="81"/>
      <c r="BD192" s="81">
        <f>'2017-18'!AA71</f>
        <v>995143.32</v>
      </c>
    </row>
    <row r="194" spans="3:57" x14ac:dyDescent="0.35"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>
        <f>AH189-AH190</f>
        <v>3518.109999999986</v>
      </c>
      <c r="AI194" s="81"/>
      <c r="AJ194" s="81">
        <f t="shared" ref="AJ194:BD194" si="571">AJ189-AJ190</f>
        <v>25540.390000000014</v>
      </c>
      <c r="AK194" s="81"/>
      <c r="AL194" s="81">
        <f t="shared" si="571"/>
        <v>11180.52999999997</v>
      </c>
      <c r="AM194" s="81"/>
      <c r="AN194" s="81">
        <f t="shared" si="571"/>
        <v>79942.889999999898</v>
      </c>
      <c r="AO194" s="81"/>
      <c r="AP194" s="81">
        <f t="shared" si="571"/>
        <v>86959.399999999907</v>
      </c>
      <c r="AQ194" s="81"/>
      <c r="AR194" s="81">
        <f t="shared" si="571"/>
        <v>123241.29999999993</v>
      </c>
      <c r="AS194" s="81"/>
      <c r="AT194" s="81">
        <f t="shared" si="571"/>
        <v>155136.21999999986</v>
      </c>
      <c r="AU194" s="81"/>
      <c r="AV194" s="81">
        <f t="shared" si="571"/>
        <v>185584.18999999971</v>
      </c>
      <c r="AW194" s="81"/>
      <c r="AX194" s="81">
        <f t="shared" si="571"/>
        <v>244219.04999999981</v>
      </c>
      <c r="AY194" s="81"/>
      <c r="AZ194" s="81">
        <f t="shared" si="571"/>
        <v>286718.75</v>
      </c>
      <c r="BA194" s="81"/>
      <c r="BB194" s="81">
        <f t="shared" si="571"/>
        <v>292274.51</v>
      </c>
      <c r="BC194" s="81"/>
      <c r="BD194" s="81">
        <f t="shared" si="571"/>
        <v>348359.50000000023</v>
      </c>
      <c r="BE194" s="48"/>
    </row>
    <row r="195" spans="3:57" x14ac:dyDescent="0.35">
      <c r="AH195" s="81"/>
      <c r="AJ195" s="81"/>
      <c r="AL195" s="81"/>
      <c r="AN195" s="81"/>
    </row>
    <row r="197" spans="3:57" x14ac:dyDescent="0.35">
      <c r="AP197"/>
    </row>
    <row r="200" spans="3:57" x14ac:dyDescent="0.35">
      <c r="AH200" s="81"/>
    </row>
  </sheetData>
  <mergeCells count="15">
    <mergeCell ref="BA4:BB4"/>
    <mergeCell ref="BC4:BD4"/>
    <mergeCell ref="AO4:AP4"/>
    <mergeCell ref="AQ4:AR4"/>
    <mergeCell ref="AS4:AT4"/>
    <mergeCell ref="AU4:AV4"/>
    <mergeCell ref="AW4:AX4"/>
    <mergeCell ref="AY4:AZ4"/>
    <mergeCell ref="AM4:AN4"/>
    <mergeCell ref="F4:F5"/>
    <mergeCell ref="AD4:AD5"/>
    <mergeCell ref="AG4:AH4"/>
    <mergeCell ref="AI4:AJ4"/>
    <mergeCell ref="AK4:AL4"/>
    <mergeCell ref="H4:H5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C35C-58E4-47CC-88B9-B0F3D7DF0CA5}">
  <sheetPr>
    <pageSetUpPr fitToPage="1"/>
  </sheetPr>
  <dimension ref="A2:BL213"/>
  <sheetViews>
    <sheetView zoomScale="86" zoomScaleNormal="73" workbookViewId="0">
      <pane xSplit="4" ySplit="5" topLeftCell="AR83" activePane="bottomRight" state="frozen"/>
      <selection activeCell="AP121" sqref="AP121"/>
      <selection pane="topRight" activeCell="AP121" sqref="AP121"/>
      <selection pane="bottomLeft" activeCell="AP121" sqref="AP121"/>
      <selection pane="bottomRight" activeCell="A63" sqref="A63"/>
    </sheetView>
  </sheetViews>
  <sheetFormatPr baseColWidth="10" defaultColWidth="11" defaultRowHeight="13.5" x14ac:dyDescent="0.35"/>
  <cols>
    <col min="1" max="1" width="32.875" style="69" bestFit="1" customWidth="1"/>
    <col min="2" max="2" width="2" style="69" customWidth="1"/>
    <col min="3" max="4" width="10.625" style="69" customWidth="1"/>
    <col min="5" max="5" width="12.875" style="69" customWidth="1"/>
    <col min="6" max="6" width="8.625" style="69" customWidth="1"/>
    <col min="7" max="7" width="6.625" style="69" bestFit="1" customWidth="1"/>
    <col min="8" max="8" width="8.625" style="69" customWidth="1"/>
    <col min="9" max="9" width="7" style="69" customWidth="1"/>
    <col min="10" max="10" width="8.625" style="69" customWidth="1"/>
    <col min="11" max="11" width="6.5" style="69" bestFit="1" customWidth="1"/>
    <col min="12" max="12" width="8.625" style="69" customWidth="1"/>
    <col min="13" max="13" width="6.375" style="69" customWidth="1"/>
    <col min="14" max="14" width="8.625" style="69" customWidth="1"/>
    <col min="15" max="15" width="5.625" style="69" customWidth="1"/>
    <col min="16" max="16" width="8.625" style="69" customWidth="1"/>
    <col min="17" max="17" width="8.625" style="69" bestFit="1" customWidth="1"/>
    <col min="18" max="18" width="8.625" style="69" customWidth="1"/>
    <col min="19" max="19" width="5.625" style="69" customWidth="1"/>
    <col min="20" max="20" width="8.625" style="69" customWidth="1"/>
    <col min="21" max="21" width="5.625" style="69" customWidth="1"/>
    <col min="22" max="22" width="8.625" style="69" customWidth="1"/>
    <col min="23" max="23" width="5.625" style="69" customWidth="1"/>
    <col min="24" max="24" width="8.625" style="69" customWidth="1"/>
    <col min="25" max="25" width="5.625" style="69" customWidth="1"/>
    <col min="26" max="28" width="8.625" style="69" customWidth="1"/>
    <col min="29" max="29" width="5.625" style="69" customWidth="1"/>
    <col min="30" max="32" width="8.625" style="69" customWidth="1"/>
    <col min="33" max="33" width="7.125" style="69" customWidth="1"/>
    <col min="34" max="34" width="9" style="69" customWidth="1"/>
    <col min="35" max="35" width="6.125" style="69" customWidth="1"/>
    <col min="36" max="36" width="10.375" style="69" customWidth="1"/>
    <col min="37" max="38" width="8.125" style="69" customWidth="1"/>
    <col min="39" max="39" width="8.875" style="69" customWidth="1"/>
    <col min="40" max="40" width="8.125" style="69" customWidth="1"/>
    <col min="41" max="41" width="8.875" style="69" customWidth="1"/>
    <col min="42" max="42" width="8.125" style="69" customWidth="1"/>
    <col min="43" max="43" width="9.375" style="69" customWidth="1"/>
    <col min="44" max="44" width="8.125" style="69" customWidth="1"/>
    <col min="45" max="45" width="9.625" style="69" customWidth="1"/>
    <col min="46" max="46" width="8.125" style="69" customWidth="1"/>
    <col min="47" max="47" width="10.125" style="69" customWidth="1"/>
    <col min="48" max="48" width="8.625" style="69" customWidth="1"/>
    <col min="49" max="49" width="10.125" style="69" customWidth="1"/>
    <col min="50" max="50" width="9" style="69" customWidth="1"/>
    <col min="51" max="51" width="10.625" style="69" customWidth="1"/>
    <col min="52" max="52" width="8.625" style="69" customWidth="1"/>
    <col min="53" max="53" width="9.375" style="69" customWidth="1"/>
    <col min="54" max="54" width="9.875" style="69" bestFit="1" customWidth="1"/>
    <col min="55" max="58" width="9.625" style="69" bestFit="1" customWidth="1"/>
    <col min="59" max="60" width="9.625" style="69" customWidth="1"/>
    <col min="61" max="61" width="11" style="69"/>
    <col min="62" max="62" width="14.875" style="69" bestFit="1" customWidth="1"/>
    <col min="63" max="64" width="14.875" style="69" customWidth="1"/>
    <col min="65" max="16384" width="11" style="69"/>
  </cols>
  <sheetData>
    <row r="2" spans="1:61" x14ac:dyDescent="0.35">
      <c r="AO2" s="81"/>
    </row>
    <row r="3" spans="1:61" ht="13.9" thickBot="1" x14ac:dyDescent="0.4"/>
    <row r="4" spans="1:61" ht="13.9" thickTop="1" x14ac:dyDescent="0.35">
      <c r="A4" s="67"/>
      <c r="B4" s="68"/>
      <c r="C4" s="68"/>
      <c r="D4" s="68"/>
      <c r="E4" s="296"/>
      <c r="F4" s="441" t="s">
        <v>660</v>
      </c>
      <c r="G4" s="297" t="s">
        <v>665</v>
      </c>
      <c r="H4" s="441" t="s">
        <v>659</v>
      </c>
      <c r="I4" s="297" t="s">
        <v>664</v>
      </c>
      <c r="J4" s="297" t="s">
        <v>538</v>
      </c>
      <c r="K4" s="297" t="s">
        <v>540</v>
      </c>
      <c r="L4" s="297" t="s">
        <v>542</v>
      </c>
      <c r="M4" s="297" t="s">
        <v>543</v>
      </c>
      <c r="N4" s="297" t="s">
        <v>544</v>
      </c>
      <c r="O4" s="297" t="s">
        <v>546</v>
      </c>
      <c r="P4" s="297" t="s">
        <v>505</v>
      </c>
      <c r="Q4" s="297" t="s">
        <v>547</v>
      </c>
      <c r="R4" s="297" t="s">
        <v>666</v>
      </c>
      <c r="S4" s="297" t="s">
        <v>667</v>
      </c>
      <c r="T4" s="297" t="s">
        <v>548</v>
      </c>
      <c r="U4" s="297" t="s">
        <v>668</v>
      </c>
      <c r="V4" s="297" t="s">
        <v>551</v>
      </c>
      <c r="W4" s="297" t="s">
        <v>731</v>
      </c>
      <c r="X4" s="297" t="s">
        <v>661</v>
      </c>
      <c r="Y4" s="297" t="s">
        <v>663</v>
      </c>
      <c r="Z4" s="297" t="s">
        <v>662</v>
      </c>
      <c r="AA4" s="297" t="s">
        <v>662</v>
      </c>
      <c r="AB4" s="297" t="s">
        <v>507</v>
      </c>
      <c r="AC4" s="297" t="s">
        <v>553</v>
      </c>
      <c r="AD4" s="297" t="s">
        <v>756</v>
      </c>
      <c r="AE4" s="297" t="s">
        <v>756</v>
      </c>
      <c r="AF4" s="297" t="s">
        <v>757</v>
      </c>
      <c r="AG4" s="297" t="s">
        <v>758</v>
      </c>
      <c r="AH4" s="441" t="s">
        <v>636</v>
      </c>
      <c r="AI4" s="297" t="s">
        <v>730</v>
      </c>
      <c r="AJ4" s="317"/>
      <c r="AK4" s="437" t="s">
        <v>142</v>
      </c>
      <c r="AL4" s="439"/>
      <c r="AM4" s="438" t="s">
        <v>143</v>
      </c>
      <c r="AN4" s="439"/>
      <c r="AO4" s="437" t="s">
        <v>144</v>
      </c>
      <c r="AP4" s="437"/>
      <c r="AQ4" s="440" t="s">
        <v>138</v>
      </c>
      <c r="AR4" s="439"/>
      <c r="AS4" s="437" t="s">
        <v>139</v>
      </c>
      <c r="AT4" s="437"/>
      <c r="AU4" s="438" t="s">
        <v>140</v>
      </c>
      <c r="AV4" s="439"/>
      <c r="AW4" s="437" t="s">
        <v>141</v>
      </c>
      <c r="AX4" s="437"/>
      <c r="AY4" s="438" t="s">
        <v>145</v>
      </c>
      <c r="AZ4" s="439"/>
      <c r="BA4" s="437" t="s">
        <v>146</v>
      </c>
      <c r="BB4" s="437"/>
      <c r="BC4" s="438" t="s">
        <v>147</v>
      </c>
      <c r="BD4" s="439"/>
      <c r="BE4" s="437" t="s">
        <v>148</v>
      </c>
      <c r="BF4" s="437"/>
      <c r="BG4" s="438" t="s">
        <v>149</v>
      </c>
      <c r="BH4" s="439"/>
    </row>
    <row r="5" spans="1:61" ht="15" x14ac:dyDescent="0.4">
      <c r="A5" s="70" t="s">
        <v>137</v>
      </c>
      <c r="B5" s="155"/>
      <c r="C5" s="35" t="s">
        <v>268</v>
      </c>
      <c r="D5" s="35" t="s">
        <v>152</v>
      </c>
      <c r="E5" s="298"/>
      <c r="F5" s="442"/>
      <c r="G5" s="282" t="s">
        <v>541</v>
      </c>
      <c r="H5" s="442"/>
      <c r="I5" s="282" t="s">
        <v>541</v>
      </c>
      <c r="J5" s="282" t="s">
        <v>539</v>
      </c>
      <c r="K5" s="282" t="s">
        <v>541</v>
      </c>
      <c r="L5" s="282" t="s">
        <v>539</v>
      </c>
      <c r="M5" s="282" t="s">
        <v>541</v>
      </c>
      <c r="N5" s="282" t="s">
        <v>554</v>
      </c>
      <c r="O5" s="282" t="s">
        <v>541</v>
      </c>
      <c r="P5" s="282" t="s">
        <v>545</v>
      </c>
      <c r="Q5" s="282" t="s">
        <v>541</v>
      </c>
      <c r="R5" s="282"/>
      <c r="S5" s="282" t="s">
        <v>541</v>
      </c>
      <c r="T5" s="282" t="s">
        <v>732</v>
      </c>
      <c r="U5" s="282" t="s">
        <v>541</v>
      </c>
      <c r="V5" s="282" t="s">
        <v>555</v>
      </c>
      <c r="W5" s="282" t="s">
        <v>541</v>
      </c>
      <c r="X5" s="282"/>
      <c r="Y5" s="282" t="s">
        <v>541</v>
      </c>
      <c r="Z5" s="282"/>
      <c r="AA5" s="282" t="s">
        <v>541</v>
      </c>
      <c r="AB5" s="282"/>
      <c r="AC5" s="282" t="s">
        <v>541</v>
      </c>
      <c r="AD5" s="282"/>
      <c r="AE5" s="282" t="s">
        <v>541</v>
      </c>
      <c r="AF5" s="282"/>
      <c r="AG5" s="282" t="s">
        <v>541</v>
      </c>
      <c r="AH5" s="442"/>
      <c r="AI5" s="282" t="s">
        <v>541</v>
      </c>
      <c r="AJ5" s="318"/>
      <c r="AK5" s="75" t="s">
        <v>150</v>
      </c>
      <c r="AL5" s="73" t="s">
        <v>151</v>
      </c>
      <c r="AM5" s="72" t="s">
        <v>150</v>
      </c>
      <c r="AN5" s="74" t="s">
        <v>151</v>
      </c>
      <c r="AO5" s="75" t="s">
        <v>150</v>
      </c>
      <c r="AP5" s="76" t="s">
        <v>151</v>
      </c>
      <c r="AQ5" s="72" t="s">
        <v>150</v>
      </c>
      <c r="AR5" s="74" t="s">
        <v>151</v>
      </c>
      <c r="AS5" s="75" t="s">
        <v>150</v>
      </c>
      <c r="AT5" s="76" t="s">
        <v>151</v>
      </c>
      <c r="AU5" s="72" t="s">
        <v>150</v>
      </c>
      <c r="AV5" s="74" t="s">
        <v>151</v>
      </c>
      <c r="AW5" s="75" t="s">
        <v>150</v>
      </c>
      <c r="AX5" s="76" t="s">
        <v>151</v>
      </c>
      <c r="AY5" s="72" t="s">
        <v>150</v>
      </c>
      <c r="AZ5" s="74" t="s">
        <v>151</v>
      </c>
      <c r="BA5" s="75" t="s">
        <v>150</v>
      </c>
      <c r="BB5" s="76" t="s">
        <v>151</v>
      </c>
      <c r="BC5" s="72" t="s">
        <v>150</v>
      </c>
      <c r="BD5" s="74" t="s">
        <v>151</v>
      </c>
      <c r="BE5" s="75" t="s">
        <v>150</v>
      </c>
      <c r="BF5" s="76" t="s">
        <v>151</v>
      </c>
      <c r="BG5" s="72" t="s">
        <v>150</v>
      </c>
      <c r="BH5" s="74" t="s">
        <v>151</v>
      </c>
      <c r="BI5" s="216" t="s">
        <v>709</v>
      </c>
    </row>
    <row r="6" spans="1:61" ht="15" x14ac:dyDescent="0.4">
      <c r="A6" s="217"/>
      <c r="B6" s="218"/>
      <c r="C6"/>
      <c r="D6"/>
      <c r="E6" s="299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s="319"/>
      <c r="AL6" s="219"/>
      <c r="AM6" s="163"/>
      <c r="AN6" s="219"/>
      <c r="AQ6" s="163"/>
      <c r="AR6" s="219"/>
      <c r="AU6" s="163"/>
      <c r="AV6" s="219"/>
      <c r="AY6" s="163"/>
      <c r="AZ6" s="219"/>
      <c r="BC6" s="163"/>
      <c r="BD6" s="219"/>
      <c r="BG6" s="163"/>
      <c r="BI6"/>
    </row>
    <row r="7" spans="1:61" ht="13.9" thickBot="1" x14ac:dyDescent="0.4">
      <c r="A7" s="36" t="s">
        <v>720</v>
      </c>
      <c r="B7" s="143"/>
      <c r="C7" s="83"/>
      <c r="D7" s="83"/>
      <c r="E7" s="381"/>
      <c r="F7" s="382"/>
      <c r="G7" s="382"/>
      <c r="H7" s="383"/>
      <c r="I7" s="383"/>
      <c r="J7" s="383"/>
      <c r="K7" s="383"/>
      <c r="L7" s="382"/>
      <c r="M7" s="382"/>
      <c r="N7" s="383"/>
      <c r="O7" s="383"/>
      <c r="P7" s="382"/>
      <c r="Q7" s="382"/>
      <c r="R7" s="383"/>
      <c r="S7" s="383"/>
      <c r="T7" s="383"/>
      <c r="U7" s="383"/>
      <c r="V7" s="382"/>
      <c r="W7" s="382"/>
      <c r="X7" s="383"/>
      <c r="Y7" s="383"/>
      <c r="Z7" s="382"/>
      <c r="AA7" s="382"/>
      <c r="AB7" s="383"/>
      <c r="AC7" s="383"/>
      <c r="AD7" s="382"/>
      <c r="AE7" s="382"/>
      <c r="AF7" s="383"/>
      <c r="AG7" s="383"/>
      <c r="AH7" s="382"/>
      <c r="AI7" s="382"/>
      <c r="AJ7" s="321"/>
      <c r="AK7" s="81"/>
      <c r="AL7" s="81"/>
      <c r="AM7" s="50"/>
      <c r="AN7" s="85"/>
      <c r="AO7" s="81"/>
      <c r="AP7" s="81"/>
      <c r="AQ7" s="236"/>
      <c r="AR7" s="85"/>
      <c r="AS7" s="81"/>
      <c r="AT7" s="81"/>
      <c r="AU7" s="84"/>
      <c r="AV7" s="85"/>
      <c r="AW7" s="81"/>
      <c r="AX7" s="81"/>
      <c r="AY7" s="84"/>
      <c r="AZ7" s="85"/>
      <c r="BA7" s="81"/>
      <c r="BB7" s="81"/>
      <c r="BC7" s="84"/>
      <c r="BD7" s="85"/>
      <c r="BE7" s="81"/>
      <c r="BF7" s="81"/>
      <c r="BG7" s="84"/>
      <c r="BH7" s="81"/>
      <c r="BI7" s="81"/>
    </row>
    <row r="8" spans="1:61" x14ac:dyDescent="0.35">
      <c r="A8" s="39"/>
      <c r="B8" s="165"/>
      <c r="C8" s="77"/>
      <c r="D8" s="77"/>
      <c r="E8" s="300"/>
      <c r="F8" s="284"/>
      <c r="G8" s="359"/>
      <c r="H8" s="283"/>
      <c r="I8" s="311"/>
      <c r="J8" s="283"/>
      <c r="K8" s="283"/>
      <c r="L8" s="284"/>
      <c r="M8" s="284"/>
      <c r="N8" s="283"/>
      <c r="O8" s="283"/>
      <c r="P8" s="284"/>
      <c r="Q8" s="284"/>
      <c r="R8" s="283"/>
      <c r="S8" s="283"/>
      <c r="T8" s="283"/>
      <c r="U8" s="283"/>
      <c r="V8" s="284"/>
      <c r="W8" s="284"/>
      <c r="X8" s="283"/>
      <c r="Y8" s="311"/>
      <c r="Z8" s="284"/>
      <c r="AA8" s="359"/>
      <c r="AB8" s="283"/>
      <c r="AC8" s="311"/>
      <c r="AD8" s="284"/>
      <c r="AE8" s="359"/>
      <c r="AF8" s="283"/>
      <c r="AG8" s="311"/>
      <c r="AH8" s="284"/>
      <c r="AI8" s="359"/>
      <c r="AJ8" s="320"/>
      <c r="AK8" s="80"/>
      <c r="AL8" s="80"/>
      <c r="AM8" s="45"/>
      <c r="AN8" s="79"/>
      <c r="AO8" s="80"/>
      <c r="AP8" s="80"/>
      <c r="AQ8" s="154"/>
      <c r="AR8" s="79"/>
      <c r="AS8" s="78"/>
      <c r="AT8" s="80"/>
      <c r="AU8" s="78"/>
      <c r="AV8" s="79"/>
      <c r="AW8" s="78"/>
      <c r="AX8" s="79"/>
      <c r="AY8" s="78"/>
      <c r="AZ8" s="79"/>
      <c r="BA8" s="78"/>
      <c r="BB8" s="79"/>
      <c r="BC8" s="78"/>
      <c r="BD8" s="79"/>
      <c r="BE8" s="78"/>
      <c r="BF8" s="79"/>
      <c r="BG8" s="78"/>
      <c r="BH8" s="80"/>
      <c r="BI8" s="212"/>
    </row>
    <row r="9" spans="1:61" x14ac:dyDescent="0.35">
      <c r="A9" s="36" t="s">
        <v>795</v>
      </c>
      <c r="B9" s="235"/>
      <c r="C9" s="83"/>
      <c r="D9" s="83"/>
      <c r="E9" s="301"/>
      <c r="F9" s="286"/>
      <c r="G9" s="360"/>
      <c r="H9" s="285"/>
      <c r="I9" s="312"/>
      <c r="J9" s="285"/>
      <c r="K9" s="285"/>
      <c r="L9" s="286"/>
      <c r="M9" s="286"/>
      <c r="N9" s="285"/>
      <c r="O9" s="285"/>
      <c r="P9" s="286"/>
      <c r="Q9" s="286"/>
      <c r="R9" s="285"/>
      <c r="S9" s="285"/>
      <c r="T9" s="285"/>
      <c r="U9" s="285"/>
      <c r="V9" s="286"/>
      <c r="W9" s="286"/>
      <c r="X9" s="285"/>
      <c r="Y9" s="312"/>
      <c r="Z9" s="286"/>
      <c r="AA9" s="360"/>
      <c r="AB9" s="285"/>
      <c r="AC9" s="312"/>
      <c r="AD9" s="286"/>
      <c r="AE9" s="360"/>
      <c r="AF9" s="285"/>
      <c r="AG9" s="312"/>
      <c r="AH9" s="286"/>
      <c r="AI9" s="360"/>
      <c r="AJ9" s="321"/>
      <c r="AK9" s="81"/>
      <c r="AL9" s="81"/>
      <c r="AM9" s="50"/>
      <c r="AN9" s="85"/>
      <c r="AO9" s="81"/>
      <c r="AP9" s="81"/>
      <c r="AQ9" s="236"/>
      <c r="AR9" s="85"/>
      <c r="AS9" s="84"/>
      <c r="AT9" s="81"/>
      <c r="AU9" s="84"/>
      <c r="AV9" s="85"/>
      <c r="AW9" s="84"/>
      <c r="AX9" s="85"/>
      <c r="AY9" s="84"/>
      <c r="AZ9" s="85"/>
      <c r="BA9" s="84"/>
      <c r="BB9" s="85"/>
      <c r="BC9" s="84"/>
      <c r="BD9" s="85"/>
      <c r="BE9" s="230">
        <f>BF9</f>
        <v>929.27</v>
      </c>
      <c r="BF9" s="231">
        <v>929.27</v>
      </c>
      <c r="BG9" s="84"/>
      <c r="BH9" s="81"/>
      <c r="BI9" s="213"/>
    </row>
    <row r="10" spans="1:61" x14ac:dyDescent="0.35">
      <c r="A10" s="36" t="s">
        <v>794</v>
      </c>
      <c r="B10" s="235"/>
      <c r="C10" s="83"/>
      <c r="D10" s="83"/>
      <c r="E10" s="301"/>
      <c r="F10" s="286"/>
      <c r="G10" s="360"/>
      <c r="H10" s="285"/>
      <c r="I10" s="312"/>
      <c r="J10" s="285"/>
      <c r="K10" s="285"/>
      <c r="L10" s="286"/>
      <c r="M10" s="286"/>
      <c r="N10" s="285"/>
      <c r="O10" s="285"/>
      <c r="P10" s="286"/>
      <c r="Q10" s="286"/>
      <c r="R10" s="285"/>
      <c r="S10" s="285"/>
      <c r="T10" s="285"/>
      <c r="U10" s="285"/>
      <c r="V10" s="286"/>
      <c r="W10" s="286"/>
      <c r="X10" s="285"/>
      <c r="Y10" s="312"/>
      <c r="Z10" s="286"/>
      <c r="AA10" s="360"/>
      <c r="AB10" s="285"/>
      <c r="AC10" s="312"/>
      <c r="AD10" s="286"/>
      <c r="AE10" s="360"/>
      <c r="AF10" s="285"/>
      <c r="AG10" s="312"/>
      <c r="AH10" s="286"/>
      <c r="AI10" s="360"/>
      <c r="AJ10" s="321"/>
      <c r="AK10" s="81"/>
      <c r="AL10" s="81"/>
      <c r="AM10" s="50"/>
      <c r="AN10" s="85"/>
      <c r="AO10" s="81"/>
      <c r="AP10" s="81"/>
      <c r="AQ10" s="236"/>
      <c r="AR10" s="85"/>
      <c r="AS10" s="84"/>
      <c r="AT10" s="81"/>
      <c r="AU10" s="84"/>
      <c r="AV10" s="85"/>
      <c r="AW10" s="84"/>
      <c r="AX10" s="85"/>
      <c r="AY10" s="84"/>
      <c r="AZ10" s="85"/>
      <c r="BA10" s="84"/>
      <c r="BB10" s="85"/>
      <c r="BC10" s="84"/>
      <c r="BD10" s="85"/>
      <c r="BE10" s="230">
        <f>BF10</f>
        <v>257.25</v>
      </c>
      <c r="BF10" s="231">
        <v>257.25</v>
      </c>
      <c r="BG10" s="84"/>
      <c r="BH10" s="81"/>
      <c r="BI10" s="213"/>
    </row>
    <row r="11" spans="1:61" x14ac:dyDescent="0.35">
      <c r="A11" s="36" t="s">
        <v>793</v>
      </c>
      <c r="B11" s="235"/>
      <c r="C11" s="83"/>
      <c r="D11" s="83"/>
      <c r="E11" s="301"/>
      <c r="F11" s="286"/>
      <c r="G11" s="360"/>
      <c r="H11" s="285"/>
      <c r="I11" s="312"/>
      <c r="J11" s="285"/>
      <c r="K11" s="285"/>
      <c r="L11" s="286"/>
      <c r="M11" s="286"/>
      <c r="N11" s="285"/>
      <c r="O11" s="285"/>
      <c r="P11" s="286"/>
      <c r="Q11" s="286"/>
      <c r="R11" s="285"/>
      <c r="S11" s="285"/>
      <c r="T11" s="285"/>
      <c r="U11" s="285"/>
      <c r="V11" s="286"/>
      <c r="W11" s="286"/>
      <c r="X11" s="285"/>
      <c r="Y11" s="312"/>
      <c r="Z11" s="286"/>
      <c r="AA11" s="360"/>
      <c r="AB11" s="285"/>
      <c r="AC11" s="312"/>
      <c r="AD11" s="286"/>
      <c r="AE11" s="360"/>
      <c r="AF11" s="285"/>
      <c r="AG11" s="312"/>
      <c r="AH11" s="286"/>
      <c r="AI11" s="360"/>
      <c r="AJ11" s="321"/>
      <c r="AK11" s="81"/>
      <c r="AL11" s="81"/>
      <c r="AM11" s="50"/>
      <c r="AN11" s="85"/>
      <c r="AO11" s="81"/>
      <c r="AP11" s="81"/>
      <c r="AQ11" s="236"/>
      <c r="AR11" s="85"/>
      <c r="AS11" s="84"/>
      <c r="AT11" s="81"/>
      <c r="AU11" s="84"/>
      <c r="AV11" s="85"/>
      <c r="AW11" s="84"/>
      <c r="AX11" s="85"/>
      <c r="AY11" s="84"/>
      <c r="AZ11" s="85"/>
      <c r="BA11" s="84"/>
      <c r="BB11" s="85"/>
      <c r="BC11" s="84"/>
      <c r="BD11" s="85"/>
      <c r="BE11" s="230">
        <f>BF11</f>
        <v>1145.76</v>
      </c>
      <c r="BF11" s="231">
        <v>1145.76</v>
      </c>
      <c r="BG11" s="84"/>
      <c r="BH11" s="81"/>
      <c r="BI11" s="213"/>
    </row>
    <row r="12" spans="1:61" x14ac:dyDescent="0.35">
      <c r="A12" s="36" t="s">
        <v>792</v>
      </c>
      <c r="B12" s="235"/>
      <c r="C12" s="83"/>
      <c r="D12" s="83"/>
      <c r="E12" s="301"/>
      <c r="F12" s="286"/>
      <c r="G12" s="360"/>
      <c r="H12" s="285"/>
      <c r="I12" s="312"/>
      <c r="J12" s="285"/>
      <c r="K12" s="285"/>
      <c r="L12" s="286"/>
      <c r="M12" s="286"/>
      <c r="N12" s="285"/>
      <c r="O12" s="285"/>
      <c r="P12" s="286"/>
      <c r="Q12" s="286"/>
      <c r="R12" s="285"/>
      <c r="S12" s="285"/>
      <c r="T12" s="285"/>
      <c r="U12" s="285"/>
      <c r="V12" s="286"/>
      <c r="W12" s="286"/>
      <c r="X12" s="285"/>
      <c r="Y12" s="312"/>
      <c r="Z12" s="286"/>
      <c r="AA12" s="360"/>
      <c r="AB12" s="285"/>
      <c r="AC12" s="312"/>
      <c r="AD12" s="286"/>
      <c r="AE12" s="360"/>
      <c r="AF12" s="285"/>
      <c r="AG12" s="312"/>
      <c r="AH12" s="286"/>
      <c r="AI12" s="360"/>
      <c r="AJ12" s="321"/>
      <c r="AK12" s="81"/>
      <c r="AL12" s="81"/>
      <c r="AM12" s="50"/>
      <c r="AN12" s="85"/>
      <c r="AO12" s="81"/>
      <c r="AP12" s="81"/>
      <c r="AQ12" s="236"/>
      <c r="AR12" s="85"/>
      <c r="AS12" s="84"/>
      <c r="AT12" s="81"/>
      <c r="AU12" s="84"/>
      <c r="AV12" s="85"/>
      <c r="AW12" s="84"/>
      <c r="AX12" s="85"/>
      <c r="AY12" s="84"/>
      <c r="AZ12" s="85"/>
      <c r="BA12" s="84"/>
      <c r="BB12" s="85"/>
      <c r="BC12" s="84"/>
      <c r="BD12" s="85"/>
      <c r="BE12" s="230">
        <f>BF12</f>
        <v>463.01</v>
      </c>
      <c r="BF12" s="231">
        <v>463.01</v>
      </c>
      <c r="BG12" s="84"/>
      <c r="BH12" s="81"/>
      <c r="BI12" s="213"/>
    </row>
    <row r="13" spans="1:61" x14ac:dyDescent="0.35">
      <c r="A13" s="36" t="s">
        <v>768</v>
      </c>
      <c r="B13" s="235"/>
      <c r="C13" s="83"/>
      <c r="D13" s="83"/>
      <c r="E13" s="301"/>
      <c r="F13" s="286"/>
      <c r="G13" s="360"/>
      <c r="H13" s="285"/>
      <c r="I13" s="312"/>
      <c r="J13" s="285"/>
      <c r="K13" s="285"/>
      <c r="L13" s="286"/>
      <c r="M13" s="286"/>
      <c r="N13" s="285"/>
      <c r="O13" s="285"/>
      <c r="P13" s="286"/>
      <c r="Q13" s="286"/>
      <c r="R13" s="285"/>
      <c r="S13" s="285"/>
      <c r="T13" s="285"/>
      <c r="U13" s="285"/>
      <c r="V13" s="286"/>
      <c r="W13" s="286"/>
      <c r="X13" s="285"/>
      <c r="Y13" s="312"/>
      <c r="Z13" s="286"/>
      <c r="AA13" s="360"/>
      <c r="AB13" s="285"/>
      <c r="AC13" s="312"/>
      <c r="AD13" s="286"/>
      <c r="AE13" s="360"/>
      <c r="AF13" s="285"/>
      <c r="AG13" s="312"/>
      <c r="AH13" s="286"/>
      <c r="AI13" s="360"/>
      <c r="AJ13" s="321"/>
      <c r="AK13" s="81"/>
      <c r="AL13" s="81"/>
      <c r="AM13" s="50"/>
      <c r="AN13" s="85"/>
      <c r="AO13" s="81"/>
      <c r="AP13" s="81"/>
      <c r="AQ13" s="236"/>
      <c r="AR13" s="85"/>
      <c r="AS13" s="84"/>
      <c r="AT13" s="81"/>
      <c r="AU13" s="84"/>
      <c r="AV13" s="85"/>
      <c r="AW13" s="84"/>
      <c r="AX13" s="85"/>
      <c r="AY13" s="84"/>
      <c r="AZ13" s="85"/>
      <c r="BA13" s="84"/>
      <c r="BB13" s="85"/>
      <c r="BC13" s="84"/>
      <c r="BD13" s="85"/>
      <c r="BE13" s="84"/>
      <c r="BF13" s="85"/>
      <c r="BG13" s="84"/>
      <c r="BH13" s="81"/>
      <c r="BI13" s="213"/>
    </row>
    <row r="14" spans="1:61" x14ac:dyDescent="0.35">
      <c r="A14" s="36" t="s">
        <v>761</v>
      </c>
      <c r="B14" s="235"/>
      <c r="C14" s="83"/>
      <c r="D14" s="83"/>
      <c r="E14" s="301"/>
      <c r="F14" s="286"/>
      <c r="G14" s="360"/>
      <c r="H14" s="285"/>
      <c r="I14" s="312"/>
      <c r="J14" s="285"/>
      <c r="K14" s="285"/>
      <c r="L14" s="286"/>
      <c r="M14" s="286"/>
      <c r="N14" s="285"/>
      <c r="O14" s="285"/>
      <c r="P14" s="286"/>
      <c r="Q14" s="286"/>
      <c r="R14" s="285"/>
      <c r="S14" s="285"/>
      <c r="T14" s="285"/>
      <c r="U14" s="285"/>
      <c r="V14" s="286"/>
      <c r="W14" s="286"/>
      <c r="X14" s="285"/>
      <c r="Y14" s="312"/>
      <c r="Z14" s="286"/>
      <c r="AA14" s="360"/>
      <c r="AB14" s="285"/>
      <c r="AC14" s="312"/>
      <c r="AD14" s="286"/>
      <c r="AE14" s="360"/>
      <c r="AF14" s="285"/>
      <c r="AG14" s="312"/>
      <c r="AH14" s="286"/>
      <c r="AI14" s="360"/>
      <c r="AJ14" s="321"/>
      <c r="AK14" s="81"/>
      <c r="AL14" s="81"/>
      <c r="AM14" s="50"/>
      <c r="AN14" s="85"/>
      <c r="AO14" s="81"/>
      <c r="AP14" s="81"/>
      <c r="AQ14" s="236"/>
      <c r="AR14" s="85"/>
      <c r="AS14" s="230">
        <f>AT14</f>
        <v>268.5</v>
      </c>
      <c r="AT14" s="195">
        <v>268.5</v>
      </c>
      <c r="AW14" s="84"/>
      <c r="AX14" s="85"/>
      <c r="AY14" s="84"/>
      <c r="AZ14" s="85"/>
      <c r="BA14" s="84"/>
      <c r="BB14" s="85"/>
      <c r="BC14" s="84"/>
      <c r="BD14" s="85"/>
      <c r="BE14" s="230">
        <f>BF14</f>
        <v>818.18</v>
      </c>
      <c r="BF14" s="231">
        <v>818.18</v>
      </c>
      <c r="BG14" s="84"/>
      <c r="BH14" s="81"/>
      <c r="BI14" s="213"/>
    </row>
    <row r="15" spans="1:61" x14ac:dyDescent="0.35">
      <c r="A15" s="36" t="s">
        <v>721</v>
      </c>
      <c r="B15" s="235"/>
      <c r="C15" s="83"/>
      <c r="D15" s="83"/>
      <c r="E15" s="301"/>
      <c r="F15" s="286"/>
      <c r="G15" s="360"/>
      <c r="H15" s="285"/>
      <c r="I15" s="312"/>
      <c r="J15" s="285"/>
      <c r="K15" s="285"/>
      <c r="L15" s="286"/>
      <c r="M15" s="286"/>
      <c r="N15" s="285"/>
      <c r="O15" s="285"/>
      <c r="P15" s="286"/>
      <c r="Q15" s="286"/>
      <c r="R15" s="285"/>
      <c r="S15" s="285"/>
      <c r="T15" s="285"/>
      <c r="U15" s="285"/>
      <c r="V15" s="286"/>
      <c r="W15" s="286"/>
      <c r="X15" s="285"/>
      <c r="Y15" s="312"/>
      <c r="Z15" s="286"/>
      <c r="AA15" s="360"/>
      <c r="AB15" s="285"/>
      <c r="AC15" s="312"/>
      <c r="AD15" s="286"/>
      <c r="AE15" s="360"/>
      <c r="AF15" s="285"/>
      <c r="AG15" s="312"/>
      <c r="AH15" s="286"/>
      <c r="AI15" s="360"/>
      <c r="AJ15" s="321"/>
      <c r="AK15" s="81"/>
      <c r="AL15" s="81"/>
      <c r="AM15" s="50"/>
      <c r="AN15" s="85"/>
      <c r="AO15" s="81"/>
      <c r="AP15" s="81"/>
      <c r="AQ15" s="236"/>
      <c r="AR15" s="85"/>
      <c r="AS15" s="230">
        <v>226.56</v>
      </c>
      <c r="AT15" s="195">
        <v>226.56</v>
      </c>
      <c r="AU15" s="84"/>
      <c r="AV15" s="85"/>
      <c r="AW15" s="84"/>
      <c r="AX15" s="85"/>
      <c r="AY15" s="84"/>
      <c r="AZ15" s="85"/>
      <c r="BA15" s="84"/>
      <c r="BB15" s="85"/>
      <c r="BC15" s="84"/>
      <c r="BD15" s="85"/>
      <c r="BE15" s="230">
        <f>BF15</f>
        <v>714.25</v>
      </c>
      <c r="BF15" s="231">
        <v>714.25</v>
      </c>
      <c r="BG15" s="84"/>
      <c r="BH15" s="81"/>
      <c r="BI15" s="213"/>
    </row>
    <row r="16" spans="1:61" x14ac:dyDescent="0.35">
      <c r="A16" s="36" t="s">
        <v>719</v>
      </c>
      <c r="B16" s="235"/>
      <c r="C16" s="83">
        <f>'2021-22'!AU7</f>
        <v>0</v>
      </c>
      <c r="D16" s="83"/>
      <c r="E16" s="301"/>
      <c r="F16" s="286"/>
      <c r="G16" s="360"/>
      <c r="H16" s="285"/>
      <c r="I16" s="312"/>
      <c r="J16" s="285"/>
      <c r="K16" s="285"/>
      <c r="L16" s="286"/>
      <c r="M16" s="286"/>
      <c r="N16" s="285"/>
      <c r="O16" s="285"/>
      <c r="P16" s="286"/>
      <c r="Q16" s="286"/>
      <c r="R16" s="285"/>
      <c r="S16" s="285"/>
      <c r="T16" s="285"/>
      <c r="U16" s="285"/>
      <c r="V16" s="286"/>
      <c r="W16" s="286"/>
      <c r="X16" s="285"/>
      <c r="Y16" s="312"/>
      <c r="Z16" s="286"/>
      <c r="AA16" s="360"/>
      <c r="AB16" s="285"/>
      <c r="AC16" s="312"/>
      <c r="AD16" s="286"/>
      <c r="AE16" s="360"/>
      <c r="AF16" s="285"/>
      <c r="AG16" s="312"/>
      <c r="AH16" s="286"/>
      <c r="AI16" s="360"/>
      <c r="AJ16" s="321"/>
      <c r="AK16" s="81"/>
      <c r="AL16" s="81"/>
      <c r="AM16" s="50"/>
      <c r="AN16" s="85"/>
      <c r="AO16" s="81"/>
      <c r="AP16" s="81"/>
      <c r="AQ16" s="236"/>
      <c r="AR16" s="85"/>
      <c r="AS16" s="230">
        <f>AT16</f>
        <v>1015.09</v>
      </c>
      <c r="AT16" s="195">
        <f>411.1+603.99</f>
        <v>1015.09</v>
      </c>
      <c r="AU16" s="84"/>
      <c r="AV16" s="85"/>
      <c r="AW16" s="84"/>
      <c r="AX16" s="85"/>
      <c r="AY16" s="84"/>
      <c r="AZ16" s="85"/>
      <c r="BA16" s="84"/>
      <c r="BB16" s="85"/>
      <c r="BC16" s="84"/>
      <c r="BD16" s="85"/>
      <c r="BE16" s="230">
        <f>BF16</f>
        <v>5874.34</v>
      </c>
      <c r="BF16" s="231">
        <v>5874.34</v>
      </c>
      <c r="BG16" s="84"/>
      <c r="BH16" s="81"/>
      <c r="BI16" s="213"/>
    </row>
    <row r="17" spans="1:64" x14ac:dyDescent="0.35">
      <c r="A17" s="36" t="s">
        <v>718</v>
      </c>
      <c r="B17" s="235"/>
      <c r="C17" s="83">
        <f>'2021-22'!AU8</f>
        <v>0</v>
      </c>
      <c r="D17" s="83"/>
      <c r="E17" s="301"/>
      <c r="F17" s="286"/>
      <c r="G17" s="360"/>
      <c r="H17" s="285"/>
      <c r="I17" s="312"/>
      <c r="J17" s="285"/>
      <c r="K17" s="285"/>
      <c r="L17" s="286"/>
      <c r="M17" s="286"/>
      <c r="N17" s="285"/>
      <c r="O17" s="285"/>
      <c r="P17" s="286"/>
      <c r="Q17" s="286"/>
      <c r="R17" s="285"/>
      <c r="S17" s="285"/>
      <c r="T17" s="285"/>
      <c r="U17" s="285"/>
      <c r="V17" s="286"/>
      <c r="W17" s="286"/>
      <c r="X17" s="285"/>
      <c r="Y17" s="312"/>
      <c r="Z17" s="286"/>
      <c r="AA17" s="360"/>
      <c r="AB17" s="285"/>
      <c r="AC17" s="312"/>
      <c r="AD17" s="286"/>
      <c r="AE17" s="360"/>
      <c r="AF17" s="285"/>
      <c r="AG17" s="312"/>
      <c r="AH17" s="286"/>
      <c r="AI17" s="360"/>
      <c r="AJ17" s="321"/>
      <c r="AK17" s="81"/>
      <c r="AL17" s="81"/>
      <c r="AM17" s="50"/>
      <c r="AN17" s="85"/>
      <c r="AO17" s="81"/>
      <c r="AP17" s="81"/>
      <c r="AQ17" s="236"/>
      <c r="AR17" s="85"/>
      <c r="AS17" s="230">
        <v>239.75</v>
      </c>
      <c r="AT17" s="195">
        <v>239.75</v>
      </c>
      <c r="AU17" s="84"/>
      <c r="AV17" s="85"/>
      <c r="AW17" s="84"/>
      <c r="AX17" s="85"/>
      <c r="AY17" s="84"/>
      <c r="AZ17" s="85"/>
      <c r="BA17" s="84"/>
      <c r="BB17" s="85"/>
      <c r="BC17" s="84"/>
      <c r="BD17" s="85"/>
      <c r="BE17" s="230">
        <f>BF17</f>
        <v>3422.16</v>
      </c>
      <c r="BF17" s="231">
        <v>3422.16</v>
      </c>
      <c r="BG17" s="84"/>
      <c r="BH17" s="81"/>
      <c r="BI17" s="213"/>
    </row>
    <row r="18" spans="1:64" x14ac:dyDescent="0.35">
      <c r="A18" s="151" t="s">
        <v>716</v>
      </c>
      <c r="B18" s="180"/>
      <c r="C18" s="83"/>
      <c r="D18" s="142"/>
      <c r="E18" s="304"/>
      <c r="F18" s="289"/>
      <c r="G18" s="363" t="e">
        <f t="shared" ref="G18" si="0">F18/E18</f>
        <v>#DIV/0!</v>
      </c>
      <c r="H18" s="287"/>
      <c r="I18" s="313" t="e">
        <f t="shared" ref="I18" si="1">H18/E18</f>
        <v>#DIV/0!</v>
      </c>
      <c r="J18" s="287"/>
      <c r="K18" s="288" t="e">
        <f t="shared" ref="K18" si="2">J18/E18</f>
        <v>#DIV/0!</v>
      </c>
      <c r="L18" s="289"/>
      <c r="M18" s="290" t="e">
        <f t="shared" ref="M18" si="3">L18/E18</f>
        <v>#DIV/0!</v>
      </c>
      <c r="N18" s="287"/>
      <c r="O18" s="288" t="e">
        <f t="shared" ref="O18" si="4">N18/E18</f>
        <v>#DIV/0!</v>
      </c>
      <c r="P18" s="289"/>
      <c r="Q18" s="290" t="e">
        <f t="shared" ref="Q18" si="5">P18/E18</f>
        <v>#DIV/0!</v>
      </c>
      <c r="R18" s="287"/>
      <c r="S18" s="288" t="e">
        <f t="shared" ref="S18" si="6">R18/E18</f>
        <v>#DIV/0!</v>
      </c>
      <c r="T18" s="287"/>
      <c r="U18" s="288" t="e">
        <f t="shared" ref="U18" si="7">T18/E18</f>
        <v>#DIV/0!</v>
      </c>
      <c r="V18" s="289"/>
      <c r="W18" s="290" t="e">
        <f t="shared" ref="W18" si="8">V18/E18</f>
        <v>#DIV/0!</v>
      </c>
      <c r="X18" s="287"/>
      <c r="Y18" s="313" t="e">
        <f t="shared" ref="Y18" si="9">X18/E18</f>
        <v>#DIV/0!</v>
      </c>
      <c r="Z18" s="289"/>
      <c r="AA18" s="363" t="e">
        <f t="shared" ref="AA18" si="10">Z18/E18</f>
        <v>#DIV/0!</v>
      </c>
      <c r="AB18" s="287"/>
      <c r="AC18" s="313" t="e">
        <f t="shared" ref="AC18" si="11">AB18/E18</f>
        <v>#DIV/0!</v>
      </c>
      <c r="AD18" s="289"/>
      <c r="AE18" s="363" t="e">
        <f t="shared" ref="AE18" si="12">AD18/I18</f>
        <v>#DIV/0!</v>
      </c>
      <c r="AF18" s="287"/>
      <c r="AG18" s="313" t="e">
        <f t="shared" ref="AG18" si="13">AF18/G18</f>
        <v>#DIV/0!</v>
      </c>
      <c r="AH18" s="289"/>
      <c r="AI18" s="363" t="e">
        <f t="shared" ref="AI18" si="14">AH18/E18</f>
        <v>#DIV/0!</v>
      </c>
      <c r="AJ18" s="323" t="e">
        <f t="shared" ref="AJ18" si="15">K18+M18+O18+Q18+S18+U18+W18+Y18+AA18+AC18+G18+I18+AI18</f>
        <v>#DIV/0!</v>
      </c>
      <c r="AK18" s="81">
        <v>0</v>
      </c>
      <c r="AL18" s="81"/>
      <c r="AM18" s="230">
        <f>AN18</f>
        <v>4922.3999999999996</v>
      </c>
      <c r="AN18" s="231">
        <f>1310.4+1260+1092+1260</f>
        <v>4922.3999999999996</v>
      </c>
      <c r="AO18" s="230">
        <v>2520</v>
      </c>
      <c r="AP18" s="195">
        <v>2520</v>
      </c>
      <c r="AQ18" s="84"/>
      <c r="AR18" s="85"/>
      <c r="AS18" s="84"/>
      <c r="AT18" s="81"/>
      <c r="AU18" s="84"/>
      <c r="AV18" s="85"/>
      <c r="AW18" s="84"/>
      <c r="AX18" s="85"/>
      <c r="AY18" s="84"/>
      <c r="AZ18" s="85"/>
      <c r="BA18" s="84"/>
      <c r="BB18" s="85"/>
      <c r="BC18" s="84"/>
      <c r="BD18" s="85"/>
      <c r="BE18" s="84"/>
      <c r="BF18" s="85"/>
      <c r="BG18" s="84"/>
      <c r="BH18" s="81"/>
      <c r="BI18" s="214"/>
    </row>
    <row r="19" spans="1:64" x14ac:dyDescent="0.35">
      <c r="A19" s="66" t="s">
        <v>687</v>
      </c>
      <c r="B19" s="167"/>
      <c r="C19" s="83">
        <f>'2021-22'!AU9</f>
        <v>0</v>
      </c>
      <c r="D19" s="83"/>
      <c r="E19" s="301"/>
      <c r="F19" s="286"/>
      <c r="G19" s="360"/>
      <c r="H19" s="285"/>
      <c r="I19" s="312"/>
      <c r="J19" s="285"/>
      <c r="K19" s="285"/>
      <c r="L19" s="286"/>
      <c r="M19" s="286"/>
      <c r="N19" s="285"/>
      <c r="O19" s="285"/>
      <c r="P19" s="286"/>
      <c r="Q19" s="286"/>
      <c r="R19" s="285"/>
      <c r="S19" s="285"/>
      <c r="T19" s="285"/>
      <c r="U19" s="285"/>
      <c r="V19" s="286"/>
      <c r="W19" s="286"/>
      <c r="X19" s="285"/>
      <c r="Y19" s="312"/>
      <c r="Z19" s="286"/>
      <c r="AA19" s="360"/>
      <c r="AB19" s="285"/>
      <c r="AC19" s="312"/>
      <c r="AD19" s="286"/>
      <c r="AE19" s="360"/>
      <c r="AF19" s="285"/>
      <c r="AG19" s="312"/>
      <c r="AH19" s="286"/>
      <c r="AI19" s="360"/>
      <c r="AJ19" s="322"/>
      <c r="AK19" s="81"/>
      <c r="AL19" s="81"/>
      <c r="AM19" s="84"/>
      <c r="AN19" s="85"/>
      <c r="AO19" s="81"/>
      <c r="AP19" s="81"/>
      <c r="AQ19" s="84"/>
      <c r="AR19" s="85"/>
      <c r="AS19" s="84"/>
      <c r="AT19" s="81"/>
      <c r="AU19" s="84"/>
      <c r="AV19" s="85"/>
      <c r="AW19" s="84"/>
      <c r="AX19" s="85"/>
      <c r="AY19" s="84"/>
      <c r="AZ19" s="85"/>
      <c r="BA19" s="84"/>
      <c r="BB19" s="85"/>
      <c r="BC19" s="84"/>
      <c r="BD19" s="85"/>
      <c r="BE19" s="84"/>
      <c r="BF19" s="85"/>
      <c r="BG19" s="84"/>
      <c r="BH19" s="81"/>
      <c r="BI19" s="213"/>
    </row>
    <row r="20" spans="1:64" x14ac:dyDescent="0.35">
      <c r="A20" s="66" t="s">
        <v>685</v>
      </c>
      <c r="B20" s="167"/>
      <c r="C20" s="83">
        <f>'2021-22'!AU10</f>
        <v>0</v>
      </c>
      <c r="D20" s="83"/>
      <c r="E20" s="301"/>
      <c r="F20" s="286"/>
      <c r="G20" s="360"/>
      <c r="H20" s="285"/>
      <c r="I20" s="312"/>
      <c r="J20" s="285"/>
      <c r="K20" s="285"/>
      <c r="L20" s="286"/>
      <c r="M20" s="286"/>
      <c r="N20" s="285"/>
      <c r="O20" s="285"/>
      <c r="P20" s="286"/>
      <c r="Q20" s="286"/>
      <c r="R20" s="285"/>
      <c r="S20" s="285"/>
      <c r="T20" s="285"/>
      <c r="U20" s="285"/>
      <c r="V20" s="286"/>
      <c r="W20" s="286"/>
      <c r="X20" s="285"/>
      <c r="Y20" s="312"/>
      <c r="Z20" s="286"/>
      <c r="AA20" s="360"/>
      <c r="AB20" s="285"/>
      <c r="AC20" s="312"/>
      <c r="AD20" s="286"/>
      <c r="AE20" s="360"/>
      <c r="AF20" s="285"/>
      <c r="AG20" s="312"/>
      <c r="AH20" s="286"/>
      <c r="AI20" s="360"/>
      <c r="AJ20" s="322"/>
      <c r="AK20" s="195">
        <f>AL20</f>
        <v>1209.5999999999999</v>
      </c>
      <c r="AL20" s="195">
        <v>1209.5999999999999</v>
      </c>
      <c r="AM20" s="84"/>
      <c r="AN20" s="85"/>
      <c r="AO20" s="81"/>
      <c r="AP20" s="81"/>
      <c r="AQ20" s="84"/>
      <c r="AR20" s="85"/>
      <c r="AS20" s="84"/>
      <c r="AT20" s="81"/>
      <c r="AU20" s="84"/>
      <c r="AV20" s="85"/>
      <c r="AW20" s="84"/>
      <c r="AX20" s="85"/>
      <c r="AY20" s="84"/>
      <c r="AZ20" s="85"/>
      <c r="BA20" s="84"/>
      <c r="BB20" s="85"/>
      <c r="BC20" s="84"/>
      <c r="BD20" s="85"/>
      <c r="BE20" s="84"/>
      <c r="BF20" s="85"/>
      <c r="BG20" s="84"/>
      <c r="BH20" s="81"/>
      <c r="BI20" s="213"/>
    </row>
    <row r="21" spans="1:64" x14ac:dyDescent="0.35">
      <c r="A21" s="66" t="s">
        <v>478</v>
      </c>
      <c r="B21" s="169"/>
      <c r="C21" s="83">
        <f>'2021-22'!AU10</f>
        <v>0</v>
      </c>
      <c r="D21" s="83"/>
      <c r="E21" s="301"/>
      <c r="F21" s="286"/>
      <c r="G21" s="360"/>
      <c r="H21" s="285"/>
      <c r="I21" s="312"/>
      <c r="J21" s="285"/>
      <c r="K21" s="285"/>
      <c r="L21" s="286"/>
      <c r="M21" s="286"/>
      <c r="N21" s="285"/>
      <c r="O21" s="285"/>
      <c r="P21" s="286"/>
      <c r="Q21" s="286"/>
      <c r="R21" s="285"/>
      <c r="S21" s="285"/>
      <c r="T21" s="285"/>
      <c r="U21" s="285"/>
      <c r="V21" s="286"/>
      <c r="W21" s="286"/>
      <c r="X21" s="285"/>
      <c r="Y21" s="312"/>
      <c r="Z21" s="286"/>
      <c r="AA21" s="360"/>
      <c r="AB21" s="285"/>
      <c r="AC21" s="312"/>
      <c r="AD21" s="286"/>
      <c r="AE21" s="360"/>
      <c r="AF21" s="285"/>
      <c r="AG21" s="312"/>
      <c r="AH21" s="286"/>
      <c r="AI21" s="360"/>
      <c r="AJ21" s="322"/>
      <c r="AK21" s="81"/>
      <c r="AL21" s="81"/>
      <c r="AM21" s="84"/>
      <c r="AN21" s="85"/>
      <c r="AO21" s="81"/>
      <c r="AP21" s="81"/>
      <c r="AQ21" s="84"/>
      <c r="AR21" s="85"/>
      <c r="AS21" s="84"/>
      <c r="AT21" s="81"/>
      <c r="AU21" s="84"/>
      <c r="AV21" s="85"/>
      <c r="AW21" s="84"/>
      <c r="AX21" s="85"/>
      <c r="AY21" s="84"/>
      <c r="AZ21" s="85"/>
      <c r="BA21" s="84"/>
      <c r="BB21" s="85"/>
      <c r="BC21" s="84"/>
      <c r="BD21" s="85"/>
      <c r="BE21" s="84"/>
      <c r="BF21" s="85"/>
      <c r="BG21" s="84"/>
      <c r="BH21" s="81"/>
      <c r="BI21" s="213"/>
    </row>
    <row r="22" spans="1:64" x14ac:dyDescent="0.35">
      <c r="A22" s="327"/>
      <c r="B22" s="328"/>
      <c r="C22" s="330"/>
      <c r="D22" s="330"/>
      <c r="E22" s="331"/>
      <c r="F22" s="361"/>
      <c r="G22" s="362"/>
      <c r="H22" s="332"/>
      <c r="I22" s="334"/>
      <c r="J22" s="332"/>
      <c r="K22" s="333"/>
      <c r="L22" s="332"/>
      <c r="M22" s="333"/>
      <c r="N22" s="332"/>
      <c r="O22" s="333"/>
      <c r="P22" s="332"/>
      <c r="Q22" s="333"/>
      <c r="R22" s="332"/>
      <c r="S22" s="333"/>
      <c r="T22" s="332"/>
      <c r="U22" s="333"/>
      <c r="V22" s="332"/>
      <c r="W22" s="333"/>
      <c r="X22" s="332"/>
      <c r="Y22" s="334"/>
      <c r="Z22" s="361"/>
      <c r="AA22" s="362"/>
      <c r="AB22" s="332"/>
      <c r="AC22" s="334"/>
      <c r="AD22" s="361"/>
      <c r="AE22" s="362"/>
      <c r="AF22" s="332"/>
      <c r="AG22" s="334"/>
      <c r="AH22" s="361"/>
      <c r="AI22" s="362"/>
      <c r="AJ22" s="335"/>
      <c r="AK22" s="329"/>
      <c r="AL22" s="329"/>
      <c r="AM22" s="336"/>
      <c r="AN22" s="337"/>
      <c r="AO22" s="338"/>
      <c r="AP22" s="329"/>
      <c r="AQ22" s="336"/>
      <c r="AR22" s="337"/>
      <c r="AS22" s="336"/>
      <c r="AT22" s="329"/>
      <c r="AU22" s="336"/>
      <c r="AV22" s="337"/>
      <c r="AW22" s="336"/>
      <c r="AX22" s="337"/>
      <c r="AY22" s="336"/>
      <c r="AZ22" s="337"/>
      <c r="BA22" s="336"/>
      <c r="BB22" s="337"/>
      <c r="BC22" s="336"/>
      <c r="BD22" s="337"/>
      <c r="BE22" s="336"/>
      <c r="BF22" s="337"/>
      <c r="BG22" s="336"/>
      <c r="BH22" s="329"/>
      <c r="BI22" s="339"/>
    </row>
    <row r="23" spans="1:64" x14ac:dyDescent="0.35">
      <c r="A23" s="159"/>
      <c r="B23" s="180"/>
      <c r="C23" s="83"/>
      <c r="D23" s="142"/>
      <c r="E23" s="304"/>
      <c r="F23" s="289"/>
      <c r="G23" s="363" t="e">
        <f t="shared" ref="G23:G79" si="16">F23/E23</f>
        <v>#DIV/0!</v>
      </c>
      <c r="H23" s="287"/>
      <c r="I23" s="313" t="e">
        <f t="shared" ref="I23:I79" si="17">H23/E23</f>
        <v>#DIV/0!</v>
      </c>
      <c r="J23" s="287"/>
      <c r="K23" s="288" t="e">
        <f t="shared" ref="K23:K79" si="18">J23/E23</f>
        <v>#DIV/0!</v>
      </c>
      <c r="L23" s="289"/>
      <c r="M23" s="290" t="e">
        <f t="shared" ref="M23:M79" si="19">L23/E23</f>
        <v>#DIV/0!</v>
      </c>
      <c r="N23" s="287"/>
      <c r="O23" s="288" t="e">
        <f t="shared" ref="O23:O85" si="20">N23/E23</f>
        <v>#DIV/0!</v>
      </c>
      <c r="P23" s="289"/>
      <c r="Q23" s="290" t="e">
        <f t="shared" ref="Q23:Q79" si="21">P23/E23</f>
        <v>#DIV/0!</v>
      </c>
      <c r="R23" s="287"/>
      <c r="S23" s="288" t="e">
        <f>R23/E23</f>
        <v>#DIV/0!</v>
      </c>
      <c r="T23" s="287"/>
      <c r="U23" s="288" t="e">
        <f t="shared" ref="U23:U79" si="22">T23/E23</f>
        <v>#DIV/0!</v>
      </c>
      <c r="V23" s="289"/>
      <c r="W23" s="290" t="e">
        <f t="shared" ref="W23:W79" si="23">V23/E23</f>
        <v>#DIV/0!</v>
      </c>
      <c r="X23" s="287"/>
      <c r="Y23" s="313" t="e">
        <f t="shared" ref="Y23:Y79" si="24">X23/E23</f>
        <v>#DIV/0!</v>
      </c>
      <c r="Z23" s="289"/>
      <c r="AA23" s="363" t="e">
        <f t="shared" ref="AA23:AA79" si="25">Z23/E23</f>
        <v>#DIV/0!</v>
      </c>
      <c r="AB23" s="287"/>
      <c r="AC23" s="313" t="e">
        <f t="shared" ref="AC23:AC79" si="26">AB23/E23</f>
        <v>#DIV/0!</v>
      </c>
      <c r="AD23" s="289"/>
      <c r="AE23" s="363" t="e">
        <f>AD23/E23</f>
        <v>#DIV/0!</v>
      </c>
      <c r="AF23" s="287"/>
      <c r="AG23" s="313" t="e">
        <f>AF23/E23</f>
        <v>#DIV/0!</v>
      </c>
      <c r="AH23" s="289"/>
      <c r="AI23" s="363" t="e">
        <f t="shared" ref="AI23:AI79" si="27">AH23/E23</f>
        <v>#DIV/0!</v>
      </c>
      <c r="AJ23" s="323" t="e">
        <f>K23+M23+O23+Q23+S23+U23+W23+Y23+AA23+AC23+G23+I23+AI23+AE23+AG23</f>
        <v>#DIV/0!</v>
      </c>
      <c r="AK23" s="81">
        <v>0</v>
      </c>
      <c r="AL23" s="81"/>
      <c r="AM23" s="84">
        <f>E23-AK23</f>
        <v>0</v>
      </c>
      <c r="AN23" s="85"/>
      <c r="AO23" s="84">
        <f t="shared" ref="AO23:AO69" si="28">D23-AK23-AM23</f>
        <v>0</v>
      </c>
      <c r="AP23" s="81"/>
      <c r="AQ23" s="84">
        <f t="shared" ref="AQ23:AQ69" si="29">D23-AK23-AM23-AO23</f>
        <v>0</v>
      </c>
      <c r="AR23" s="85"/>
      <c r="AS23" s="84">
        <f t="shared" ref="AS23:AS69" si="30">D23-AK23-AM23-AO23-AQ23</f>
        <v>0</v>
      </c>
      <c r="AT23" s="81"/>
      <c r="AU23" s="84">
        <f t="shared" ref="AU23:AU69" si="31">D23-AK23-AM23-AO23-AQ23-AS23</f>
        <v>0</v>
      </c>
      <c r="AV23" s="85"/>
      <c r="AW23" s="84">
        <f t="shared" ref="AW23:AW69" si="32">D23-AK23-AM23-AO23-AQ23-AS23-AU23</f>
        <v>0</v>
      </c>
      <c r="AX23" s="85"/>
      <c r="AY23" s="84">
        <f t="shared" ref="AY23:AY69" si="33">D23-AK23-AM23-AO23-AQ23-AS23-AU23-AW23</f>
        <v>0</v>
      </c>
      <c r="AZ23" s="85"/>
      <c r="BA23" s="84">
        <f t="shared" ref="BA23:BA69" si="34">D23-AK23-AM23-AO23-AQ23-AS23-AU23-AW23-AY23</f>
        <v>0</v>
      </c>
      <c r="BB23" s="85"/>
      <c r="BC23" s="84">
        <f t="shared" ref="BC23:BC69" si="35">D23-AK23-AM23-AO23-AQ23-AS23-AU23-AW23-AY23-BA23</f>
        <v>0</v>
      </c>
      <c r="BD23" s="85"/>
      <c r="BE23" s="84">
        <f t="shared" ref="BE23:BE69" si="36">D23-AK23-AM23-AO23-AQ23-AS23-AU23-AW23-AY23-BA23-BC23</f>
        <v>0</v>
      </c>
      <c r="BF23" s="85"/>
      <c r="BG23" s="84">
        <f t="shared" ref="BG23:BG69" si="37">D23-AK23-AM23-AO23-AQ23-AS23-AU23-AW23-AY23-BA23-BC23-BE23</f>
        <v>0</v>
      </c>
      <c r="BH23" s="81"/>
      <c r="BI23" s="214">
        <f t="shared" ref="BI23:BI79" si="38">D23-AK23-AM23-AO23-AQ23-AS23-AU23-AW23-AY23-BA23-BC23-BE23-BG23</f>
        <v>0</v>
      </c>
    </row>
    <row r="24" spans="1:64" x14ac:dyDescent="0.35">
      <c r="A24" s="159"/>
      <c r="B24" s="180"/>
      <c r="C24" s="83"/>
      <c r="D24" s="142"/>
      <c r="E24" s="304"/>
      <c r="F24" s="289"/>
      <c r="G24" s="363" t="e">
        <f t="shared" si="16"/>
        <v>#DIV/0!</v>
      </c>
      <c r="H24" s="287"/>
      <c r="I24" s="313" t="e">
        <f t="shared" si="17"/>
        <v>#DIV/0!</v>
      </c>
      <c r="J24" s="287"/>
      <c r="K24" s="288" t="e">
        <f t="shared" si="18"/>
        <v>#DIV/0!</v>
      </c>
      <c r="L24" s="289"/>
      <c r="M24" s="290" t="e">
        <f t="shared" si="19"/>
        <v>#DIV/0!</v>
      </c>
      <c r="N24" s="287"/>
      <c r="O24" s="288" t="e">
        <f t="shared" si="20"/>
        <v>#DIV/0!</v>
      </c>
      <c r="P24" s="289"/>
      <c r="Q24" s="290" t="e">
        <f t="shared" si="21"/>
        <v>#DIV/0!</v>
      </c>
      <c r="R24" s="287"/>
      <c r="S24" s="288" t="e">
        <f>R24/E24</f>
        <v>#DIV/0!</v>
      </c>
      <c r="T24" s="287"/>
      <c r="U24" s="288" t="e">
        <f t="shared" si="22"/>
        <v>#DIV/0!</v>
      </c>
      <c r="V24" s="289"/>
      <c r="W24" s="290" t="e">
        <f t="shared" si="23"/>
        <v>#DIV/0!</v>
      </c>
      <c r="X24" s="287"/>
      <c r="Y24" s="313" t="e">
        <f t="shared" si="24"/>
        <v>#DIV/0!</v>
      </c>
      <c r="Z24" s="289"/>
      <c r="AA24" s="363" t="e">
        <f t="shared" si="25"/>
        <v>#DIV/0!</v>
      </c>
      <c r="AB24" s="287"/>
      <c r="AC24" s="313" t="e">
        <f t="shared" si="26"/>
        <v>#DIV/0!</v>
      </c>
      <c r="AD24" s="289"/>
      <c r="AE24" s="363" t="e">
        <f t="shared" ref="AE24:AE140" si="39">AD24/E24</f>
        <v>#DIV/0!</v>
      </c>
      <c r="AF24" s="287"/>
      <c r="AG24" s="313" t="e">
        <f t="shared" ref="AG24:AG140" si="40">AF24/E24</f>
        <v>#DIV/0!</v>
      </c>
      <c r="AH24" s="289"/>
      <c r="AI24" s="363" t="e">
        <f t="shared" si="27"/>
        <v>#DIV/0!</v>
      </c>
      <c r="AJ24" s="323" t="e">
        <f t="shared" ref="AJ24:AJ140" si="41">K24+M24+O24+Q24+S24+U24+W24+Y24+AA24+AC24+G24+I24+AI24+AE24+AG24</f>
        <v>#DIV/0!</v>
      </c>
      <c r="AK24" s="81">
        <v>0</v>
      </c>
      <c r="AL24" s="81"/>
      <c r="AM24" s="84">
        <f>E24-AK24</f>
        <v>0</v>
      </c>
      <c r="AN24" s="85"/>
      <c r="AO24" s="84">
        <f t="shared" si="28"/>
        <v>0</v>
      </c>
      <c r="AP24" s="81"/>
      <c r="AQ24" s="84">
        <f t="shared" si="29"/>
        <v>0</v>
      </c>
      <c r="AR24" s="85"/>
      <c r="AS24" s="84">
        <f t="shared" si="30"/>
        <v>0</v>
      </c>
      <c r="AT24" s="81"/>
      <c r="AU24" s="84">
        <f t="shared" si="31"/>
        <v>0</v>
      </c>
      <c r="AV24" s="85"/>
      <c r="AW24" s="84">
        <f t="shared" si="32"/>
        <v>0</v>
      </c>
      <c r="AX24" s="85"/>
      <c r="AY24" s="84">
        <f t="shared" si="33"/>
        <v>0</v>
      </c>
      <c r="AZ24" s="85"/>
      <c r="BA24" s="84">
        <f t="shared" si="34"/>
        <v>0</v>
      </c>
      <c r="BB24" s="85"/>
      <c r="BC24" s="84">
        <f t="shared" si="35"/>
        <v>0</v>
      </c>
      <c r="BD24" s="85"/>
      <c r="BE24" s="84">
        <f t="shared" si="36"/>
        <v>0</v>
      </c>
      <c r="BF24" s="85"/>
      <c r="BG24" s="84">
        <f t="shared" si="37"/>
        <v>0</v>
      </c>
      <c r="BH24" s="81"/>
      <c r="BI24" s="214">
        <f t="shared" si="38"/>
        <v>0</v>
      </c>
    </row>
    <row r="25" spans="1:64" ht="13.9" x14ac:dyDescent="0.4">
      <c r="A25" s="368" t="s">
        <v>669</v>
      </c>
      <c r="B25" s="369"/>
      <c r="C25" s="370"/>
      <c r="D25" s="371"/>
      <c r="E25" s="304"/>
      <c r="F25" s="289"/>
      <c r="G25" s="363" t="e">
        <f t="shared" si="16"/>
        <v>#DIV/0!</v>
      </c>
      <c r="H25" s="287"/>
      <c r="I25" s="313" t="e">
        <f t="shared" si="17"/>
        <v>#DIV/0!</v>
      </c>
      <c r="J25" s="287"/>
      <c r="K25" s="288" t="e">
        <f t="shared" si="18"/>
        <v>#DIV/0!</v>
      </c>
      <c r="L25" s="289"/>
      <c r="M25" s="290" t="e">
        <f t="shared" si="19"/>
        <v>#DIV/0!</v>
      </c>
      <c r="N25" s="287"/>
      <c r="O25" s="288"/>
      <c r="P25" s="289"/>
      <c r="Q25" s="290"/>
      <c r="R25" s="287"/>
      <c r="S25" s="288"/>
      <c r="T25" s="287"/>
      <c r="U25" s="288"/>
      <c r="V25" s="289"/>
      <c r="W25" s="290"/>
      <c r="X25" s="287"/>
      <c r="Y25" s="313"/>
      <c r="Z25" s="289"/>
      <c r="AA25" s="363"/>
      <c r="AB25" s="287"/>
      <c r="AC25" s="313"/>
      <c r="AD25" s="289"/>
      <c r="AE25" s="363" t="e">
        <f t="shared" si="39"/>
        <v>#DIV/0!</v>
      </c>
      <c r="AF25" s="287"/>
      <c r="AG25" s="313" t="e">
        <f t="shared" si="40"/>
        <v>#DIV/0!</v>
      </c>
      <c r="AH25" s="289"/>
      <c r="AI25" s="363"/>
      <c r="AJ25" s="323"/>
      <c r="AK25" s="81">
        <v>0</v>
      </c>
      <c r="AL25" s="81"/>
      <c r="AM25" s="84">
        <f t="shared" ref="AM25:AM36" si="42">E25-AK25</f>
        <v>0</v>
      </c>
      <c r="AN25" s="85"/>
      <c r="AO25" s="84">
        <f t="shared" si="28"/>
        <v>0</v>
      </c>
      <c r="AP25" s="81"/>
      <c r="AQ25" s="84">
        <f t="shared" si="29"/>
        <v>0</v>
      </c>
      <c r="AR25" s="85"/>
      <c r="AS25" s="84">
        <f t="shared" si="30"/>
        <v>0</v>
      </c>
      <c r="AT25" s="81"/>
      <c r="AU25" s="84">
        <f t="shared" si="31"/>
        <v>0</v>
      </c>
      <c r="AV25" s="85"/>
      <c r="AW25" s="84">
        <f t="shared" si="32"/>
        <v>0</v>
      </c>
      <c r="AX25" s="85"/>
      <c r="AY25" s="84">
        <f t="shared" si="33"/>
        <v>0</v>
      </c>
      <c r="AZ25" s="85"/>
      <c r="BA25" s="84">
        <f t="shared" si="34"/>
        <v>0</v>
      </c>
      <c r="BB25" s="85"/>
      <c r="BC25" s="84">
        <f t="shared" si="35"/>
        <v>0</v>
      </c>
      <c r="BD25" s="85"/>
      <c r="BE25" s="84">
        <f t="shared" si="36"/>
        <v>0</v>
      </c>
      <c r="BF25" s="85"/>
      <c r="BG25" s="84">
        <f t="shared" si="37"/>
        <v>0</v>
      </c>
      <c r="BH25" s="81"/>
      <c r="BI25" s="214">
        <f t="shared" si="38"/>
        <v>0</v>
      </c>
    </row>
    <row r="26" spans="1:64" x14ac:dyDescent="0.35">
      <c r="A26" s="159"/>
      <c r="B26" s="180"/>
      <c r="C26" s="83"/>
      <c r="D26" s="142"/>
      <c r="E26" s="304"/>
      <c r="F26" s="289"/>
      <c r="G26" s="363" t="e">
        <f t="shared" si="16"/>
        <v>#DIV/0!</v>
      </c>
      <c r="H26" s="287"/>
      <c r="I26" s="313" t="e">
        <f t="shared" si="17"/>
        <v>#DIV/0!</v>
      </c>
      <c r="J26" s="287"/>
      <c r="K26" s="288" t="e">
        <f t="shared" si="18"/>
        <v>#DIV/0!</v>
      </c>
      <c r="L26" s="289"/>
      <c r="M26" s="290" t="e">
        <f t="shared" si="19"/>
        <v>#DIV/0!</v>
      </c>
      <c r="N26" s="287"/>
      <c r="O26" s="288" t="e">
        <f t="shared" si="20"/>
        <v>#DIV/0!</v>
      </c>
      <c r="P26" s="289"/>
      <c r="Q26" s="290" t="e">
        <f t="shared" si="21"/>
        <v>#DIV/0!</v>
      </c>
      <c r="R26" s="287"/>
      <c r="S26" s="288" t="e">
        <f t="shared" ref="S26:S155" si="43">R26/E26</f>
        <v>#DIV/0!</v>
      </c>
      <c r="T26" s="287"/>
      <c r="U26" s="288" t="e">
        <f t="shared" si="22"/>
        <v>#DIV/0!</v>
      </c>
      <c r="V26" s="289"/>
      <c r="W26" s="290" t="e">
        <f t="shared" si="23"/>
        <v>#DIV/0!</v>
      </c>
      <c r="X26" s="287"/>
      <c r="Y26" s="313" t="e">
        <f t="shared" si="24"/>
        <v>#DIV/0!</v>
      </c>
      <c r="Z26" s="289"/>
      <c r="AA26" s="363" t="e">
        <f t="shared" si="25"/>
        <v>#DIV/0!</v>
      </c>
      <c r="AB26" s="287"/>
      <c r="AC26" s="313" t="e">
        <f t="shared" si="26"/>
        <v>#DIV/0!</v>
      </c>
      <c r="AD26" s="289"/>
      <c r="AE26" s="363" t="e">
        <f t="shared" si="39"/>
        <v>#DIV/0!</v>
      </c>
      <c r="AF26" s="287"/>
      <c r="AG26" s="313" t="e">
        <f t="shared" si="40"/>
        <v>#DIV/0!</v>
      </c>
      <c r="AH26" s="289"/>
      <c r="AI26" s="363" t="e">
        <f t="shared" si="27"/>
        <v>#DIV/0!</v>
      </c>
      <c r="AJ26" s="323" t="e">
        <f t="shared" si="41"/>
        <v>#DIV/0!</v>
      </c>
      <c r="AK26" s="81">
        <v>0</v>
      </c>
      <c r="AL26" s="81"/>
      <c r="AM26" s="84">
        <f t="shared" si="42"/>
        <v>0</v>
      </c>
      <c r="AN26" s="85"/>
      <c r="AO26" s="84">
        <f t="shared" si="28"/>
        <v>0</v>
      </c>
      <c r="AP26" s="81"/>
      <c r="AQ26" s="84">
        <f t="shared" si="29"/>
        <v>0</v>
      </c>
      <c r="AR26" s="85"/>
      <c r="AS26" s="84">
        <f t="shared" si="30"/>
        <v>0</v>
      </c>
      <c r="AT26" s="81"/>
      <c r="AU26" s="84">
        <f t="shared" si="31"/>
        <v>0</v>
      </c>
      <c r="AV26" s="85"/>
      <c r="AW26" s="84">
        <f t="shared" si="32"/>
        <v>0</v>
      </c>
      <c r="AX26" s="85"/>
      <c r="AY26" s="84">
        <f t="shared" si="33"/>
        <v>0</v>
      </c>
      <c r="AZ26" s="85"/>
      <c r="BA26" s="84">
        <f t="shared" si="34"/>
        <v>0</v>
      </c>
      <c r="BB26" s="85"/>
      <c r="BC26" s="84">
        <f t="shared" si="35"/>
        <v>0</v>
      </c>
      <c r="BD26" s="85"/>
      <c r="BE26" s="84">
        <f t="shared" si="36"/>
        <v>0</v>
      </c>
      <c r="BF26" s="85"/>
      <c r="BG26" s="84">
        <f t="shared" si="37"/>
        <v>0</v>
      </c>
      <c r="BH26" s="81"/>
      <c r="BI26" s="214">
        <f t="shared" si="38"/>
        <v>0</v>
      </c>
    </row>
    <row r="27" spans="1:64" x14ac:dyDescent="0.35">
      <c r="A27" s="149" t="s">
        <v>786</v>
      </c>
      <c r="B27" s="180"/>
      <c r="C27" s="83">
        <v>277431.38</v>
      </c>
      <c r="D27" s="142">
        <v>0</v>
      </c>
      <c r="E27" s="304"/>
      <c r="F27" s="289"/>
      <c r="G27" s="363" t="e">
        <f t="shared" si="16"/>
        <v>#DIV/0!</v>
      </c>
      <c r="H27" s="287"/>
      <c r="I27" s="313" t="e">
        <f t="shared" si="17"/>
        <v>#DIV/0!</v>
      </c>
      <c r="J27" s="287"/>
      <c r="K27" s="288" t="e">
        <f t="shared" si="18"/>
        <v>#DIV/0!</v>
      </c>
      <c r="L27" s="289"/>
      <c r="M27" s="290" t="e">
        <f t="shared" si="19"/>
        <v>#DIV/0!</v>
      </c>
      <c r="N27" s="287"/>
      <c r="O27" s="288" t="e">
        <f t="shared" si="20"/>
        <v>#DIV/0!</v>
      </c>
      <c r="P27" s="289"/>
      <c r="Q27" s="290" t="e">
        <f t="shared" si="21"/>
        <v>#DIV/0!</v>
      </c>
      <c r="R27" s="287"/>
      <c r="S27" s="288" t="e">
        <f t="shared" si="43"/>
        <v>#DIV/0!</v>
      </c>
      <c r="T27" s="287"/>
      <c r="U27" s="288" t="e">
        <f t="shared" si="22"/>
        <v>#DIV/0!</v>
      </c>
      <c r="V27" s="289"/>
      <c r="W27" s="290" t="e">
        <f t="shared" si="23"/>
        <v>#DIV/0!</v>
      </c>
      <c r="X27" s="287"/>
      <c r="Y27" s="313" t="e">
        <f t="shared" si="24"/>
        <v>#DIV/0!</v>
      </c>
      <c r="Z27" s="289"/>
      <c r="AA27" s="363" t="e">
        <f t="shared" si="25"/>
        <v>#DIV/0!</v>
      </c>
      <c r="AB27" s="287"/>
      <c r="AC27" s="313" t="e">
        <f t="shared" si="26"/>
        <v>#DIV/0!</v>
      </c>
      <c r="AD27" s="289"/>
      <c r="AE27" s="363" t="e">
        <f t="shared" si="39"/>
        <v>#DIV/0!</v>
      </c>
      <c r="AF27" s="287"/>
      <c r="AG27" s="313" t="e">
        <f t="shared" si="40"/>
        <v>#DIV/0!</v>
      </c>
      <c r="AH27" s="289"/>
      <c r="AI27" s="363" t="e">
        <f t="shared" si="27"/>
        <v>#DIV/0!</v>
      </c>
      <c r="AJ27" s="323" t="e">
        <f t="shared" si="41"/>
        <v>#DIV/0!</v>
      </c>
      <c r="AK27" s="81">
        <v>0</v>
      </c>
      <c r="AL27" s="81"/>
      <c r="AM27" s="84">
        <f t="shared" si="42"/>
        <v>0</v>
      </c>
      <c r="AN27" s="85"/>
      <c r="AO27" s="84">
        <f t="shared" si="28"/>
        <v>0</v>
      </c>
      <c r="AP27" s="81"/>
      <c r="AQ27" s="84">
        <f t="shared" si="29"/>
        <v>0</v>
      </c>
      <c r="AR27" s="85"/>
      <c r="AS27" s="84">
        <f t="shared" si="30"/>
        <v>0</v>
      </c>
      <c r="AT27" s="81"/>
      <c r="AU27" s="84">
        <f t="shared" si="31"/>
        <v>0</v>
      </c>
      <c r="AV27" s="85"/>
      <c r="AW27" s="84">
        <f t="shared" si="32"/>
        <v>0</v>
      </c>
      <c r="AX27" s="85"/>
      <c r="AY27" s="84">
        <f t="shared" si="33"/>
        <v>0</v>
      </c>
      <c r="AZ27" s="85"/>
      <c r="BA27" s="84">
        <f t="shared" si="34"/>
        <v>0</v>
      </c>
      <c r="BB27" s="85"/>
      <c r="BC27" s="84">
        <f t="shared" si="35"/>
        <v>0</v>
      </c>
      <c r="BD27" s="85"/>
      <c r="BE27" s="84">
        <f t="shared" si="36"/>
        <v>0</v>
      </c>
      <c r="BF27" s="85"/>
      <c r="BG27" s="84">
        <f t="shared" si="37"/>
        <v>0</v>
      </c>
      <c r="BH27" s="81"/>
      <c r="BI27" s="214">
        <f t="shared" si="38"/>
        <v>0</v>
      </c>
    </row>
    <row r="28" spans="1:64" x14ac:dyDescent="0.35">
      <c r="A28" s="149" t="s">
        <v>787</v>
      </c>
      <c r="B28" s="180"/>
      <c r="C28" s="83">
        <v>269759</v>
      </c>
      <c r="D28" s="142"/>
      <c r="E28" s="304"/>
      <c r="F28" s="289"/>
      <c r="G28" s="363" t="e">
        <f t="shared" ref="G28" si="44">F28/E28</f>
        <v>#DIV/0!</v>
      </c>
      <c r="H28" s="287"/>
      <c r="I28" s="313" t="e">
        <f t="shared" ref="I28" si="45">H28/E28</f>
        <v>#DIV/0!</v>
      </c>
      <c r="J28" s="287"/>
      <c r="K28" s="288" t="e">
        <f t="shared" ref="K28" si="46">J28/E28</f>
        <v>#DIV/0!</v>
      </c>
      <c r="L28" s="289"/>
      <c r="M28" s="290" t="e">
        <f t="shared" ref="M28" si="47">L28/E28</f>
        <v>#DIV/0!</v>
      </c>
      <c r="N28" s="287"/>
      <c r="O28" s="288" t="e">
        <f t="shared" ref="O28" si="48">N28/E28</f>
        <v>#DIV/0!</v>
      </c>
      <c r="P28" s="289"/>
      <c r="Q28" s="290" t="e">
        <f t="shared" ref="Q28" si="49">P28/E28</f>
        <v>#DIV/0!</v>
      </c>
      <c r="R28" s="287"/>
      <c r="S28" s="288" t="e">
        <f t="shared" ref="S28" si="50">R28/E28</f>
        <v>#DIV/0!</v>
      </c>
      <c r="T28" s="287"/>
      <c r="U28" s="288" t="e">
        <f t="shared" ref="U28" si="51">T28/E28</f>
        <v>#DIV/0!</v>
      </c>
      <c r="V28" s="289"/>
      <c r="W28" s="290" t="e">
        <f t="shared" ref="W28" si="52">V28/E28</f>
        <v>#DIV/0!</v>
      </c>
      <c r="X28" s="287"/>
      <c r="Y28" s="313" t="e">
        <f t="shared" ref="Y28" si="53">X28/E28</f>
        <v>#DIV/0!</v>
      </c>
      <c r="Z28" s="289"/>
      <c r="AA28" s="363" t="e">
        <f t="shared" ref="AA28" si="54">Z28/E28</f>
        <v>#DIV/0!</v>
      </c>
      <c r="AB28" s="287"/>
      <c r="AC28" s="313" t="e">
        <f t="shared" ref="AC28" si="55">AB28/E28</f>
        <v>#DIV/0!</v>
      </c>
      <c r="AD28" s="289"/>
      <c r="AE28" s="363" t="e">
        <f t="shared" ref="AE28" si="56">AD28/E28</f>
        <v>#DIV/0!</v>
      </c>
      <c r="AF28" s="287"/>
      <c r="AG28" s="313" t="e">
        <f t="shared" ref="AG28" si="57">AF28/E28</f>
        <v>#DIV/0!</v>
      </c>
      <c r="AH28" s="289"/>
      <c r="AI28" s="363" t="e">
        <f t="shared" ref="AI28" si="58">AH28/E28</f>
        <v>#DIV/0!</v>
      </c>
      <c r="AJ28" s="323" t="e">
        <f t="shared" ref="AJ28" si="59">K28+M28+O28+Q28+S28+U28+W28+Y28+AA28+AC28+G28+I28+AI28+AE28+AG28</f>
        <v>#DIV/0!</v>
      </c>
      <c r="AK28" s="81">
        <v>0</v>
      </c>
      <c r="AL28" s="81"/>
      <c r="AM28" s="84">
        <f t="shared" ref="AM28" si="60">E28-AK28</f>
        <v>0</v>
      </c>
      <c r="AN28" s="85"/>
      <c r="AO28" s="84">
        <f t="shared" ref="AO28" si="61">D28-AK28-AM28</f>
        <v>0</v>
      </c>
      <c r="AP28" s="81"/>
      <c r="AQ28" s="84">
        <f t="shared" ref="AQ28" si="62">D28-AK28-AM28-AO28</f>
        <v>0</v>
      </c>
      <c r="AR28" s="85"/>
      <c r="AS28" s="84">
        <f t="shared" ref="AS28" si="63">D28-AK28-AM28-AO28-AQ28</f>
        <v>0</v>
      </c>
      <c r="AT28" s="81"/>
      <c r="AU28" s="84">
        <f t="shared" ref="AU28" si="64">D28-AK28-AM28-AO28-AQ28-AS28</f>
        <v>0</v>
      </c>
      <c r="AV28" s="85"/>
      <c r="AW28" s="84">
        <f t="shared" ref="AW28" si="65">D28-AK28-AM28-AO28-AQ28-AS28-AU28</f>
        <v>0</v>
      </c>
      <c r="AX28" s="85"/>
      <c r="AY28" s="84">
        <f t="shared" ref="AY28" si="66">D28-AK28-AM28-AO28-AQ28-AS28-AU28-AW28</f>
        <v>0</v>
      </c>
      <c r="AZ28" s="85"/>
      <c r="BA28" s="84">
        <f t="shared" ref="BA28" si="67">D28-AK28-AM28-AO28-AQ28-AS28-AU28-AW28-AY28</f>
        <v>0</v>
      </c>
      <c r="BB28" s="85"/>
      <c r="BC28" s="84">
        <f t="shared" ref="BC28" si="68">D28-AK28-AM28-AO28-AQ28-AS28-AU28-AW28-AY28-BA28</f>
        <v>0</v>
      </c>
      <c r="BD28" s="85"/>
      <c r="BE28" s="84">
        <f t="shared" ref="BE28" si="69">D28-AK28-AM28-AO28-AQ28-AS28-AU28-AW28-AY28-BA28-BC28</f>
        <v>0</v>
      </c>
      <c r="BF28" s="85"/>
      <c r="BG28" s="84">
        <f t="shared" ref="BG28" si="70">D28-AK28-AM28-AO28-AQ28-AS28-AU28-AW28-AY28-BA28-BC28-BE28</f>
        <v>0</v>
      </c>
      <c r="BH28" s="81"/>
      <c r="BI28" s="214">
        <f t="shared" ref="BI28" si="71">D28-AK28-AM28-AO28-AQ28-AS28-AU28-AW28-AY28-BA28-BC28-BE28-BG28</f>
        <v>0</v>
      </c>
    </row>
    <row r="29" spans="1:64" x14ac:dyDescent="0.35">
      <c r="A29" s="149" t="s">
        <v>177</v>
      </c>
      <c r="B29" s="180"/>
      <c r="C29" s="83">
        <v>149852</v>
      </c>
      <c r="D29" s="142"/>
      <c r="E29" s="304">
        <v>0</v>
      </c>
      <c r="F29" s="289"/>
      <c r="G29" s="363" t="e">
        <f t="shared" ref="G29:G30" si="72">F29/E29</f>
        <v>#DIV/0!</v>
      </c>
      <c r="H29" s="287"/>
      <c r="I29" s="313" t="e">
        <f t="shared" ref="I29:I30" si="73">H29/E29</f>
        <v>#DIV/0!</v>
      </c>
      <c r="J29" s="287"/>
      <c r="K29" s="288" t="e">
        <f t="shared" ref="K29:K30" si="74">J29/E29</f>
        <v>#DIV/0!</v>
      </c>
      <c r="L29" s="289"/>
      <c r="M29" s="290" t="e">
        <f t="shared" ref="M29:M30" si="75">L29/E29</f>
        <v>#DIV/0!</v>
      </c>
      <c r="N29" s="287"/>
      <c r="O29" s="288" t="e">
        <f t="shared" ref="O29:O30" si="76">N29/E29</f>
        <v>#DIV/0!</v>
      </c>
      <c r="P29" s="289"/>
      <c r="Q29" s="290" t="e">
        <f t="shared" ref="Q29:Q30" si="77">P29/E29</f>
        <v>#DIV/0!</v>
      </c>
      <c r="R29" s="287"/>
      <c r="S29" s="288" t="e">
        <f t="shared" ref="S29:S30" si="78">R29/E29</f>
        <v>#DIV/0!</v>
      </c>
      <c r="T29" s="287"/>
      <c r="U29" s="288" t="e">
        <f t="shared" ref="U29:U30" si="79">T29/E29</f>
        <v>#DIV/0!</v>
      </c>
      <c r="V29" s="289"/>
      <c r="W29" s="290" t="e">
        <f t="shared" ref="W29:W30" si="80">V29/E29</f>
        <v>#DIV/0!</v>
      </c>
      <c r="X29" s="287"/>
      <c r="Y29" s="313" t="e">
        <f t="shared" ref="Y29:Y30" si="81">X29/E29</f>
        <v>#DIV/0!</v>
      </c>
      <c r="Z29" s="289"/>
      <c r="AA29" s="363" t="e">
        <f t="shared" ref="AA29:AA30" si="82">Z29/E29</f>
        <v>#DIV/0!</v>
      </c>
      <c r="AB29" s="287"/>
      <c r="AC29" s="313" t="e">
        <f t="shared" ref="AC29:AC30" si="83">AB29/E29</f>
        <v>#DIV/0!</v>
      </c>
      <c r="AD29" s="289"/>
      <c r="AE29" s="363" t="e">
        <f t="shared" ref="AE29:AE30" si="84">AD29/E29</f>
        <v>#DIV/0!</v>
      </c>
      <c r="AF29" s="287"/>
      <c r="AG29" s="313" t="e">
        <f t="shared" ref="AG29:AG30" si="85">AF29/E29</f>
        <v>#DIV/0!</v>
      </c>
      <c r="AH29" s="289">
        <v>16934</v>
      </c>
      <c r="AI29" s="363" t="e">
        <f t="shared" ref="AI29:AI30" si="86">AH29/E29</f>
        <v>#DIV/0!</v>
      </c>
      <c r="AJ29" s="323" t="e">
        <f t="shared" ref="AJ29:AJ30" si="87">K29+M29+O29+Q29+S29+U29+W29+Y29+AA29+AC29+G29+I29+AI29+AE29+AG29</f>
        <v>#DIV/0!</v>
      </c>
      <c r="AK29" s="81">
        <v>0</v>
      </c>
      <c r="AL29" s="81"/>
      <c r="AM29" s="84">
        <v>0</v>
      </c>
      <c r="AN29" s="85"/>
      <c r="AO29" s="84">
        <v>0</v>
      </c>
      <c r="AP29" s="81"/>
      <c r="AQ29" s="84">
        <v>0</v>
      </c>
      <c r="AR29" s="85"/>
      <c r="AS29" s="84">
        <v>0</v>
      </c>
      <c r="AT29" s="81"/>
      <c r="AU29" s="84">
        <v>0</v>
      </c>
      <c r="AV29" s="85"/>
      <c r="AW29" s="84">
        <v>0</v>
      </c>
      <c r="AX29" s="85"/>
      <c r="AY29" s="84">
        <v>0</v>
      </c>
      <c r="AZ29" s="85"/>
      <c r="BA29" s="84">
        <v>0</v>
      </c>
      <c r="BB29" s="85"/>
      <c r="BC29" s="84">
        <v>0</v>
      </c>
      <c r="BD29" s="85"/>
      <c r="BE29" s="84">
        <v>0</v>
      </c>
      <c r="BF29" s="85"/>
      <c r="BG29" s="84">
        <v>0</v>
      </c>
      <c r="BH29" s="81"/>
      <c r="BI29" s="214">
        <f t="shared" ref="BI29:BI30" si="88">D29-AK29-AM29-AO29-AQ29-AS29-AU29-AW29-AY29-BA29-BC29-BE29-BG29</f>
        <v>0</v>
      </c>
    </row>
    <row r="30" spans="1:64" x14ac:dyDescent="0.35">
      <c r="A30" s="149" t="s">
        <v>364</v>
      </c>
      <c r="B30" s="180"/>
      <c r="C30" s="83">
        <v>125406.53</v>
      </c>
      <c r="D30" s="142">
        <v>0</v>
      </c>
      <c r="E30" s="304">
        <v>0</v>
      </c>
      <c r="F30" s="289">
        <v>0</v>
      </c>
      <c r="G30" s="363" t="e">
        <f t="shared" si="72"/>
        <v>#DIV/0!</v>
      </c>
      <c r="H30" s="287">
        <v>0</v>
      </c>
      <c r="I30" s="313" t="e">
        <f t="shared" si="73"/>
        <v>#DIV/0!</v>
      </c>
      <c r="J30" s="287">
        <v>0</v>
      </c>
      <c r="K30" s="288" t="e">
        <f t="shared" si="74"/>
        <v>#DIV/0!</v>
      </c>
      <c r="L30" s="289">
        <v>0</v>
      </c>
      <c r="M30" s="290" t="e">
        <f t="shared" si="75"/>
        <v>#DIV/0!</v>
      </c>
      <c r="N30" s="287">
        <v>0</v>
      </c>
      <c r="O30" s="288" t="e">
        <f t="shared" si="76"/>
        <v>#DIV/0!</v>
      </c>
      <c r="P30" s="289">
        <v>0</v>
      </c>
      <c r="Q30" s="290" t="e">
        <f t="shared" si="77"/>
        <v>#DIV/0!</v>
      </c>
      <c r="R30" s="287">
        <v>0</v>
      </c>
      <c r="S30" s="288" t="e">
        <f t="shared" si="78"/>
        <v>#DIV/0!</v>
      </c>
      <c r="T30" s="287">
        <v>0</v>
      </c>
      <c r="U30" s="288" t="e">
        <f t="shared" si="79"/>
        <v>#DIV/0!</v>
      </c>
      <c r="V30" s="289">
        <v>0</v>
      </c>
      <c r="W30" s="290" t="e">
        <f t="shared" si="80"/>
        <v>#DIV/0!</v>
      </c>
      <c r="X30" s="287"/>
      <c r="Y30" s="313" t="e">
        <f t="shared" si="81"/>
        <v>#DIV/0!</v>
      </c>
      <c r="Z30" s="289">
        <v>0</v>
      </c>
      <c r="AA30" s="363" t="e">
        <f t="shared" si="82"/>
        <v>#DIV/0!</v>
      </c>
      <c r="AB30" s="287"/>
      <c r="AC30" s="313" t="e">
        <f t="shared" si="83"/>
        <v>#DIV/0!</v>
      </c>
      <c r="AD30" s="289"/>
      <c r="AE30" s="363" t="e">
        <f t="shared" si="84"/>
        <v>#DIV/0!</v>
      </c>
      <c r="AF30" s="287"/>
      <c r="AG30" s="313" t="e">
        <f t="shared" si="85"/>
        <v>#DIV/0!</v>
      </c>
      <c r="AH30" s="289">
        <v>0</v>
      </c>
      <c r="AI30" s="363" t="e">
        <f t="shared" si="86"/>
        <v>#DIV/0!</v>
      </c>
      <c r="AJ30" s="323" t="e">
        <f t="shared" si="87"/>
        <v>#DIV/0!</v>
      </c>
      <c r="AK30" s="81">
        <v>0</v>
      </c>
      <c r="AL30" s="81"/>
      <c r="AM30" s="84">
        <v>0</v>
      </c>
      <c r="AN30" s="85"/>
      <c r="AO30" s="84">
        <f t="shared" si="28"/>
        <v>0</v>
      </c>
      <c r="AP30" s="81"/>
      <c r="AQ30" s="84">
        <f t="shared" si="29"/>
        <v>0</v>
      </c>
      <c r="AR30" s="85"/>
      <c r="AS30" s="84">
        <f t="shared" ref="AS30" si="89">D30-AK30-AM30-AO30-AQ30</f>
        <v>0</v>
      </c>
      <c r="AT30" s="81"/>
      <c r="AU30" s="84">
        <f t="shared" ref="AU30" si="90">D30-AK30-AM30-AO30-AQ30-AS30</f>
        <v>0</v>
      </c>
      <c r="AV30" s="85"/>
      <c r="AW30" s="84">
        <f t="shared" ref="AW30" si="91">D30-AK30-AM30-AO30-AQ30-AS30-AU30</f>
        <v>0</v>
      </c>
      <c r="AX30" s="85"/>
      <c r="AY30" s="84">
        <f t="shared" ref="AY30" si="92">D30-AK30-AM30-AO30-AQ30-AS30-AU30-AW30</f>
        <v>0</v>
      </c>
      <c r="AZ30" s="85"/>
      <c r="BA30" s="84">
        <f t="shared" ref="BA30" si="93">D30-AK30-AM30-AO30-AQ30-AS30-AU30-AW30-AY30</f>
        <v>0</v>
      </c>
      <c r="BB30" s="85"/>
      <c r="BC30" s="84">
        <f t="shared" ref="BC30" si="94">D30-AK30-AM30-AO30-AQ30-AS30-AU30-AW30-AY30-BA30</f>
        <v>0</v>
      </c>
      <c r="BD30" s="85"/>
      <c r="BE30" s="84">
        <f t="shared" ref="BE30" si="95">D30-AK30-AM30-AO30-AQ30-AS30-AU30-AW30-AY30-BA30-BC30</f>
        <v>0</v>
      </c>
      <c r="BF30" s="85"/>
      <c r="BG30" s="84">
        <f t="shared" ref="BG30" si="96">D30-AK30-AM30-AO30-AQ30-AS30-AU30-AW30-AY30-BA30-BC30-BE30</f>
        <v>0</v>
      </c>
      <c r="BH30" s="81"/>
      <c r="BI30" s="214">
        <f t="shared" si="88"/>
        <v>0</v>
      </c>
    </row>
    <row r="31" spans="1:64" x14ac:dyDescent="0.35">
      <c r="A31" s="149" t="s">
        <v>780</v>
      </c>
      <c r="B31" s="180"/>
      <c r="C31" s="83">
        <v>156042.4</v>
      </c>
      <c r="D31" s="142">
        <f>C31</f>
        <v>156042.4</v>
      </c>
      <c r="E31" s="304"/>
      <c r="F31" s="289"/>
      <c r="G31" s="363" t="e">
        <f t="shared" si="16"/>
        <v>#DIV/0!</v>
      </c>
      <c r="H31" s="287"/>
      <c r="I31" s="313" t="e">
        <f t="shared" si="17"/>
        <v>#DIV/0!</v>
      </c>
      <c r="J31" s="287"/>
      <c r="K31" s="288" t="e">
        <f t="shared" si="18"/>
        <v>#DIV/0!</v>
      </c>
      <c r="L31" s="289"/>
      <c r="M31" s="290" t="e">
        <f t="shared" si="19"/>
        <v>#DIV/0!</v>
      </c>
      <c r="N31" s="287"/>
      <c r="O31" s="288" t="e">
        <f t="shared" si="20"/>
        <v>#DIV/0!</v>
      </c>
      <c r="P31" s="289"/>
      <c r="Q31" s="290" t="e">
        <f t="shared" si="21"/>
        <v>#DIV/0!</v>
      </c>
      <c r="R31" s="287"/>
      <c r="S31" s="288" t="e">
        <f t="shared" si="43"/>
        <v>#DIV/0!</v>
      </c>
      <c r="T31" s="287"/>
      <c r="U31" s="288" t="e">
        <f t="shared" si="22"/>
        <v>#DIV/0!</v>
      </c>
      <c r="V31" s="289"/>
      <c r="W31" s="290" t="e">
        <f t="shared" si="23"/>
        <v>#DIV/0!</v>
      </c>
      <c r="X31" s="287"/>
      <c r="Y31" s="313" t="e">
        <f t="shared" si="24"/>
        <v>#DIV/0!</v>
      </c>
      <c r="Z31" s="289"/>
      <c r="AA31" s="363" t="e">
        <f t="shared" si="25"/>
        <v>#DIV/0!</v>
      </c>
      <c r="AB31" s="287"/>
      <c r="AC31" s="313" t="e">
        <f t="shared" si="26"/>
        <v>#DIV/0!</v>
      </c>
      <c r="AD31" s="289"/>
      <c r="AE31" s="363" t="e">
        <f t="shared" si="39"/>
        <v>#DIV/0!</v>
      </c>
      <c r="AF31" s="287"/>
      <c r="AG31" s="313" t="e">
        <f t="shared" si="40"/>
        <v>#DIV/0!</v>
      </c>
      <c r="AH31" s="289"/>
      <c r="AI31" s="363" t="e">
        <f t="shared" si="27"/>
        <v>#DIV/0!</v>
      </c>
      <c r="AJ31" s="323" t="e">
        <f t="shared" si="41"/>
        <v>#DIV/0!</v>
      </c>
      <c r="AK31" s="81">
        <v>0</v>
      </c>
      <c r="AL31" s="81"/>
      <c r="AM31" s="84">
        <f t="shared" si="42"/>
        <v>0</v>
      </c>
      <c r="AN31" s="85"/>
      <c r="AO31" s="84">
        <v>0</v>
      </c>
      <c r="AP31" s="81"/>
      <c r="AQ31" s="84">
        <v>0</v>
      </c>
      <c r="AR31" s="85"/>
      <c r="AS31" s="84">
        <v>0</v>
      </c>
      <c r="AT31" s="81"/>
      <c r="AU31" s="84">
        <v>0</v>
      </c>
      <c r="AV31" s="85"/>
      <c r="AW31" s="84">
        <v>0</v>
      </c>
      <c r="AX31" s="85"/>
      <c r="AY31" s="84">
        <v>0</v>
      </c>
      <c r="AZ31" s="85"/>
      <c r="BA31" s="84">
        <v>0</v>
      </c>
      <c r="BB31" s="85"/>
      <c r="BC31" s="84">
        <v>0</v>
      </c>
      <c r="BD31" s="85"/>
      <c r="BE31" s="84">
        <v>0</v>
      </c>
      <c r="BF31" s="85"/>
      <c r="BG31" s="84">
        <v>0</v>
      </c>
      <c r="BH31" s="81"/>
      <c r="BI31" s="214">
        <f t="shared" si="38"/>
        <v>156042.4</v>
      </c>
    </row>
    <row r="32" spans="1:64" x14ac:dyDescent="0.35">
      <c r="A32" s="149" t="s">
        <v>764</v>
      </c>
      <c r="B32" s="180"/>
      <c r="C32" s="83">
        <v>317552.45</v>
      </c>
      <c r="D32" s="142">
        <f>+C32</f>
        <v>317552.45</v>
      </c>
      <c r="E32" s="304"/>
      <c r="F32" s="289"/>
      <c r="G32" s="363" t="e">
        <f t="shared" si="16"/>
        <v>#DIV/0!</v>
      </c>
      <c r="H32" s="287"/>
      <c r="I32" s="313" t="e">
        <f t="shared" si="17"/>
        <v>#DIV/0!</v>
      </c>
      <c r="J32" s="287"/>
      <c r="K32" s="288" t="e">
        <f t="shared" si="18"/>
        <v>#DIV/0!</v>
      </c>
      <c r="L32" s="289"/>
      <c r="M32" s="290" t="e">
        <f t="shared" si="19"/>
        <v>#DIV/0!</v>
      </c>
      <c r="N32" s="287"/>
      <c r="O32" s="288" t="e">
        <f t="shared" si="20"/>
        <v>#DIV/0!</v>
      </c>
      <c r="P32" s="289"/>
      <c r="Q32" s="290" t="e">
        <f t="shared" si="21"/>
        <v>#DIV/0!</v>
      </c>
      <c r="R32" s="287"/>
      <c r="S32" s="288" t="e">
        <f t="shared" si="43"/>
        <v>#DIV/0!</v>
      </c>
      <c r="T32" s="287"/>
      <c r="U32" s="288" t="e">
        <f t="shared" si="22"/>
        <v>#DIV/0!</v>
      </c>
      <c r="V32" s="289"/>
      <c r="W32" s="290" t="e">
        <f t="shared" si="23"/>
        <v>#DIV/0!</v>
      </c>
      <c r="X32" s="287"/>
      <c r="Y32" s="313" t="e">
        <f t="shared" si="24"/>
        <v>#DIV/0!</v>
      </c>
      <c r="Z32" s="289"/>
      <c r="AA32" s="363" t="e">
        <f t="shared" si="25"/>
        <v>#DIV/0!</v>
      </c>
      <c r="AB32" s="287"/>
      <c r="AC32" s="313" t="e">
        <f t="shared" si="26"/>
        <v>#DIV/0!</v>
      </c>
      <c r="AD32" s="289"/>
      <c r="AE32" s="363" t="e">
        <f t="shared" si="39"/>
        <v>#DIV/0!</v>
      </c>
      <c r="AF32" s="287"/>
      <c r="AG32" s="313" t="e">
        <f t="shared" si="40"/>
        <v>#DIV/0!</v>
      </c>
      <c r="AH32" s="289"/>
      <c r="AI32" s="363" t="e">
        <f t="shared" si="27"/>
        <v>#DIV/0!</v>
      </c>
      <c r="AJ32" s="323" t="e">
        <f t="shared" si="41"/>
        <v>#DIV/0!</v>
      </c>
      <c r="AK32" s="81">
        <v>0</v>
      </c>
      <c r="AL32" s="81"/>
      <c r="AM32" s="84">
        <f t="shared" si="42"/>
        <v>0</v>
      </c>
      <c r="AN32" s="85"/>
      <c r="AO32" s="84">
        <v>0</v>
      </c>
      <c r="AP32" s="81"/>
      <c r="AQ32" s="84">
        <v>0</v>
      </c>
      <c r="AR32" s="85"/>
      <c r="AS32" s="84">
        <v>0</v>
      </c>
      <c r="AT32" s="81"/>
      <c r="AU32" s="84">
        <v>0</v>
      </c>
      <c r="AV32" s="85"/>
      <c r="AW32" s="84">
        <v>0</v>
      </c>
      <c r="AX32" s="85"/>
      <c r="AY32" s="84">
        <v>0</v>
      </c>
      <c r="AZ32" s="85"/>
      <c r="BA32" s="84">
        <v>0</v>
      </c>
      <c r="BB32" s="85"/>
      <c r="BC32" s="84">
        <v>0</v>
      </c>
      <c r="BD32" s="85"/>
      <c r="BE32" s="84">
        <v>0</v>
      </c>
      <c r="BF32" s="85"/>
      <c r="BG32" s="84">
        <v>0</v>
      </c>
      <c r="BH32" s="81"/>
      <c r="BI32" s="214">
        <f t="shared" si="38"/>
        <v>317552.45</v>
      </c>
      <c r="BK32" s="69">
        <v>50000</v>
      </c>
      <c r="BL32" s="69">
        <v>60000</v>
      </c>
    </row>
    <row r="33" spans="1:64" x14ac:dyDescent="0.35">
      <c r="A33" s="149" t="s">
        <v>714</v>
      </c>
      <c r="B33" s="180"/>
      <c r="C33" s="83">
        <f>D33</f>
        <v>56920.68</v>
      </c>
      <c r="D33" s="107">
        <v>56920.68</v>
      </c>
      <c r="E33" s="304">
        <f>D33</f>
        <v>56920.68</v>
      </c>
      <c r="F33" s="289">
        <v>2535</v>
      </c>
      <c r="G33" s="363">
        <f t="shared" si="16"/>
        <v>4.453565909613167E-2</v>
      </c>
      <c r="H33" s="287"/>
      <c r="I33" s="313">
        <f t="shared" si="17"/>
        <v>0</v>
      </c>
      <c r="J33" s="287">
        <v>10006.89</v>
      </c>
      <c r="K33" s="288">
        <f t="shared" si="18"/>
        <v>0.17580411899506471</v>
      </c>
      <c r="L33" s="289">
        <v>7786.73</v>
      </c>
      <c r="M33" s="290">
        <f t="shared" si="19"/>
        <v>0.13679966578052125</v>
      </c>
      <c r="N33" s="287">
        <v>4709.1099999999997</v>
      </c>
      <c r="O33" s="288">
        <f t="shared" si="20"/>
        <v>8.2731091757863751E-2</v>
      </c>
      <c r="P33" s="289"/>
      <c r="Q33" s="290">
        <f t="shared" si="21"/>
        <v>0</v>
      </c>
      <c r="R33" s="287">
        <v>2724.14</v>
      </c>
      <c r="S33" s="288">
        <f t="shared" si="43"/>
        <v>4.7858528745615823E-2</v>
      </c>
      <c r="T33" s="287">
        <f>4392.89+2020.93</f>
        <v>6413.8200000000006</v>
      </c>
      <c r="U33" s="288">
        <f t="shared" si="22"/>
        <v>0.11267996095619379</v>
      </c>
      <c r="V33" s="289">
        <f>8829.34+476.4</f>
        <v>9305.74</v>
      </c>
      <c r="W33" s="290">
        <f t="shared" si="23"/>
        <v>0.1634861003066021</v>
      </c>
      <c r="X33" s="287"/>
      <c r="Y33" s="313">
        <f t="shared" si="24"/>
        <v>0</v>
      </c>
      <c r="Z33" s="289"/>
      <c r="AA33" s="363">
        <f t="shared" si="25"/>
        <v>0</v>
      </c>
      <c r="AB33" s="287"/>
      <c r="AC33" s="313">
        <f t="shared" si="26"/>
        <v>0</v>
      </c>
      <c r="AD33" s="289"/>
      <c r="AE33" s="363">
        <f t="shared" si="39"/>
        <v>0</v>
      </c>
      <c r="AF33" s="287"/>
      <c r="AG33" s="313">
        <f t="shared" si="40"/>
        <v>0</v>
      </c>
      <c r="AH33" s="289">
        <v>13619.04</v>
      </c>
      <c r="AI33" s="363">
        <f t="shared" si="27"/>
        <v>0.23926348033790182</v>
      </c>
      <c r="AJ33" s="323">
        <f t="shared" si="41"/>
        <v>1.003158605975895</v>
      </c>
      <c r="AK33" s="81">
        <v>0</v>
      </c>
      <c r="AL33" s="81"/>
      <c r="AM33" s="84"/>
      <c r="AN33" s="85"/>
      <c r="AO33" s="84"/>
      <c r="AP33" s="81"/>
      <c r="AQ33" s="84">
        <v>0</v>
      </c>
      <c r="AR33" s="85"/>
      <c r="AS33" s="230">
        <f>AT33</f>
        <v>4846.74</v>
      </c>
      <c r="AT33" s="195">
        <v>4846.74</v>
      </c>
      <c r="AU33" s="230">
        <f>AV33</f>
        <v>21485.95</v>
      </c>
      <c r="AV33" s="231">
        <v>21485.95</v>
      </c>
      <c r="AW33" s="230">
        <f>AX33</f>
        <v>20759.91</v>
      </c>
      <c r="AX33" s="231">
        <v>20759.91</v>
      </c>
      <c r="AY33" s="230">
        <f>AZ33</f>
        <v>7546.34</v>
      </c>
      <c r="AZ33" s="231">
        <v>7546.34</v>
      </c>
      <c r="BA33" s="84">
        <v>0</v>
      </c>
      <c r="BB33" s="85"/>
      <c r="BC33" s="230">
        <f>BD33</f>
        <v>1396.77</v>
      </c>
      <c r="BD33" s="231">
        <v>1396.77</v>
      </c>
      <c r="BE33" s="230">
        <f t="shared" si="36"/>
        <v>884.97000000000162</v>
      </c>
      <c r="BF33" s="231">
        <v>884.97</v>
      </c>
      <c r="BG33" s="84">
        <f t="shared" si="37"/>
        <v>0</v>
      </c>
      <c r="BH33" s="81"/>
      <c r="BI33" s="214">
        <f>D33-AK33-AM33-AO33-AQ33-AS33-AU33-AW33-AY33-BA33-BC33-BE33-BG33</f>
        <v>0</v>
      </c>
    </row>
    <row r="34" spans="1:64" x14ac:dyDescent="0.35">
      <c r="A34" s="149" t="s">
        <v>708</v>
      </c>
      <c r="B34" s="180"/>
      <c r="C34" s="83">
        <f>98756.29+10987.85</f>
        <v>109744.14</v>
      </c>
      <c r="D34" s="107">
        <f>98756.29+10987.85-533.7-449.14</f>
        <v>108761.3</v>
      </c>
      <c r="E34" s="304">
        <f>D34</f>
        <v>108761.3</v>
      </c>
      <c r="F34" s="289">
        <v>2535</v>
      </c>
      <c r="G34" s="363">
        <f t="shared" si="16"/>
        <v>2.3307922946857015E-2</v>
      </c>
      <c r="H34" s="287"/>
      <c r="I34" s="313">
        <f t="shared" si="17"/>
        <v>0</v>
      </c>
      <c r="J34" s="287">
        <v>20331.23</v>
      </c>
      <c r="K34" s="288">
        <f t="shared" si="18"/>
        <v>0.18693441509066183</v>
      </c>
      <c r="L34" s="289">
        <v>9322.33</v>
      </c>
      <c r="M34" s="290">
        <f t="shared" si="19"/>
        <v>8.5713668372849536E-2</v>
      </c>
      <c r="N34" s="287">
        <f>11607.01+2210.4</f>
        <v>13817.41</v>
      </c>
      <c r="O34" s="288">
        <f t="shared" si="20"/>
        <v>0.12704344284226099</v>
      </c>
      <c r="P34" s="289">
        <v>0</v>
      </c>
      <c r="Q34" s="290">
        <f t="shared" si="21"/>
        <v>0</v>
      </c>
      <c r="R34" s="287">
        <v>9796.9599999999991</v>
      </c>
      <c r="S34" s="288">
        <f t="shared" si="43"/>
        <v>9.0077628715361055E-2</v>
      </c>
      <c r="T34" s="287">
        <f>8417.97+3735.58</f>
        <v>12153.55</v>
      </c>
      <c r="U34" s="288">
        <f t="shared" si="22"/>
        <v>0.11174517038689312</v>
      </c>
      <c r="V34" s="289">
        <f>19030.63+1553.52</f>
        <v>20584.150000000001</v>
      </c>
      <c r="W34" s="290">
        <f t="shared" si="23"/>
        <v>0.18925987460613289</v>
      </c>
      <c r="X34" s="287"/>
      <c r="Y34" s="313">
        <f t="shared" si="24"/>
        <v>0</v>
      </c>
      <c r="Z34" s="289">
        <v>10215.66</v>
      </c>
      <c r="AA34" s="363">
        <f t="shared" si="25"/>
        <v>9.3927343641534253E-2</v>
      </c>
      <c r="AB34" s="287">
        <v>0</v>
      </c>
      <c r="AC34" s="313">
        <f t="shared" si="26"/>
        <v>0</v>
      </c>
      <c r="AD34" s="289">
        <v>0</v>
      </c>
      <c r="AE34" s="363">
        <f t="shared" si="39"/>
        <v>0</v>
      </c>
      <c r="AF34" s="287">
        <v>0</v>
      </c>
      <c r="AG34" s="313">
        <f t="shared" si="40"/>
        <v>0</v>
      </c>
      <c r="AH34" s="289">
        <v>10987.85</v>
      </c>
      <c r="AI34" s="363">
        <f t="shared" si="27"/>
        <v>0.10102720361010764</v>
      </c>
      <c r="AJ34" s="323">
        <f t="shared" si="41"/>
        <v>1.0090366702126583</v>
      </c>
      <c r="AK34" s="81">
        <v>0</v>
      </c>
      <c r="AL34" s="81"/>
      <c r="AM34" s="84"/>
      <c r="AN34" s="85"/>
      <c r="AO34" s="84"/>
      <c r="AP34" s="81"/>
      <c r="AQ34" s="84"/>
      <c r="AR34" s="85"/>
      <c r="AS34" s="84">
        <v>0</v>
      </c>
      <c r="AT34" s="81"/>
      <c r="AU34" s="84"/>
      <c r="AV34" s="85"/>
      <c r="AW34" s="84"/>
      <c r="AX34" s="85"/>
      <c r="AY34" s="230">
        <f>AZ34</f>
        <v>12786.05</v>
      </c>
      <c r="AZ34" s="231">
        <v>12786.05</v>
      </c>
      <c r="BA34" s="230">
        <f>BB34</f>
        <v>42940.49</v>
      </c>
      <c r="BB34" s="231">
        <v>42940.49</v>
      </c>
      <c r="BC34" s="230">
        <f>BD34</f>
        <v>44541.650000000009</v>
      </c>
      <c r="BD34" s="231">
        <f>34668.62+10406.73-533.7</f>
        <v>44541.650000000009</v>
      </c>
      <c r="BE34" s="84">
        <v>0</v>
      </c>
      <c r="BF34" s="85"/>
      <c r="BG34" s="230">
        <f>BH34</f>
        <v>8493.1100000000024</v>
      </c>
      <c r="BH34" s="195">
        <f>3285.88+5075.25+581.12-449.14</f>
        <v>8493.1100000000024</v>
      </c>
      <c r="BI34" s="214">
        <f>D34-AK34-AM34-AO34-AQ34-AS34-AU34-AW34-AY34-BA34-BC34-BE34-BG34</f>
        <v>0</v>
      </c>
    </row>
    <row r="35" spans="1:64" x14ac:dyDescent="0.35">
      <c r="A35" s="149" t="s">
        <v>702</v>
      </c>
      <c r="B35" s="180"/>
      <c r="C35" s="83">
        <v>312795.53999999998</v>
      </c>
      <c r="D35" s="107">
        <f>312795.54-2318.61</f>
        <v>310476.93</v>
      </c>
      <c r="E35" s="304">
        <f>D35</f>
        <v>310476.93</v>
      </c>
      <c r="F35" s="289">
        <v>2535</v>
      </c>
      <c r="G35" s="363">
        <f t="shared" si="16"/>
        <v>8.1648578527235508E-3</v>
      </c>
      <c r="H35" s="287">
        <v>0</v>
      </c>
      <c r="I35" s="313">
        <f t="shared" si="17"/>
        <v>0</v>
      </c>
      <c r="J35" s="287">
        <v>52300.84</v>
      </c>
      <c r="K35" s="288">
        <f t="shared" si="18"/>
        <v>0.16845322452782563</v>
      </c>
      <c r="L35" s="289">
        <f>40118.84-7234.25</f>
        <v>32884.589999999997</v>
      </c>
      <c r="M35" s="290">
        <f t="shared" si="19"/>
        <v>0.10591637195072753</v>
      </c>
      <c r="N35" s="287">
        <v>63483.66</v>
      </c>
      <c r="O35" s="288">
        <f t="shared" si="20"/>
        <v>0.20447142401208362</v>
      </c>
      <c r="P35" s="289">
        <f>66327.83+1243.99</f>
        <v>67571.820000000007</v>
      </c>
      <c r="Q35" s="290">
        <f t="shared" si="21"/>
        <v>0.21763877915180369</v>
      </c>
      <c r="R35" s="287">
        <v>8977.41</v>
      </c>
      <c r="S35" s="288">
        <f t="shared" si="43"/>
        <v>2.8914901986437445E-2</v>
      </c>
      <c r="T35" s="287">
        <v>24897.89</v>
      </c>
      <c r="U35" s="288">
        <f t="shared" si="22"/>
        <v>8.0192399480373627E-2</v>
      </c>
      <c r="V35" s="289">
        <v>0</v>
      </c>
      <c r="W35" s="290">
        <f t="shared" si="23"/>
        <v>0</v>
      </c>
      <c r="X35" s="287">
        <v>0</v>
      </c>
      <c r="Y35" s="313">
        <f t="shared" si="24"/>
        <v>0</v>
      </c>
      <c r="Z35" s="289">
        <v>0</v>
      </c>
      <c r="AA35" s="363">
        <f t="shared" si="25"/>
        <v>0</v>
      </c>
      <c r="AB35" s="287">
        <f>1286.56+8567.4+14388.01</f>
        <v>24241.97</v>
      </c>
      <c r="AC35" s="313">
        <f t="shared" si="26"/>
        <v>7.8079778745557687E-2</v>
      </c>
      <c r="AD35" s="289"/>
      <c r="AE35" s="363">
        <f t="shared" si="39"/>
        <v>0</v>
      </c>
      <c r="AF35" s="287"/>
      <c r="AG35" s="313">
        <f t="shared" si="40"/>
        <v>0</v>
      </c>
      <c r="AH35" s="289">
        <v>35902.36</v>
      </c>
      <c r="AI35" s="363">
        <f t="shared" si="27"/>
        <v>0.1156361601488394</v>
      </c>
      <c r="AJ35" s="323">
        <f t="shared" si="41"/>
        <v>1.0074678978563723</v>
      </c>
      <c r="AK35" s="81">
        <v>0</v>
      </c>
      <c r="AL35" s="81"/>
      <c r="AM35" s="84"/>
      <c r="AN35" s="85"/>
      <c r="AO35" s="84"/>
      <c r="AP35" s="81"/>
      <c r="AQ35" s="84"/>
      <c r="AR35" s="85"/>
      <c r="AS35" s="230">
        <v>35281.72</v>
      </c>
      <c r="AT35" s="195">
        <v>35281.72</v>
      </c>
      <c r="AU35" s="230">
        <f>AV35</f>
        <v>25843.43</v>
      </c>
      <c r="AV35" s="231">
        <v>25843.43</v>
      </c>
      <c r="AW35" s="230">
        <f>AX35</f>
        <v>60672.160000000003</v>
      </c>
      <c r="AX35" s="231">
        <v>60672.160000000003</v>
      </c>
      <c r="AY35" s="230">
        <f>AZ35</f>
        <v>41840.730000000003</v>
      </c>
      <c r="AZ35" s="231">
        <v>41840.730000000003</v>
      </c>
      <c r="BA35" s="230">
        <f>BB35</f>
        <v>62508.12</v>
      </c>
      <c r="BB35" s="231">
        <v>62508.12</v>
      </c>
      <c r="BC35" s="230">
        <f>BD35</f>
        <v>69405.42</v>
      </c>
      <c r="BD35" s="231">
        <v>69405.42</v>
      </c>
      <c r="BE35" s="84">
        <v>0</v>
      </c>
      <c r="BF35" s="85"/>
      <c r="BG35" s="230">
        <f>BH35</f>
        <v>21121.86</v>
      </c>
      <c r="BH35" s="195">
        <f>1480.43+5269.2-2318.61+8675.36+11974.76-3959.28</f>
        <v>21121.86</v>
      </c>
      <c r="BI35" s="214">
        <f t="shared" si="38"/>
        <v>-6196.5100000000384</v>
      </c>
    </row>
    <row r="36" spans="1:64" x14ac:dyDescent="0.35">
      <c r="A36" s="149" t="s">
        <v>448</v>
      </c>
      <c r="B36" s="180"/>
      <c r="C36" s="83">
        <v>192000</v>
      </c>
      <c r="D36" s="142"/>
      <c r="E36" s="304"/>
      <c r="F36" s="289"/>
      <c r="G36" s="363" t="e">
        <f t="shared" si="16"/>
        <v>#DIV/0!</v>
      </c>
      <c r="H36" s="287"/>
      <c r="I36" s="313" t="e">
        <f t="shared" si="17"/>
        <v>#DIV/0!</v>
      </c>
      <c r="J36" s="287"/>
      <c r="K36" s="288" t="e">
        <f t="shared" si="18"/>
        <v>#DIV/0!</v>
      </c>
      <c r="L36" s="289"/>
      <c r="M36" s="290" t="e">
        <f t="shared" si="19"/>
        <v>#DIV/0!</v>
      </c>
      <c r="N36" s="287"/>
      <c r="O36" s="288" t="e">
        <f t="shared" si="20"/>
        <v>#DIV/0!</v>
      </c>
      <c r="P36" s="289"/>
      <c r="Q36" s="290" t="e">
        <f t="shared" si="21"/>
        <v>#DIV/0!</v>
      </c>
      <c r="R36" s="287"/>
      <c r="S36" s="288" t="e">
        <f t="shared" si="43"/>
        <v>#DIV/0!</v>
      </c>
      <c r="T36" s="287"/>
      <c r="U36" s="288" t="e">
        <f t="shared" si="22"/>
        <v>#DIV/0!</v>
      </c>
      <c r="V36" s="289"/>
      <c r="W36" s="290" t="e">
        <f t="shared" si="23"/>
        <v>#DIV/0!</v>
      </c>
      <c r="X36" s="287"/>
      <c r="Y36" s="313" t="e">
        <f t="shared" si="24"/>
        <v>#DIV/0!</v>
      </c>
      <c r="Z36" s="289"/>
      <c r="AA36" s="363" t="e">
        <f t="shared" si="25"/>
        <v>#DIV/0!</v>
      </c>
      <c r="AB36" s="287"/>
      <c r="AC36" s="313" t="e">
        <f t="shared" si="26"/>
        <v>#DIV/0!</v>
      </c>
      <c r="AD36" s="289"/>
      <c r="AE36" s="363" t="e">
        <f t="shared" si="39"/>
        <v>#DIV/0!</v>
      </c>
      <c r="AF36" s="287"/>
      <c r="AG36" s="313" t="e">
        <f t="shared" si="40"/>
        <v>#DIV/0!</v>
      </c>
      <c r="AH36" s="289">
        <f>10992.35+18707.83</f>
        <v>29700.18</v>
      </c>
      <c r="AI36" s="363">
        <f>AH35/E35</f>
        <v>0.1156361601488394</v>
      </c>
      <c r="AJ36" s="323" t="e">
        <f t="shared" si="41"/>
        <v>#DIV/0!</v>
      </c>
      <c r="AK36" s="81">
        <v>0</v>
      </c>
      <c r="AL36" s="81"/>
      <c r="AM36" s="84">
        <f t="shared" si="42"/>
        <v>0</v>
      </c>
      <c r="AN36" s="85"/>
      <c r="AO36" s="84"/>
      <c r="AP36" s="81"/>
      <c r="AQ36" s="84"/>
      <c r="AR36" s="85"/>
      <c r="AS36" s="84">
        <v>0</v>
      </c>
      <c r="AT36" s="81"/>
      <c r="AU36" s="84">
        <f t="shared" si="31"/>
        <v>0</v>
      </c>
      <c r="AV36" s="85"/>
      <c r="AW36" s="84">
        <f t="shared" si="32"/>
        <v>0</v>
      </c>
      <c r="AX36" s="85"/>
      <c r="AY36" s="84">
        <f t="shared" si="33"/>
        <v>0</v>
      </c>
      <c r="AZ36" s="85"/>
      <c r="BA36" s="84">
        <f t="shared" si="34"/>
        <v>0</v>
      </c>
      <c r="BB36" s="85"/>
      <c r="BC36" s="84">
        <f t="shared" si="35"/>
        <v>0</v>
      </c>
      <c r="BD36" s="85"/>
      <c r="BE36" s="84">
        <f t="shared" si="36"/>
        <v>0</v>
      </c>
      <c r="BF36" s="85"/>
      <c r="BG36" s="84">
        <f t="shared" si="37"/>
        <v>0</v>
      </c>
      <c r="BH36" s="81"/>
      <c r="BI36" s="214">
        <f t="shared" si="38"/>
        <v>0</v>
      </c>
    </row>
    <row r="37" spans="1:64" x14ac:dyDescent="0.35">
      <c r="A37" s="149" t="s">
        <v>700</v>
      </c>
      <c r="B37" s="180"/>
      <c r="C37" s="83">
        <f>C38</f>
        <v>129873.63</v>
      </c>
      <c r="D37" s="107">
        <f t="shared" ref="D37:E39" si="97">C37</f>
        <v>129873.63</v>
      </c>
      <c r="E37" s="304">
        <f t="shared" si="97"/>
        <v>129873.63</v>
      </c>
      <c r="F37" s="289">
        <v>1020</v>
      </c>
      <c r="G37" s="363">
        <f t="shared" si="16"/>
        <v>7.8537883325506489E-3</v>
      </c>
      <c r="H37" s="287">
        <v>3650</v>
      </c>
      <c r="I37" s="313">
        <f t="shared" si="17"/>
        <v>2.8104242562558696E-2</v>
      </c>
      <c r="J37" s="287">
        <f>J38</f>
        <v>22616.61</v>
      </c>
      <c r="K37" s="288">
        <f t="shared" si="18"/>
        <v>0.17414320366651798</v>
      </c>
      <c r="L37" s="289">
        <f>L38</f>
        <v>12861.42</v>
      </c>
      <c r="M37" s="290">
        <f t="shared" si="19"/>
        <v>9.9030265035327025E-2</v>
      </c>
      <c r="N37" s="287">
        <f>N38</f>
        <v>20577.150000000001</v>
      </c>
      <c r="O37" s="288">
        <f t="shared" si="20"/>
        <v>0.15843978488935745</v>
      </c>
      <c r="P37" s="289"/>
      <c r="Q37" s="290">
        <f t="shared" si="21"/>
        <v>0</v>
      </c>
      <c r="R37" s="287">
        <f>R38</f>
        <v>11660.99</v>
      </c>
      <c r="S37" s="288">
        <f t="shared" si="43"/>
        <v>8.9787203145088035E-2</v>
      </c>
      <c r="T37" s="287">
        <f>T38</f>
        <v>14321.380000000001</v>
      </c>
      <c r="U37" s="288">
        <f t="shared" si="22"/>
        <v>0.11027165406865121</v>
      </c>
      <c r="V37" s="289">
        <f>V38</f>
        <v>29640.240000000002</v>
      </c>
      <c r="W37" s="290">
        <f t="shared" si="23"/>
        <v>0.22822369714313831</v>
      </c>
      <c r="X37" s="287"/>
      <c r="Y37" s="313">
        <f t="shared" si="24"/>
        <v>0</v>
      </c>
      <c r="Z37" s="289">
        <f>Z38</f>
        <v>13525.84</v>
      </c>
      <c r="AA37" s="363">
        <f t="shared" si="25"/>
        <v>0.10414616115681066</v>
      </c>
      <c r="AB37" s="287"/>
      <c r="AC37" s="313">
        <f t="shared" si="26"/>
        <v>0</v>
      </c>
      <c r="AD37" s="289"/>
      <c r="AE37" s="363">
        <f t="shared" si="39"/>
        <v>0</v>
      </c>
      <c r="AF37" s="287"/>
      <c r="AG37" s="313">
        <f t="shared" si="40"/>
        <v>0</v>
      </c>
      <c r="AH37" s="289"/>
      <c r="AI37" s="363">
        <f t="shared" si="27"/>
        <v>0</v>
      </c>
      <c r="AJ37" s="323">
        <f t="shared" si="41"/>
        <v>1</v>
      </c>
      <c r="AK37" s="81">
        <v>0</v>
      </c>
      <c r="AL37" s="81"/>
      <c r="AM37" s="84">
        <v>0</v>
      </c>
      <c r="AN37" s="85"/>
      <c r="AO37" s="84">
        <v>0</v>
      </c>
      <c r="AP37" s="81"/>
      <c r="AQ37" s="84">
        <v>0</v>
      </c>
      <c r="AR37" s="85"/>
      <c r="AS37" s="84">
        <v>0</v>
      </c>
      <c r="AT37" s="81"/>
      <c r="AU37" s="84">
        <v>0</v>
      </c>
      <c r="AV37" s="85"/>
      <c r="AW37" s="84">
        <v>0</v>
      </c>
      <c r="AX37" s="85"/>
      <c r="AY37" s="84">
        <v>0</v>
      </c>
      <c r="AZ37" s="85"/>
      <c r="BA37" s="84">
        <v>0</v>
      </c>
      <c r="BB37" s="85"/>
      <c r="BC37" s="84">
        <v>0</v>
      </c>
      <c r="BD37" s="85"/>
      <c r="BE37" s="84">
        <v>0</v>
      </c>
      <c r="BF37" s="85"/>
      <c r="BG37" s="84">
        <v>0</v>
      </c>
      <c r="BH37" s="81"/>
      <c r="BI37" s="214">
        <f t="shared" si="38"/>
        <v>129873.63</v>
      </c>
      <c r="BJ37" s="69">
        <f>1020+9000+4000+7000</f>
        <v>21020</v>
      </c>
    </row>
    <row r="38" spans="1:64" x14ac:dyDescent="0.35">
      <c r="A38" s="149" t="s">
        <v>699</v>
      </c>
      <c r="B38" s="180"/>
      <c r="C38" s="83">
        <v>129873.63</v>
      </c>
      <c r="D38" s="107">
        <f t="shared" si="97"/>
        <v>129873.63</v>
      </c>
      <c r="E38" s="304">
        <f t="shared" si="97"/>
        <v>129873.63</v>
      </c>
      <c r="F38" s="289">
        <v>1020</v>
      </c>
      <c r="G38" s="363">
        <f t="shared" si="16"/>
        <v>7.8537883325506489E-3</v>
      </c>
      <c r="H38" s="287">
        <v>3650</v>
      </c>
      <c r="I38" s="313">
        <f t="shared" si="17"/>
        <v>2.8104242562558696E-2</v>
      </c>
      <c r="J38" s="287">
        <v>22616.61</v>
      </c>
      <c r="K38" s="288">
        <f t="shared" si="18"/>
        <v>0.17414320366651798</v>
      </c>
      <c r="L38" s="289">
        <v>12861.42</v>
      </c>
      <c r="M38" s="290">
        <f t="shared" si="19"/>
        <v>9.9030265035327025E-2</v>
      </c>
      <c r="N38" s="287">
        <v>20577.150000000001</v>
      </c>
      <c r="O38" s="288">
        <f t="shared" si="20"/>
        <v>0.15843978488935745</v>
      </c>
      <c r="P38" s="289"/>
      <c r="Q38" s="290">
        <f t="shared" si="21"/>
        <v>0</v>
      </c>
      <c r="R38" s="287">
        <v>11660.99</v>
      </c>
      <c r="S38" s="288">
        <f t="shared" si="43"/>
        <v>8.9787203145088035E-2</v>
      </c>
      <c r="T38" s="287">
        <f>9933.51+4387.87</f>
        <v>14321.380000000001</v>
      </c>
      <c r="U38" s="288">
        <f t="shared" si="22"/>
        <v>0.11027165406865121</v>
      </c>
      <c r="V38" s="289">
        <f>27387.52+2252.72</f>
        <v>29640.240000000002</v>
      </c>
      <c r="W38" s="290">
        <f t="shared" si="23"/>
        <v>0.22822369714313831</v>
      </c>
      <c r="X38" s="287"/>
      <c r="Y38" s="313">
        <f t="shared" si="24"/>
        <v>0</v>
      </c>
      <c r="Z38" s="289">
        <v>13525.84</v>
      </c>
      <c r="AA38" s="363">
        <f t="shared" si="25"/>
        <v>0.10414616115681066</v>
      </c>
      <c r="AB38" s="287"/>
      <c r="AC38" s="313">
        <f t="shared" si="26"/>
        <v>0</v>
      </c>
      <c r="AD38" s="289"/>
      <c r="AE38" s="363">
        <f t="shared" si="39"/>
        <v>0</v>
      </c>
      <c r="AF38" s="287"/>
      <c r="AG38" s="313">
        <f t="shared" si="40"/>
        <v>0</v>
      </c>
      <c r="AH38" s="289"/>
      <c r="AI38" s="363">
        <f t="shared" si="27"/>
        <v>0</v>
      </c>
      <c r="AJ38" s="323">
        <f t="shared" si="41"/>
        <v>1</v>
      </c>
      <c r="AK38" s="81">
        <v>0</v>
      </c>
      <c r="AL38" s="81"/>
      <c r="AM38" s="84">
        <v>0</v>
      </c>
      <c r="AN38" s="85"/>
      <c r="AO38" s="84">
        <v>0</v>
      </c>
      <c r="AP38" s="81"/>
      <c r="AQ38" s="84">
        <v>0</v>
      </c>
      <c r="AR38" s="85"/>
      <c r="AS38" s="84">
        <v>0</v>
      </c>
      <c r="AT38" s="81"/>
      <c r="AU38" s="84">
        <v>0</v>
      </c>
      <c r="AV38" s="85"/>
      <c r="AW38" s="84">
        <v>0</v>
      </c>
      <c r="AX38" s="85"/>
      <c r="AY38" s="84">
        <v>0</v>
      </c>
      <c r="AZ38" s="85"/>
      <c r="BA38" s="84">
        <v>0</v>
      </c>
      <c r="BB38" s="85"/>
      <c r="BC38" s="84">
        <v>0</v>
      </c>
      <c r="BD38" s="85"/>
      <c r="BE38" s="84">
        <v>0</v>
      </c>
      <c r="BF38" s="85"/>
      <c r="BG38" s="84">
        <v>0</v>
      </c>
      <c r="BH38" s="81"/>
      <c r="BI38" s="214">
        <f t="shared" si="38"/>
        <v>129873.63</v>
      </c>
      <c r="BJ38" s="69">
        <v>8000</v>
      </c>
    </row>
    <row r="39" spans="1:64" x14ac:dyDescent="0.35">
      <c r="A39" s="149" t="s">
        <v>698</v>
      </c>
      <c r="B39" s="180"/>
      <c r="C39" s="83">
        <v>129619.04</v>
      </c>
      <c r="D39" s="107">
        <f t="shared" si="97"/>
        <v>129619.04</v>
      </c>
      <c r="E39" s="304">
        <f t="shared" si="97"/>
        <v>129619.04</v>
      </c>
      <c r="F39" s="289">
        <v>1020</v>
      </c>
      <c r="G39" s="363">
        <f t="shared" si="16"/>
        <v>7.8692142759273637E-3</v>
      </c>
      <c r="H39" s="287">
        <v>3650</v>
      </c>
      <c r="I39" s="313">
        <f t="shared" si="17"/>
        <v>2.8159443242289098E-2</v>
      </c>
      <c r="J39" s="287">
        <v>22616.61</v>
      </c>
      <c r="K39" s="288">
        <f t="shared" si="18"/>
        <v>0.17448524537753096</v>
      </c>
      <c r="L39" s="289">
        <v>12861.42</v>
      </c>
      <c r="M39" s="290">
        <f t="shared" si="19"/>
        <v>9.9224774384997771E-2</v>
      </c>
      <c r="N39" s="287">
        <v>20322.560000000001</v>
      </c>
      <c r="O39" s="288">
        <f t="shared" si="20"/>
        <v>0.15678684242685337</v>
      </c>
      <c r="P39" s="289"/>
      <c r="Q39" s="290">
        <f t="shared" si="21"/>
        <v>0</v>
      </c>
      <c r="R39" s="287">
        <v>11660.99</v>
      </c>
      <c r="S39" s="288">
        <f t="shared" si="43"/>
        <v>8.9963557822986498E-2</v>
      </c>
      <c r="T39" s="287">
        <f>9933.51+4387.87</f>
        <v>14321.380000000001</v>
      </c>
      <c r="U39" s="288">
        <f t="shared" si="22"/>
        <v>0.11048824308527513</v>
      </c>
      <c r="V39" s="289">
        <f>27387.52+2252.72</f>
        <v>29640.240000000002</v>
      </c>
      <c r="W39" s="290">
        <f t="shared" si="23"/>
        <v>0.22867196053913069</v>
      </c>
      <c r="X39" s="287"/>
      <c r="Y39" s="313">
        <f t="shared" si="24"/>
        <v>0</v>
      </c>
      <c r="Z39" s="289">
        <v>13525.84</v>
      </c>
      <c r="AA39" s="363">
        <f t="shared" si="25"/>
        <v>0.1043507188450092</v>
      </c>
      <c r="AB39" s="287"/>
      <c r="AC39" s="313">
        <f t="shared" si="26"/>
        <v>0</v>
      </c>
      <c r="AD39" s="289"/>
      <c r="AE39" s="363">
        <f t="shared" si="39"/>
        <v>0</v>
      </c>
      <c r="AF39" s="287"/>
      <c r="AG39" s="313">
        <f t="shared" si="40"/>
        <v>0</v>
      </c>
      <c r="AH39" s="289"/>
      <c r="AI39" s="363">
        <f t="shared" si="27"/>
        <v>0</v>
      </c>
      <c r="AJ39" s="323">
        <f t="shared" si="41"/>
        <v>1.0000000000000002</v>
      </c>
      <c r="AK39" s="81">
        <v>0</v>
      </c>
      <c r="AL39" s="81"/>
      <c r="AM39" s="84">
        <v>0</v>
      </c>
      <c r="AN39" s="85"/>
      <c r="AO39" s="84">
        <v>0</v>
      </c>
      <c r="AP39" s="81"/>
      <c r="AQ39" s="84">
        <v>0</v>
      </c>
      <c r="AR39" s="85"/>
      <c r="AS39" s="84">
        <v>0</v>
      </c>
      <c r="AT39" s="81"/>
      <c r="AU39" s="84">
        <v>0</v>
      </c>
      <c r="AV39" s="85"/>
      <c r="AW39" s="84">
        <v>0</v>
      </c>
      <c r="AX39" s="85"/>
      <c r="AY39" s="84">
        <v>0</v>
      </c>
      <c r="AZ39" s="85"/>
      <c r="BA39" s="84">
        <v>0</v>
      </c>
      <c r="BB39" s="85"/>
      <c r="BC39" s="84">
        <v>0</v>
      </c>
      <c r="BD39" s="85"/>
      <c r="BE39" s="84">
        <v>0</v>
      </c>
      <c r="BF39" s="85"/>
      <c r="BG39" s="84">
        <v>0</v>
      </c>
      <c r="BH39" s="81"/>
      <c r="BI39" s="214">
        <f t="shared" si="38"/>
        <v>129619.04</v>
      </c>
      <c r="BJ39" s="69">
        <v>8000</v>
      </c>
      <c r="BK39" s="69">
        <v>21020</v>
      </c>
    </row>
    <row r="40" spans="1:64" x14ac:dyDescent="0.35">
      <c r="A40" s="149" t="s">
        <v>767</v>
      </c>
      <c r="B40" s="180"/>
      <c r="C40" s="49">
        <v>262000</v>
      </c>
      <c r="D40" s="107">
        <f>262262.35+594.99+10347.29+3668.92</f>
        <v>276873.54999999993</v>
      </c>
      <c r="E40" s="304">
        <f>D40</f>
        <v>276873.54999999993</v>
      </c>
      <c r="F40" s="289">
        <v>2016</v>
      </c>
      <c r="G40" s="363">
        <f t="shared" si="16"/>
        <v>7.2813022406799082E-3</v>
      </c>
      <c r="H40" s="287">
        <v>12550</v>
      </c>
      <c r="I40" s="313">
        <f t="shared" si="17"/>
        <v>4.5327551151057958E-2</v>
      </c>
      <c r="J40" s="287">
        <v>35514</v>
      </c>
      <c r="K40" s="288">
        <f t="shared" si="18"/>
        <v>0.12826794036483444</v>
      </c>
      <c r="L40" s="289">
        <v>9586</v>
      </c>
      <c r="M40" s="290">
        <f t="shared" si="19"/>
        <v>3.4622303213867854E-2</v>
      </c>
      <c r="N40" s="287">
        <f>52263+594.99</f>
        <v>52857.99</v>
      </c>
      <c r="O40" s="288">
        <f t="shared" si="20"/>
        <v>0.19091021876231951</v>
      </c>
      <c r="P40" s="289">
        <f>45558-7936.91</f>
        <v>37621.089999999997</v>
      </c>
      <c r="Q40" s="290">
        <f t="shared" si="21"/>
        <v>0.13587823755645856</v>
      </c>
      <c r="R40" s="287">
        <v>16119</v>
      </c>
      <c r="S40" s="288">
        <f t="shared" si="43"/>
        <v>5.8217912111864799E-2</v>
      </c>
      <c r="T40" s="287">
        <f>13703+6356</f>
        <v>20059</v>
      </c>
      <c r="U40" s="288">
        <f t="shared" si="22"/>
        <v>7.2448234943352313E-2</v>
      </c>
      <c r="V40" s="289">
        <f>32865+3155</f>
        <v>36020</v>
      </c>
      <c r="W40" s="290">
        <f t="shared" si="23"/>
        <v>0.13009548943913207</v>
      </c>
      <c r="X40" s="287"/>
      <c r="Y40" s="313">
        <f t="shared" si="24"/>
        <v>0</v>
      </c>
      <c r="Z40" s="289">
        <v>14376</v>
      </c>
      <c r="AA40" s="363">
        <f t="shared" si="25"/>
        <v>5.1922619549610298E-2</v>
      </c>
      <c r="AB40" s="287"/>
      <c r="AC40" s="313">
        <f t="shared" si="26"/>
        <v>0</v>
      </c>
      <c r="AD40" s="289"/>
      <c r="AE40" s="363">
        <f t="shared" si="39"/>
        <v>0</v>
      </c>
      <c r="AF40" s="287"/>
      <c r="AG40" s="313">
        <f t="shared" si="40"/>
        <v>0</v>
      </c>
      <c r="AH40" s="289">
        <f>18200+7936.91</f>
        <v>26136.91</v>
      </c>
      <c r="AI40" s="363">
        <f t="shared" si="27"/>
        <v>9.4400169319171182E-2</v>
      </c>
      <c r="AJ40" s="323">
        <f t="shared" si="41"/>
        <v>0.94937197865234879</v>
      </c>
      <c r="AK40" s="195">
        <f>AL40</f>
        <v>40212.86</v>
      </c>
      <c r="AL40" s="195">
        <v>40212.86</v>
      </c>
      <c r="AM40" s="230">
        <f>AN40</f>
        <v>40030.93</v>
      </c>
      <c r="AN40" s="231">
        <v>40030.93</v>
      </c>
      <c r="AO40" s="230">
        <f>AP40</f>
        <v>16665.79</v>
      </c>
      <c r="AP40" s="195">
        <v>16665.79</v>
      </c>
      <c r="AQ40" s="230">
        <f>AR40</f>
        <v>32973.71</v>
      </c>
      <c r="AR40" s="231">
        <v>32973.71</v>
      </c>
      <c r="AS40" s="230">
        <f>AT40</f>
        <v>61813.45</v>
      </c>
      <c r="AT40" s="195">
        <v>61813.45</v>
      </c>
      <c r="AU40" s="230">
        <f>AV40</f>
        <v>26102.97</v>
      </c>
      <c r="AV40" s="231">
        <v>26102.97</v>
      </c>
      <c r="AW40" s="230">
        <f>AX40</f>
        <v>11393.44</v>
      </c>
      <c r="AX40" s="231">
        <v>11393.44</v>
      </c>
      <c r="AY40" s="230">
        <f>AZ40</f>
        <v>20268.23</v>
      </c>
      <c r="AZ40" s="231">
        <v>20268.23</v>
      </c>
      <c r="BA40" s="230">
        <f>BB40</f>
        <v>594.99</v>
      </c>
      <c r="BB40" s="231">
        <f>594.99</f>
        <v>594.99</v>
      </c>
      <c r="BC40" s="230">
        <f>BD40</f>
        <v>11845.33</v>
      </c>
      <c r="BD40" s="231">
        <f>2094.25+9751.08</f>
        <v>11845.33</v>
      </c>
      <c r="BE40" s="230">
        <f>BF40</f>
        <v>14376.34</v>
      </c>
      <c r="BF40" s="231">
        <f>10707.42+3668.92</f>
        <v>14376.34</v>
      </c>
      <c r="BG40" s="84">
        <f t="shared" si="37"/>
        <v>595.50999999994929</v>
      </c>
      <c r="BH40" s="81"/>
      <c r="BI40" s="214">
        <f t="shared" si="38"/>
        <v>0</v>
      </c>
    </row>
    <row r="41" spans="1:64" x14ac:dyDescent="0.35">
      <c r="A41" s="149"/>
      <c r="B41" s="180"/>
      <c r="C41" s="83"/>
      <c r="D41" s="142">
        <v>0</v>
      </c>
      <c r="E41" s="304"/>
      <c r="F41" s="289"/>
      <c r="G41" s="363" t="e">
        <f t="shared" si="16"/>
        <v>#DIV/0!</v>
      </c>
      <c r="H41" s="287"/>
      <c r="I41" s="313" t="e">
        <f t="shared" si="17"/>
        <v>#DIV/0!</v>
      </c>
      <c r="J41" s="287"/>
      <c r="K41" s="288" t="e">
        <f t="shared" si="18"/>
        <v>#DIV/0!</v>
      </c>
      <c r="L41" s="289"/>
      <c r="M41" s="290" t="e">
        <f t="shared" si="19"/>
        <v>#DIV/0!</v>
      </c>
      <c r="N41" s="287"/>
      <c r="O41" s="288" t="e">
        <f t="shared" si="20"/>
        <v>#DIV/0!</v>
      </c>
      <c r="P41" s="289"/>
      <c r="Q41" s="290" t="e">
        <f t="shared" si="21"/>
        <v>#DIV/0!</v>
      </c>
      <c r="R41" s="287"/>
      <c r="S41" s="288" t="e">
        <f t="shared" si="43"/>
        <v>#DIV/0!</v>
      </c>
      <c r="T41" s="287"/>
      <c r="U41" s="288" t="e">
        <f t="shared" si="22"/>
        <v>#DIV/0!</v>
      </c>
      <c r="V41" s="289"/>
      <c r="W41" s="290" t="e">
        <f t="shared" si="23"/>
        <v>#DIV/0!</v>
      </c>
      <c r="X41" s="287"/>
      <c r="Y41" s="313" t="e">
        <f t="shared" si="24"/>
        <v>#DIV/0!</v>
      </c>
      <c r="Z41" s="289"/>
      <c r="AA41" s="363" t="e">
        <f t="shared" si="25"/>
        <v>#DIV/0!</v>
      </c>
      <c r="AB41" s="287"/>
      <c r="AC41" s="313" t="e">
        <f t="shared" si="26"/>
        <v>#DIV/0!</v>
      </c>
      <c r="AD41" s="289"/>
      <c r="AE41" s="363" t="e">
        <f t="shared" si="39"/>
        <v>#DIV/0!</v>
      </c>
      <c r="AF41" s="287"/>
      <c r="AG41" s="313" t="e">
        <f t="shared" si="40"/>
        <v>#DIV/0!</v>
      </c>
      <c r="AH41" s="289"/>
      <c r="AI41" s="363" t="e">
        <f t="shared" si="27"/>
        <v>#DIV/0!</v>
      </c>
      <c r="AJ41" s="323" t="e">
        <f t="shared" si="41"/>
        <v>#DIV/0!</v>
      </c>
      <c r="AK41" s="81">
        <v>0</v>
      </c>
      <c r="AL41" s="81"/>
      <c r="AM41" s="84">
        <f>E41-AK41</f>
        <v>0</v>
      </c>
      <c r="AN41" s="85"/>
      <c r="AO41" s="84"/>
      <c r="AP41" s="81"/>
      <c r="AQ41" s="84"/>
      <c r="AR41" s="85"/>
      <c r="AS41" s="84">
        <f t="shared" si="30"/>
        <v>0</v>
      </c>
      <c r="AT41" s="81"/>
      <c r="AU41" s="84">
        <f t="shared" si="31"/>
        <v>0</v>
      </c>
      <c r="AV41" s="85"/>
      <c r="AW41" s="84">
        <f t="shared" si="32"/>
        <v>0</v>
      </c>
      <c r="AX41" s="85"/>
      <c r="AY41" s="84">
        <f t="shared" si="33"/>
        <v>0</v>
      </c>
      <c r="AZ41" s="85"/>
      <c r="BA41" s="84">
        <f t="shared" si="34"/>
        <v>0</v>
      </c>
      <c r="BB41" s="85"/>
      <c r="BC41" s="84">
        <f t="shared" si="35"/>
        <v>0</v>
      </c>
      <c r="BD41" s="85"/>
      <c r="BE41" s="84">
        <f t="shared" si="36"/>
        <v>0</v>
      </c>
      <c r="BF41" s="85"/>
      <c r="BG41" s="84">
        <f t="shared" si="37"/>
        <v>0</v>
      </c>
      <c r="BH41" s="81"/>
      <c r="BI41" s="214">
        <f t="shared" si="38"/>
        <v>0</v>
      </c>
    </row>
    <row r="42" spans="1:64" x14ac:dyDescent="0.35">
      <c r="B42" s="180"/>
      <c r="C42" s="83"/>
      <c r="D42" s="142"/>
      <c r="E42" s="304"/>
      <c r="F42" s="289"/>
      <c r="G42" s="363"/>
      <c r="H42" s="287"/>
      <c r="I42" s="313"/>
      <c r="J42" s="287"/>
      <c r="K42" s="288"/>
      <c r="L42" s="289"/>
      <c r="M42" s="290"/>
      <c r="N42" s="287"/>
      <c r="O42" s="288"/>
      <c r="P42" s="289"/>
      <c r="Q42" s="290"/>
      <c r="R42" s="287"/>
      <c r="S42" s="288"/>
      <c r="T42" s="287"/>
      <c r="U42" s="288"/>
      <c r="V42" s="289"/>
      <c r="W42" s="290"/>
      <c r="X42" s="287"/>
      <c r="Y42" s="313"/>
      <c r="Z42" s="289"/>
      <c r="AA42" s="363"/>
      <c r="AB42" s="287"/>
      <c r="AC42" s="313"/>
      <c r="AD42" s="289"/>
      <c r="AE42" s="363" t="e">
        <f t="shared" si="39"/>
        <v>#DIV/0!</v>
      </c>
      <c r="AF42" s="287"/>
      <c r="AG42" s="313" t="e">
        <f t="shared" si="40"/>
        <v>#DIV/0!</v>
      </c>
      <c r="AH42" s="289"/>
      <c r="AI42" s="363"/>
      <c r="AJ42" s="323" t="e">
        <f t="shared" si="41"/>
        <v>#DIV/0!</v>
      </c>
      <c r="AK42" s="81">
        <v>0</v>
      </c>
      <c r="AL42" s="81"/>
      <c r="AM42" s="84">
        <f>E42-AK42</f>
        <v>0</v>
      </c>
      <c r="AN42" s="85"/>
      <c r="AO42" s="84">
        <f t="shared" si="28"/>
        <v>0</v>
      </c>
      <c r="AP42" s="81"/>
      <c r="AQ42" s="84">
        <f t="shared" si="29"/>
        <v>0</v>
      </c>
      <c r="AR42" s="85"/>
      <c r="AS42" s="84">
        <f t="shared" si="30"/>
        <v>0</v>
      </c>
      <c r="AT42" s="81"/>
      <c r="AU42" s="84">
        <f t="shared" si="31"/>
        <v>0</v>
      </c>
      <c r="AV42" s="85"/>
      <c r="AW42" s="84">
        <f t="shared" si="32"/>
        <v>0</v>
      </c>
      <c r="AX42" s="85"/>
      <c r="AY42" s="84">
        <f t="shared" si="33"/>
        <v>0</v>
      </c>
      <c r="AZ42" s="85"/>
      <c r="BA42" s="84">
        <f t="shared" si="34"/>
        <v>0</v>
      </c>
      <c r="BB42" s="85"/>
      <c r="BC42" s="84">
        <f t="shared" si="35"/>
        <v>0</v>
      </c>
      <c r="BD42" s="85"/>
      <c r="BE42" s="84">
        <f t="shared" si="36"/>
        <v>0</v>
      </c>
      <c r="BF42" s="85"/>
      <c r="BG42" s="84">
        <f t="shared" si="37"/>
        <v>0</v>
      </c>
      <c r="BH42" s="81"/>
      <c r="BI42" s="214"/>
    </row>
    <row r="43" spans="1:64" x14ac:dyDescent="0.35">
      <c r="A43" s="149"/>
      <c r="B43" s="180"/>
      <c r="C43" s="83"/>
      <c r="D43" s="142">
        <v>0</v>
      </c>
      <c r="E43" s="304">
        <v>0</v>
      </c>
      <c r="F43" s="289">
        <v>0</v>
      </c>
      <c r="G43" s="363" t="e">
        <f t="shared" si="16"/>
        <v>#DIV/0!</v>
      </c>
      <c r="H43" s="287">
        <v>0</v>
      </c>
      <c r="I43" s="313" t="e">
        <f t="shared" si="17"/>
        <v>#DIV/0!</v>
      </c>
      <c r="J43" s="287">
        <v>0</v>
      </c>
      <c r="K43" s="288" t="e">
        <f t="shared" si="18"/>
        <v>#DIV/0!</v>
      </c>
      <c r="L43" s="289">
        <v>0</v>
      </c>
      <c r="M43" s="290" t="e">
        <f t="shared" si="19"/>
        <v>#DIV/0!</v>
      </c>
      <c r="N43" s="287">
        <v>0</v>
      </c>
      <c r="O43" s="288" t="e">
        <f t="shared" si="20"/>
        <v>#DIV/0!</v>
      </c>
      <c r="P43" s="289">
        <v>0</v>
      </c>
      <c r="Q43" s="290" t="e">
        <f t="shared" si="21"/>
        <v>#DIV/0!</v>
      </c>
      <c r="R43" s="287">
        <v>0</v>
      </c>
      <c r="S43" s="288" t="e">
        <f t="shared" si="43"/>
        <v>#DIV/0!</v>
      </c>
      <c r="T43" s="287">
        <v>0</v>
      </c>
      <c r="U43" s="288" t="e">
        <f t="shared" si="22"/>
        <v>#DIV/0!</v>
      </c>
      <c r="V43" s="289">
        <v>0</v>
      </c>
      <c r="W43" s="290" t="e">
        <f t="shared" si="23"/>
        <v>#DIV/0!</v>
      </c>
      <c r="X43" s="287"/>
      <c r="Y43" s="313" t="e">
        <f t="shared" si="24"/>
        <v>#DIV/0!</v>
      </c>
      <c r="Z43" s="289">
        <v>0</v>
      </c>
      <c r="AA43" s="363" t="e">
        <f t="shared" si="25"/>
        <v>#DIV/0!</v>
      </c>
      <c r="AB43" s="287"/>
      <c r="AC43" s="313" t="e">
        <f t="shared" si="26"/>
        <v>#DIV/0!</v>
      </c>
      <c r="AD43" s="289"/>
      <c r="AE43" s="363" t="e">
        <f t="shared" si="39"/>
        <v>#DIV/0!</v>
      </c>
      <c r="AF43" s="287"/>
      <c r="AG43" s="313" t="e">
        <f t="shared" si="40"/>
        <v>#DIV/0!</v>
      </c>
      <c r="AH43" s="289">
        <v>0</v>
      </c>
      <c r="AI43" s="363" t="e">
        <f t="shared" si="27"/>
        <v>#DIV/0!</v>
      </c>
      <c r="AJ43" s="323" t="e">
        <f t="shared" si="41"/>
        <v>#DIV/0!</v>
      </c>
      <c r="AK43" s="81">
        <v>0</v>
      </c>
      <c r="AL43" s="81"/>
      <c r="AM43" s="84">
        <f t="shared" ref="AM43:AM69" si="98">D43-AK43</f>
        <v>0</v>
      </c>
      <c r="AN43" s="85"/>
      <c r="AO43" s="84">
        <f t="shared" si="28"/>
        <v>0</v>
      </c>
      <c r="AP43" s="81"/>
      <c r="AQ43" s="84">
        <f t="shared" si="29"/>
        <v>0</v>
      </c>
      <c r="AR43" s="85"/>
      <c r="AS43" s="84">
        <f t="shared" si="30"/>
        <v>0</v>
      </c>
      <c r="AT43" s="81"/>
      <c r="AU43" s="84">
        <f t="shared" si="31"/>
        <v>0</v>
      </c>
      <c r="AV43" s="85"/>
      <c r="AW43" s="84">
        <f t="shared" si="32"/>
        <v>0</v>
      </c>
      <c r="AX43" s="85"/>
      <c r="AY43" s="84">
        <f t="shared" si="33"/>
        <v>0</v>
      </c>
      <c r="AZ43" s="85"/>
      <c r="BA43" s="84">
        <f t="shared" si="34"/>
        <v>0</v>
      </c>
      <c r="BB43" s="85"/>
      <c r="BC43" s="84">
        <f t="shared" si="35"/>
        <v>0</v>
      </c>
      <c r="BD43" s="85"/>
      <c r="BE43" s="84">
        <f t="shared" si="36"/>
        <v>0</v>
      </c>
      <c r="BF43" s="85"/>
      <c r="BG43" s="84">
        <f t="shared" si="37"/>
        <v>0</v>
      </c>
      <c r="BH43" s="81"/>
      <c r="BI43" s="214">
        <f t="shared" si="38"/>
        <v>0</v>
      </c>
    </row>
    <row r="44" spans="1:64" x14ac:dyDescent="0.35">
      <c r="A44" s="149" t="s">
        <v>622</v>
      </c>
      <c r="B44" s="180"/>
      <c r="C44" s="83">
        <v>101895</v>
      </c>
      <c r="D44" s="107">
        <v>391</v>
      </c>
      <c r="E44" s="304">
        <f>D44</f>
        <v>391</v>
      </c>
      <c r="F44" s="289">
        <v>0</v>
      </c>
      <c r="G44" s="363">
        <f t="shared" si="16"/>
        <v>0</v>
      </c>
      <c r="H44" s="287"/>
      <c r="I44" s="313">
        <f t="shared" si="17"/>
        <v>0</v>
      </c>
      <c r="J44" s="287">
        <v>0</v>
      </c>
      <c r="K44" s="288">
        <f t="shared" si="18"/>
        <v>0</v>
      </c>
      <c r="L44" s="289">
        <v>0</v>
      </c>
      <c r="M44" s="290">
        <f t="shared" si="19"/>
        <v>0</v>
      </c>
      <c r="N44" s="287">
        <v>0</v>
      </c>
      <c r="O44" s="288">
        <f t="shared" si="20"/>
        <v>0</v>
      </c>
      <c r="P44" s="289">
        <v>0</v>
      </c>
      <c r="Q44" s="290">
        <f t="shared" si="21"/>
        <v>0</v>
      </c>
      <c r="R44" s="287">
        <v>0</v>
      </c>
      <c r="S44" s="288">
        <f t="shared" si="43"/>
        <v>0</v>
      </c>
      <c r="T44" s="287">
        <v>0</v>
      </c>
      <c r="U44" s="288">
        <f t="shared" si="22"/>
        <v>0</v>
      </c>
      <c r="V44" s="289"/>
      <c r="W44" s="290">
        <f t="shared" si="23"/>
        <v>0</v>
      </c>
      <c r="X44" s="287">
        <v>0</v>
      </c>
      <c r="Y44" s="313">
        <f t="shared" si="24"/>
        <v>0</v>
      </c>
      <c r="Z44" s="289"/>
      <c r="AA44" s="363">
        <f t="shared" si="25"/>
        <v>0</v>
      </c>
      <c r="AB44" s="287"/>
      <c r="AC44" s="313">
        <f t="shared" si="26"/>
        <v>0</v>
      </c>
      <c r="AD44" s="289"/>
      <c r="AE44" s="363">
        <f t="shared" si="39"/>
        <v>0</v>
      </c>
      <c r="AF44" s="287"/>
      <c r="AG44" s="313">
        <f t="shared" si="40"/>
        <v>0</v>
      </c>
      <c r="AH44" s="289">
        <v>390.72</v>
      </c>
      <c r="AI44" s="363">
        <f t="shared" si="27"/>
        <v>0.99928388746803076</v>
      </c>
      <c r="AJ44" s="323">
        <f t="shared" si="41"/>
        <v>0.99928388746803076</v>
      </c>
      <c r="AK44" s="195">
        <f>AL44</f>
        <v>390.72</v>
      </c>
      <c r="AL44" s="195">
        <f>390.72</f>
        <v>390.72</v>
      </c>
      <c r="AM44" s="84">
        <v>0</v>
      </c>
      <c r="AN44" s="85"/>
      <c r="AO44" s="84">
        <v>0</v>
      </c>
      <c r="AP44" s="81"/>
      <c r="AQ44" s="84">
        <v>0</v>
      </c>
      <c r="AR44" s="85"/>
      <c r="AS44" s="84">
        <v>0</v>
      </c>
      <c r="AT44" s="81"/>
      <c r="AU44" s="84">
        <v>0</v>
      </c>
      <c r="AV44" s="85"/>
      <c r="AW44" s="84">
        <v>0</v>
      </c>
      <c r="AX44" s="85"/>
      <c r="AY44" s="84">
        <f t="shared" si="33"/>
        <v>0.27999999999997272</v>
      </c>
      <c r="AZ44" s="85"/>
      <c r="BA44" s="84">
        <f t="shared" si="34"/>
        <v>0</v>
      </c>
      <c r="BB44" s="85"/>
      <c r="BC44" s="84">
        <f t="shared" si="35"/>
        <v>0</v>
      </c>
      <c r="BD44" s="85"/>
      <c r="BE44" s="84">
        <f t="shared" si="36"/>
        <v>0</v>
      </c>
      <c r="BF44" s="85"/>
      <c r="BG44" s="84">
        <f t="shared" si="37"/>
        <v>0</v>
      </c>
      <c r="BH44" s="81"/>
      <c r="BI44" s="214">
        <f t="shared" si="38"/>
        <v>0</v>
      </c>
      <c r="BJ44"/>
      <c r="BK44"/>
      <c r="BL44"/>
    </row>
    <row r="45" spans="1:64" x14ac:dyDescent="0.35">
      <c r="A45" s="149" t="s">
        <v>637</v>
      </c>
      <c r="B45" s="180"/>
      <c r="C45" s="83">
        <f>90337.22+17468.41+2057.53</f>
        <v>109863.16</v>
      </c>
      <c r="D45" s="107">
        <f>'2023-24'!BE37</f>
        <v>79045.37</v>
      </c>
      <c r="E45" s="304">
        <f>D45</f>
        <v>79045.37</v>
      </c>
      <c r="F45" s="289">
        <v>1965.6</v>
      </c>
      <c r="G45" s="363">
        <f t="shared" si="16"/>
        <v>2.4866731599839435E-2</v>
      </c>
      <c r="H45" s="287">
        <v>9550.61</v>
      </c>
      <c r="I45" s="313">
        <f t="shared" si="17"/>
        <v>0.12082440755227031</v>
      </c>
      <c r="J45" s="287">
        <v>18236.22</v>
      </c>
      <c r="K45" s="288">
        <f t="shared" si="18"/>
        <v>0.23070573266973135</v>
      </c>
      <c r="L45" s="289">
        <v>8586.67</v>
      </c>
      <c r="M45" s="290">
        <f t="shared" si="19"/>
        <v>0.10862963890231649</v>
      </c>
      <c r="N45" s="287">
        <v>27028.57</v>
      </c>
      <c r="O45" s="288">
        <f t="shared" si="20"/>
        <v>0.34193742150868545</v>
      </c>
      <c r="P45" s="289"/>
      <c r="Q45" s="290">
        <f t="shared" si="21"/>
        <v>0</v>
      </c>
      <c r="R45" s="287">
        <v>4710.6499999999996</v>
      </c>
      <c r="S45" s="288">
        <f t="shared" si="43"/>
        <v>5.9594255805241976E-2</v>
      </c>
      <c r="T45" s="287">
        <v>10101.950000000001</v>
      </c>
      <c r="U45" s="288">
        <f t="shared" si="22"/>
        <v>0.12779938913563188</v>
      </c>
      <c r="V45" s="289">
        <f>1185.79+17468.41</f>
        <v>18654.2</v>
      </c>
      <c r="W45" s="290">
        <f t="shared" si="23"/>
        <v>0.23599358191377942</v>
      </c>
      <c r="X45" s="287"/>
      <c r="Y45" s="313">
        <f t="shared" si="24"/>
        <v>0</v>
      </c>
      <c r="Z45" s="289">
        <v>10381.16</v>
      </c>
      <c r="AA45" s="363">
        <f t="shared" si="25"/>
        <v>0.13133166433404006</v>
      </c>
      <c r="AB45" s="287"/>
      <c r="AC45" s="313">
        <f t="shared" si="26"/>
        <v>0</v>
      </c>
      <c r="AD45" s="289"/>
      <c r="AE45" s="363">
        <f t="shared" si="39"/>
        <v>0</v>
      </c>
      <c r="AF45" s="287"/>
      <c r="AG45" s="313">
        <f t="shared" si="40"/>
        <v>0</v>
      </c>
      <c r="AH45" s="289"/>
      <c r="AI45" s="363">
        <f t="shared" si="27"/>
        <v>0</v>
      </c>
      <c r="AJ45" s="323">
        <f t="shared" si="41"/>
        <v>1.3816828234215364</v>
      </c>
      <c r="AK45" s="195">
        <f>AL45</f>
        <v>12223.25</v>
      </c>
      <c r="AL45" s="195">
        <f>10165.72+2057.53</f>
        <v>12223.25</v>
      </c>
      <c r="AM45" s="230">
        <f>AN45</f>
        <v>37450.21</v>
      </c>
      <c r="AN45" s="231">
        <v>37450.21</v>
      </c>
      <c r="AO45" s="230">
        <f>AP45</f>
        <v>18504.879999999997</v>
      </c>
      <c r="AP45" s="195">
        <f>14475.63+4029.25</f>
        <v>18504.879999999997</v>
      </c>
      <c r="AQ45" s="230">
        <f>AR45</f>
        <v>5311.16</v>
      </c>
      <c r="AR45" s="231">
        <f>2992.78+2318.38</f>
        <v>5311.16</v>
      </c>
      <c r="AS45" s="230">
        <f>AT45</f>
        <v>4215.71</v>
      </c>
      <c r="AT45" s="195">
        <f>4215.71</f>
        <v>4215.71</v>
      </c>
      <c r="AU45" s="230">
        <f t="shared" si="31"/>
        <v>1340.1599999999989</v>
      </c>
      <c r="AV45" s="231">
        <v>1340.16</v>
      </c>
      <c r="AW45" s="84">
        <f t="shared" si="32"/>
        <v>0</v>
      </c>
      <c r="AX45" s="85"/>
      <c r="AY45" s="84">
        <f t="shared" si="33"/>
        <v>0</v>
      </c>
      <c r="AZ45" s="85"/>
      <c r="BA45" s="84">
        <f t="shared" si="34"/>
        <v>0</v>
      </c>
      <c r="BB45" s="85"/>
      <c r="BC45" s="84">
        <f t="shared" si="35"/>
        <v>0</v>
      </c>
      <c r="BD45" s="85"/>
      <c r="BE45" s="84">
        <f t="shared" si="36"/>
        <v>0</v>
      </c>
      <c r="BF45" s="85"/>
      <c r="BG45" s="84">
        <f t="shared" si="37"/>
        <v>0</v>
      </c>
      <c r="BH45" s="81"/>
      <c r="BI45" s="214">
        <f t="shared" si="38"/>
        <v>0</v>
      </c>
      <c r="BJ45"/>
      <c r="BK45"/>
      <c r="BL45"/>
    </row>
    <row r="46" spans="1:64" x14ac:dyDescent="0.35">
      <c r="A46" s="149" t="s">
        <v>712</v>
      </c>
      <c r="B46" s="180"/>
      <c r="C46" s="83">
        <v>257744.9</v>
      </c>
      <c r="D46" s="107">
        <f>'2023-24'!BE40-1446.22</f>
        <v>842.23999999998819</v>
      </c>
      <c r="E46" s="304">
        <f>D46</f>
        <v>842.23999999998819</v>
      </c>
      <c r="F46" s="289"/>
      <c r="G46" s="363">
        <f>F46/E46</f>
        <v>0</v>
      </c>
      <c r="H46" s="287"/>
      <c r="I46" s="313">
        <f>H46/E46</f>
        <v>0</v>
      </c>
      <c r="J46" s="287"/>
      <c r="K46" s="288">
        <f>J46/E46</f>
        <v>0</v>
      </c>
      <c r="L46" s="289"/>
      <c r="M46" s="290">
        <f>L46/E46</f>
        <v>0</v>
      </c>
      <c r="N46" s="287"/>
      <c r="O46" s="288">
        <f>N46/E46</f>
        <v>0</v>
      </c>
      <c r="P46" s="289"/>
      <c r="Q46" s="290">
        <f>P46/E46</f>
        <v>0</v>
      </c>
      <c r="R46" s="287"/>
      <c r="S46" s="288">
        <f>R46/E46</f>
        <v>0</v>
      </c>
      <c r="T46" s="287"/>
      <c r="U46" s="288">
        <f>T46/E46</f>
        <v>0</v>
      </c>
      <c r="V46" s="289">
        <v>574.72</v>
      </c>
      <c r="W46" s="290">
        <f>V46/E46</f>
        <v>0.68237082066870258</v>
      </c>
      <c r="X46" s="287"/>
      <c r="Y46" s="313">
        <f>X46/E46</f>
        <v>0</v>
      </c>
      <c r="Z46" s="289"/>
      <c r="AA46" s="363">
        <f>Z46/E46</f>
        <v>0</v>
      </c>
      <c r="AB46" s="287"/>
      <c r="AC46" s="313">
        <f>AB46/E46</f>
        <v>0</v>
      </c>
      <c r="AD46" s="289"/>
      <c r="AE46" s="363">
        <f t="shared" si="39"/>
        <v>0</v>
      </c>
      <c r="AF46" s="287"/>
      <c r="AG46" s="313">
        <f t="shared" si="40"/>
        <v>0</v>
      </c>
      <c r="AH46" s="289">
        <v>267.52</v>
      </c>
      <c r="AI46" s="363">
        <f>AH46/E46</f>
        <v>0.31762917933131141</v>
      </c>
      <c r="AJ46" s="323">
        <f t="shared" si="41"/>
        <v>1.000000000000014</v>
      </c>
      <c r="AK46" s="81">
        <v>0</v>
      </c>
      <c r="AL46" s="81"/>
      <c r="AM46" s="84">
        <v>0</v>
      </c>
      <c r="AN46" s="85"/>
      <c r="AO46" s="230">
        <f t="shared" si="28"/>
        <v>842.23999999998819</v>
      </c>
      <c r="AP46" s="195">
        <f>574.72+267.52</f>
        <v>842.24</v>
      </c>
      <c r="AQ46" s="84">
        <f t="shared" si="29"/>
        <v>0</v>
      </c>
      <c r="AR46" s="85"/>
      <c r="AS46" s="84">
        <f t="shared" si="30"/>
        <v>0</v>
      </c>
      <c r="AT46" s="81"/>
      <c r="AU46" s="84">
        <f t="shared" si="31"/>
        <v>0</v>
      </c>
      <c r="AV46" s="85"/>
      <c r="AW46" s="84">
        <f t="shared" si="32"/>
        <v>0</v>
      </c>
      <c r="AX46" s="85"/>
      <c r="AY46" s="84">
        <f t="shared" si="33"/>
        <v>0</v>
      </c>
      <c r="AZ46" s="85"/>
      <c r="BA46" s="84">
        <f t="shared" si="34"/>
        <v>0</v>
      </c>
      <c r="BB46" s="85"/>
      <c r="BC46" s="84">
        <f t="shared" si="35"/>
        <v>0</v>
      </c>
      <c r="BD46" s="85"/>
      <c r="BE46" s="84">
        <f t="shared" si="36"/>
        <v>0</v>
      </c>
      <c r="BF46" s="85"/>
      <c r="BG46" s="84">
        <f t="shared" si="37"/>
        <v>0</v>
      </c>
      <c r="BH46" s="81"/>
      <c r="BI46" s="214">
        <f>D46-AK46-AM46-AO46-AQ46-AS46-AU46-AW46-AY46-BA46-BC46-BE46-BG46</f>
        <v>0</v>
      </c>
    </row>
    <row r="47" spans="1:64" ht="13.9" x14ac:dyDescent="0.4">
      <c r="A47" s="368" t="s">
        <v>670</v>
      </c>
      <c r="B47" s="369"/>
      <c r="C47" s="370"/>
      <c r="D47" s="371"/>
      <c r="E47" s="304"/>
      <c r="F47" s="289"/>
      <c r="G47" s="363" t="e">
        <f t="shared" si="16"/>
        <v>#DIV/0!</v>
      </c>
      <c r="H47" s="287"/>
      <c r="I47" s="313" t="e">
        <f t="shared" si="17"/>
        <v>#DIV/0!</v>
      </c>
      <c r="J47" s="287"/>
      <c r="K47" s="288" t="e">
        <f t="shared" si="18"/>
        <v>#DIV/0!</v>
      </c>
      <c r="L47" s="289"/>
      <c r="M47" s="290" t="e">
        <f t="shared" si="19"/>
        <v>#DIV/0!</v>
      </c>
      <c r="N47" s="287"/>
      <c r="O47" s="288"/>
      <c r="P47" s="289"/>
      <c r="Q47" s="290"/>
      <c r="R47" s="287"/>
      <c r="S47" s="288"/>
      <c r="T47" s="287"/>
      <c r="U47" s="288"/>
      <c r="V47" s="289"/>
      <c r="W47" s="290"/>
      <c r="X47" s="287"/>
      <c r="Y47" s="313"/>
      <c r="Z47" s="289"/>
      <c r="AA47" s="363"/>
      <c r="AB47" s="287"/>
      <c r="AC47" s="313"/>
      <c r="AD47" s="289"/>
      <c r="AE47" s="363" t="e">
        <f t="shared" si="39"/>
        <v>#DIV/0!</v>
      </c>
      <c r="AF47" s="287"/>
      <c r="AG47" s="313" t="e">
        <f t="shared" si="40"/>
        <v>#DIV/0!</v>
      </c>
      <c r="AH47" s="289"/>
      <c r="AI47" s="363"/>
      <c r="AJ47" s="323"/>
      <c r="AK47" s="81">
        <v>0</v>
      </c>
      <c r="AL47" s="81"/>
      <c r="AM47" s="84">
        <f t="shared" si="98"/>
        <v>0</v>
      </c>
      <c r="AN47" s="85"/>
      <c r="AO47" s="84">
        <f t="shared" si="28"/>
        <v>0</v>
      </c>
      <c r="AP47" s="81"/>
      <c r="AQ47" s="84">
        <f t="shared" si="29"/>
        <v>0</v>
      </c>
      <c r="AR47" s="85"/>
      <c r="AS47" s="84">
        <f t="shared" si="30"/>
        <v>0</v>
      </c>
      <c r="AT47" s="81"/>
      <c r="AU47" s="84">
        <f t="shared" si="31"/>
        <v>0</v>
      </c>
      <c r="AV47" s="85"/>
      <c r="AW47" s="84">
        <f t="shared" si="32"/>
        <v>0</v>
      </c>
      <c r="AX47" s="85"/>
      <c r="AY47" s="84">
        <f t="shared" si="33"/>
        <v>0</v>
      </c>
      <c r="AZ47" s="85"/>
      <c r="BA47" s="84">
        <f t="shared" si="34"/>
        <v>0</v>
      </c>
      <c r="BB47" s="85"/>
      <c r="BC47" s="84">
        <f t="shared" si="35"/>
        <v>0</v>
      </c>
      <c r="BD47" s="85"/>
      <c r="BE47" s="84">
        <f t="shared" si="36"/>
        <v>0</v>
      </c>
      <c r="BF47" s="85"/>
      <c r="BG47" s="84">
        <f t="shared" si="37"/>
        <v>0</v>
      </c>
      <c r="BH47" s="81"/>
      <c r="BI47" s="214">
        <f t="shared" si="38"/>
        <v>0</v>
      </c>
    </row>
    <row r="48" spans="1:64" x14ac:dyDescent="0.35">
      <c r="A48" s="159"/>
      <c r="B48" s="180"/>
      <c r="C48" s="83"/>
      <c r="D48" s="142"/>
      <c r="E48" s="304"/>
      <c r="F48" s="289"/>
      <c r="G48" s="363" t="e">
        <f t="shared" si="16"/>
        <v>#DIV/0!</v>
      </c>
      <c r="H48" s="287"/>
      <c r="I48" s="313" t="e">
        <f t="shared" si="17"/>
        <v>#DIV/0!</v>
      </c>
      <c r="J48" s="287"/>
      <c r="K48" s="288" t="e">
        <f t="shared" si="18"/>
        <v>#DIV/0!</v>
      </c>
      <c r="L48" s="289"/>
      <c r="M48" s="290" t="e">
        <f t="shared" si="19"/>
        <v>#DIV/0!</v>
      </c>
      <c r="N48" s="287"/>
      <c r="O48" s="288" t="e">
        <f t="shared" ref="O48" si="99">N48/E48</f>
        <v>#DIV/0!</v>
      </c>
      <c r="P48" s="289"/>
      <c r="Q48" s="290" t="e">
        <f t="shared" ref="Q48" si="100">P48/E48</f>
        <v>#DIV/0!</v>
      </c>
      <c r="R48" s="287"/>
      <c r="S48" s="288" t="e">
        <f t="shared" ref="S48" si="101">R48/E48</f>
        <v>#DIV/0!</v>
      </c>
      <c r="T48" s="287"/>
      <c r="U48" s="288" t="e">
        <f t="shared" ref="U48" si="102">T48/E48</f>
        <v>#DIV/0!</v>
      </c>
      <c r="V48" s="289"/>
      <c r="W48" s="290" t="e">
        <f t="shared" ref="W48" si="103">V48/E48</f>
        <v>#DIV/0!</v>
      </c>
      <c r="X48" s="287"/>
      <c r="Y48" s="313" t="e">
        <f t="shared" ref="Y48" si="104">X48/E48</f>
        <v>#DIV/0!</v>
      </c>
      <c r="Z48" s="289"/>
      <c r="AA48" s="363" t="e">
        <f t="shared" ref="AA48" si="105">Z48/E48</f>
        <v>#DIV/0!</v>
      </c>
      <c r="AB48" s="287"/>
      <c r="AC48" s="313" t="e">
        <f t="shared" ref="AC48" si="106">AB48/E48</f>
        <v>#DIV/0!</v>
      </c>
      <c r="AD48" s="289"/>
      <c r="AE48" s="363" t="e">
        <f t="shared" ref="AE48" si="107">AD48/E48</f>
        <v>#DIV/0!</v>
      </c>
      <c r="AF48" s="287"/>
      <c r="AG48" s="313" t="e">
        <f t="shared" ref="AG48" si="108">AF48/E48</f>
        <v>#DIV/0!</v>
      </c>
      <c r="AH48" s="289"/>
      <c r="AI48" s="363" t="e">
        <f t="shared" ref="AI48:AI62" si="109">AH48/E48</f>
        <v>#DIV/0!</v>
      </c>
      <c r="AJ48" s="323" t="e">
        <f t="shared" ref="AJ48" si="110">K48+M48+O48+Q48+S48+U48+W48+Y48+AA48+AC48+G48+I48+AI48+AE48+AG48</f>
        <v>#DIV/0!</v>
      </c>
      <c r="AK48" s="81">
        <v>0</v>
      </c>
      <c r="AL48" s="81"/>
      <c r="AM48" s="84">
        <f t="shared" si="98"/>
        <v>0</v>
      </c>
      <c r="AN48" s="85"/>
      <c r="AO48" s="84">
        <f t="shared" si="28"/>
        <v>0</v>
      </c>
      <c r="AP48" s="81"/>
      <c r="AQ48" s="84">
        <f t="shared" si="29"/>
        <v>0</v>
      </c>
      <c r="AR48" s="85"/>
      <c r="AS48" s="84">
        <f t="shared" si="30"/>
        <v>0</v>
      </c>
      <c r="AT48" s="81"/>
      <c r="AU48" s="84">
        <f t="shared" si="31"/>
        <v>0</v>
      </c>
      <c r="AV48" s="85"/>
      <c r="AW48" s="84">
        <f t="shared" si="32"/>
        <v>0</v>
      </c>
      <c r="AX48" s="85"/>
      <c r="AY48" s="84">
        <f t="shared" si="33"/>
        <v>0</v>
      </c>
      <c r="AZ48" s="85"/>
      <c r="BA48" s="84">
        <f t="shared" si="34"/>
        <v>0</v>
      </c>
      <c r="BB48" s="85"/>
      <c r="BC48" s="84">
        <f t="shared" si="35"/>
        <v>0</v>
      </c>
      <c r="BD48" s="85"/>
      <c r="BE48" s="84">
        <f t="shared" si="36"/>
        <v>0</v>
      </c>
      <c r="BF48" s="85"/>
      <c r="BG48" s="84">
        <f t="shared" si="37"/>
        <v>0</v>
      </c>
      <c r="BH48" s="81"/>
      <c r="BI48" s="214">
        <f t="shared" si="38"/>
        <v>0</v>
      </c>
    </row>
    <row r="49" spans="1:64" x14ac:dyDescent="0.35">
      <c r="A49" s="159" t="s">
        <v>800</v>
      </c>
      <c r="B49" s="180"/>
      <c r="C49" s="83">
        <v>51011.23</v>
      </c>
      <c r="D49" s="142">
        <f>C49</f>
        <v>51011.23</v>
      </c>
      <c r="E49" s="304"/>
      <c r="F49" s="289"/>
      <c r="G49" s="363" t="e">
        <f t="shared" ref="G49" si="111">F49/E49</f>
        <v>#DIV/0!</v>
      </c>
      <c r="H49" s="287"/>
      <c r="I49" s="313" t="e">
        <f t="shared" ref="I49" si="112">H49/E49</f>
        <v>#DIV/0!</v>
      </c>
      <c r="J49" s="287"/>
      <c r="K49" s="288" t="e">
        <f t="shared" ref="K49" si="113">J49/E49</f>
        <v>#DIV/0!</v>
      </c>
      <c r="L49" s="289"/>
      <c r="M49" s="290" t="e">
        <f t="shared" ref="M49" si="114">L49/E49</f>
        <v>#DIV/0!</v>
      </c>
      <c r="N49" s="287"/>
      <c r="O49" s="288" t="e">
        <f t="shared" ref="O49" si="115">N49/E49</f>
        <v>#DIV/0!</v>
      </c>
      <c r="P49" s="289"/>
      <c r="Q49" s="290" t="e">
        <f t="shared" ref="Q49" si="116">P49/E49</f>
        <v>#DIV/0!</v>
      </c>
      <c r="R49" s="287"/>
      <c r="S49" s="288" t="e">
        <f t="shared" ref="S49" si="117">R49/E49</f>
        <v>#DIV/0!</v>
      </c>
      <c r="T49" s="287"/>
      <c r="U49" s="288" t="e">
        <f t="shared" ref="U49" si="118">T49/E49</f>
        <v>#DIV/0!</v>
      </c>
      <c r="V49" s="289"/>
      <c r="W49" s="290" t="e">
        <f t="shared" ref="W49" si="119">V49/E49</f>
        <v>#DIV/0!</v>
      </c>
      <c r="X49" s="287"/>
      <c r="Y49" s="313" t="e">
        <f t="shared" ref="Y49" si="120">X49/E49</f>
        <v>#DIV/0!</v>
      </c>
      <c r="Z49" s="289"/>
      <c r="AA49" s="363" t="e">
        <f t="shared" ref="AA49" si="121">Z49/E49</f>
        <v>#DIV/0!</v>
      </c>
      <c r="AB49" s="287"/>
      <c r="AC49" s="313" t="e">
        <f t="shared" ref="AC49" si="122">AB49/E49</f>
        <v>#DIV/0!</v>
      </c>
      <c r="AD49" s="289"/>
      <c r="AE49" s="363" t="e">
        <f t="shared" ref="AE49" si="123">AD49/E49</f>
        <v>#DIV/0!</v>
      </c>
      <c r="AF49" s="287"/>
      <c r="AG49" s="313" t="e">
        <f t="shared" ref="AG49" si="124">AF49/E49</f>
        <v>#DIV/0!</v>
      </c>
      <c r="AH49" s="289"/>
      <c r="AI49" s="363" t="e">
        <f t="shared" ref="AI49" si="125">AH49/E49</f>
        <v>#DIV/0!</v>
      </c>
      <c r="AJ49" s="323" t="e">
        <f t="shared" ref="AJ49" si="126">K49+M49+O49+Q49+S49+U49+W49+Y49+AA49+AC49+G49+I49+AI49+AE49+AG49</f>
        <v>#DIV/0!</v>
      </c>
      <c r="AK49" s="81">
        <v>0</v>
      </c>
      <c r="AL49" s="81"/>
      <c r="AM49" s="84">
        <f t="shared" ref="AM49" si="127">D49-AK49</f>
        <v>51011.23</v>
      </c>
      <c r="AN49" s="85"/>
      <c r="AO49" s="84">
        <f t="shared" ref="AO49" si="128">D49-AK49-AM49</f>
        <v>0</v>
      </c>
      <c r="AP49" s="81"/>
      <c r="AQ49" s="84">
        <f t="shared" ref="AQ49" si="129">D49-AK49-AM49-AO49</f>
        <v>0</v>
      </c>
      <c r="AR49" s="85"/>
      <c r="AS49" s="84">
        <f t="shared" ref="AS49" si="130">D49-AK49-AM49-AO49-AQ49</f>
        <v>0</v>
      </c>
      <c r="AT49" s="81"/>
      <c r="AU49" s="84">
        <f t="shared" ref="AU49" si="131">D49-AK49-AM49-AO49-AQ49-AS49</f>
        <v>0</v>
      </c>
      <c r="AV49" s="85"/>
      <c r="AW49" s="84">
        <f t="shared" ref="AW49" si="132">D49-AK49-AM49-AO49-AQ49-AS49-AU49</f>
        <v>0</v>
      </c>
      <c r="AX49" s="85"/>
      <c r="AY49" s="84">
        <f t="shared" ref="AY49" si="133">D49-AK49-AM49-AO49-AQ49-AS49-AU49-AW49</f>
        <v>0</v>
      </c>
      <c r="AZ49" s="85"/>
      <c r="BA49" s="84">
        <f t="shared" ref="BA49" si="134">D49-AK49-AM49-AO49-AQ49-AS49-AU49-AW49-AY49</f>
        <v>0</v>
      </c>
      <c r="BB49" s="85"/>
      <c r="BC49" s="84">
        <f t="shared" ref="BC49" si="135">D49-AK49-AM49-AO49-AQ49-AS49-AU49-AW49-AY49-BA49</f>
        <v>0</v>
      </c>
      <c r="BD49" s="85"/>
      <c r="BE49" s="84">
        <f t="shared" ref="BE49" si="136">D49-AK49-AM49-AO49-AQ49-AS49-AU49-AW49-AY49-BA49-BC49</f>
        <v>0</v>
      </c>
      <c r="BF49" s="85"/>
      <c r="BG49" s="84">
        <f t="shared" ref="BG49" si="137">D49-AK49-AM49-AO49-AQ49-AS49-AU49-AW49-AY49-BA49-BC49-BE49</f>
        <v>0</v>
      </c>
      <c r="BH49" s="81"/>
      <c r="BI49" s="214">
        <f t="shared" ref="BI49" si="138">D49-AK49-AM49-AO49-AQ49-AS49-AU49-AW49-AY49-BA49-BC49-BE49-BG49</f>
        <v>0</v>
      </c>
      <c r="BL49" s="69">
        <v>10000</v>
      </c>
    </row>
    <row r="50" spans="1:64" x14ac:dyDescent="0.35">
      <c r="A50" s="159" t="s">
        <v>798</v>
      </c>
      <c r="B50" s="180"/>
      <c r="C50" s="83">
        <v>79029.81</v>
      </c>
      <c r="D50" s="142"/>
      <c r="E50" s="304"/>
      <c r="F50" s="289"/>
      <c r="G50" s="363" t="e">
        <f t="shared" ref="G50" si="139">F50/E50</f>
        <v>#DIV/0!</v>
      </c>
      <c r="H50" s="287"/>
      <c r="I50" s="313" t="e">
        <f t="shared" ref="I50" si="140">H50/E50</f>
        <v>#DIV/0!</v>
      </c>
      <c r="J50" s="287"/>
      <c r="K50" s="288" t="e">
        <f t="shared" ref="K50" si="141">J50/E50</f>
        <v>#DIV/0!</v>
      </c>
      <c r="L50" s="289"/>
      <c r="M50" s="290" t="e">
        <f t="shared" ref="M50" si="142">L50/E50</f>
        <v>#DIV/0!</v>
      </c>
      <c r="N50" s="287"/>
      <c r="O50" s="288" t="e">
        <f t="shared" ref="O50" si="143">N50/E50</f>
        <v>#DIV/0!</v>
      </c>
      <c r="P50" s="289"/>
      <c r="Q50" s="290" t="e">
        <f t="shared" ref="Q50" si="144">P50/E50</f>
        <v>#DIV/0!</v>
      </c>
      <c r="R50" s="287"/>
      <c r="S50" s="288" t="e">
        <f t="shared" ref="S50" si="145">R50/E50</f>
        <v>#DIV/0!</v>
      </c>
      <c r="T50" s="287"/>
      <c r="U50" s="288" t="e">
        <f t="shared" ref="U50" si="146">T50/E50</f>
        <v>#DIV/0!</v>
      </c>
      <c r="V50" s="289"/>
      <c r="W50" s="290" t="e">
        <f t="shared" ref="W50" si="147">V50/E50</f>
        <v>#DIV/0!</v>
      </c>
      <c r="X50" s="287"/>
      <c r="Y50" s="313" t="e">
        <f t="shared" ref="Y50" si="148">X50/E50</f>
        <v>#DIV/0!</v>
      </c>
      <c r="Z50" s="289"/>
      <c r="AA50" s="363" t="e">
        <f t="shared" ref="AA50" si="149">Z50/E50</f>
        <v>#DIV/0!</v>
      </c>
      <c r="AB50" s="287"/>
      <c r="AC50" s="313" t="e">
        <f t="shared" ref="AC50" si="150">AB50/E50</f>
        <v>#DIV/0!</v>
      </c>
      <c r="AD50" s="289"/>
      <c r="AE50" s="363" t="e">
        <f t="shared" ref="AE50" si="151">AD50/E50</f>
        <v>#DIV/0!</v>
      </c>
      <c r="AF50" s="287"/>
      <c r="AG50" s="313" t="e">
        <f t="shared" ref="AG50" si="152">AF50/E50</f>
        <v>#DIV/0!</v>
      </c>
      <c r="AH50" s="289"/>
      <c r="AI50" s="363" t="e">
        <f t="shared" ref="AI50" si="153">AH50/E50</f>
        <v>#DIV/0!</v>
      </c>
      <c r="AJ50" s="323" t="e">
        <f t="shared" ref="AJ50" si="154">K50+M50+O50+Q50+S50+U50+W50+Y50+AA50+AC50+G50+I50+AI50+AE50+AG50</f>
        <v>#DIV/0!</v>
      </c>
      <c r="AK50" s="81">
        <v>0</v>
      </c>
      <c r="AL50" s="81"/>
      <c r="AM50" s="84">
        <f t="shared" ref="AM50" si="155">D50-AK50</f>
        <v>0</v>
      </c>
      <c r="AN50" s="85"/>
      <c r="AO50" s="84">
        <f t="shared" ref="AO50" si="156">D50-AK50-AM50</f>
        <v>0</v>
      </c>
      <c r="AP50" s="81"/>
      <c r="AQ50" s="84">
        <f t="shared" ref="AQ50" si="157">D50-AK50-AM50-AO50</f>
        <v>0</v>
      </c>
      <c r="AR50" s="85"/>
      <c r="AS50" s="84">
        <f t="shared" ref="AS50" si="158">D50-AK50-AM50-AO50-AQ50</f>
        <v>0</v>
      </c>
      <c r="AT50" s="81"/>
      <c r="AU50" s="84">
        <f t="shared" ref="AU50" si="159">D50-AK50-AM50-AO50-AQ50-AS50</f>
        <v>0</v>
      </c>
      <c r="AV50" s="85"/>
      <c r="AW50" s="84">
        <f t="shared" ref="AW50" si="160">D50-AK50-AM50-AO50-AQ50-AS50-AU50</f>
        <v>0</v>
      </c>
      <c r="AX50" s="85"/>
      <c r="AY50" s="84">
        <f t="shared" ref="AY50" si="161">D50-AK50-AM50-AO50-AQ50-AS50-AU50-AW50</f>
        <v>0</v>
      </c>
      <c r="AZ50" s="85"/>
      <c r="BA50" s="84">
        <f t="shared" ref="BA50" si="162">D50-AK50-AM50-AO50-AQ50-AS50-AU50-AW50-AY50</f>
        <v>0</v>
      </c>
      <c r="BB50" s="85"/>
      <c r="BC50" s="84">
        <f t="shared" ref="BC50" si="163">D50-AK50-AM50-AO50-AQ50-AS50-AU50-AW50-AY50-BA50</f>
        <v>0</v>
      </c>
      <c r="BD50" s="85"/>
      <c r="BE50" s="84">
        <f t="shared" ref="BE50" si="164">D50-AK50-AM50-AO50-AQ50-AS50-AU50-AW50-AY50-BA50-BC50</f>
        <v>0</v>
      </c>
      <c r="BF50" s="85"/>
      <c r="BG50" s="84">
        <f t="shared" ref="BG50" si="165">D50-AK50-AM50-AO50-AQ50-AS50-AU50-AW50-AY50-BA50-BC50-BE50</f>
        <v>0</v>
      </c>
      <c r="BH50" s="81"/>
      <c r="BI50" s="214">
        <f t="shared" ref="BI50" si="166">D50-AK50-AM50-AO50-AQ50-AS50-AU50-AW50-AY50-BA50-BC50-BE50-BG50</f>
        <v>0</v>
      </c>
    </row>
    <row r="51" spans="1:64" x14ac:dyDescent="0.35">
      <c r="A51" s="159" t="s">
        <v>365</v>
      </c>
      <c r="B51" s="180"/>
      <c r="C51" s="83">
        <f>1521.48+14328.98+4045.67+33310.13+499.56</f>
        <v>53705.819999999992</v>
      </c>
      <c r="D51" s="105">
        <f>C51</f>
        <v>53705.819999999992</v>
      </c>
      <c r="E51" s="304">
        <f>D51</f>
        <v>53705.819999999992</v>
      </c>
      <c r="F51" s="289">
        <v>1800</v>
      </c>
      <c r="G51" s="363">
        <f t="shared" ref="G51" si="167">F51/E51</f>
        <v>3.3515920620893605E-2</v>
      </c>
      <c r="H51" s="287"/>
      <c r="I51" s="313">
        <f t="shared" ref="I51" si="168">H51/E51</f>
        <v>0</v>
      </c>
      <c r="J51" s="287">
        <v>4469.8900000000003</v>
      </c>
      <c r="K51" s="288">
        <f t="shared" ref="K51" si="169">J51/E51</f>
        <v>8.3229154680070069E-2</v>
      </c>
      <c r="L51" s="289">
        <v>6547.95</v>
      </c>
      <c r="M51" s="290">
        <f t="shared" ref="M51" si="170">L51/E51</f>
        <v>0.12192254023865572</v>
      </c>
      <c r="N51" s="287">
        <v>14430.23</v>
      </c>
      <c r="O51" s="288">
        <f t="shared" ref="O51" si="171">N51/E51</f>
        <v>0.26869024623402082</v>
      </c>
      <c r="P51" s="289"/>
      <c r="Q51" s="290">
        <f t="shared" ref="Q51" si="172">P51/E51</f>
        <v>0</v>
      </c>
      <c r="R51" s="287">
        <v>1815.31</v>
      </c>
      <c r="S51" s="288">
        <f t="shared" ref="S51" si="173">R51/E51</f>
        <v>3.3800992145730208E-2</v>
      </c>
      <c r="T51" s="287">
        <v>3820.12</v>
      </c>
      <c r="U51" s="288">
        <f t="shared" ref="U51" si="174">T51/E51</f>
        <v>7.1130465934604495E-2</v>
      </c>
      <c r="V51" s="289"/>
      <c r="W51" s="290">
        <f t="shared" ref="W51" si="175">V51/E51</f>
        <v>0</v>
      </c>
      <c r="X51" s="287"/>
      <c r="Y51" s="313">
        <f t="shared" ref="Y51" si="176">X51/E51</f>
        <v>0</v>
      </c>
      <c r="Z51" s="289"/>
      <c r="AA51" s="363">
        <f t="shared" ref="AA51" si="177">Z51/E51</f>
        <v>0</v>
      </c>
      <c r="AB51" s="287">
        <v>8964.3799999999992</v>
      </c>
      <c r="AC51" s="313">
        <f t="shared" ref="AC51" si="178">AB51/E51</f>
        <v>0.16691636027529233</v>
      </c>
      <c r="AD51" s="289">
        <v>1076.25</v>
      </c>
      <c r="AE51" s="363">
        <f t="shared" ref="AE51" si="179">AD51/E51</f>
        <v>2.0039727537909301E-2</v>
      </c>
      <c r="AF51" s="287">
        <v>225.55</v>
      </c>
      <c r="AG51" s="313">
        <f t="shared" ref="AG51" si="180">AF51/E51</f>
        <v>4.1997310533569742E-3</v>
      </c>
      <c r="AH51" s="289">
        <v>10008.25</v>
      </c>
      <c r="AI51" s="363">
        <f t="shared" ref="AI51" si="181">AH51/E51</f>
        <v>0.18635317364114357</v>
      </c>
      <c r="AJ51" s="323">
        <f t="shared" ref="AJ51" si="182">K51+M51+O51+Q51+S51+U51+W51+Y51+AA51+AC51+G51+I51+AI51+AE51+AG51</f>
        <v>0.98979831236167704</v>
      </c>
      <c r="AK51" s="81">
        <v>0</v>
      </c>
      <c r="AL51" s="81"/>
      <c r="AM51" s="84">
        <v>0</v>
      </c>
      <c r="AN51" s="85"/>
      <c r="AO51" s="84">
        <v>0</v>
      </c>
      <c r="AP51" s="81"/>
      <c r="AQ51" s="84">
        <v>0</v>
      </c>
      <c r="AR51" s="85"/>
      <c r="AS51" s="84">
        <v>0</v>
      </c>
      <c r="AT51" s="81"/>
      <c r="AU51" s="84">
        <v>0</v>
      </c>
      <c r="AV51" s="85"/>
      <c r="AW51" s="84">
        <v>0</v>
      </c>
      <c r="AX51" s="85"/>
      <c r="AY51" s="84">
        <v>0</v>
      </c>
      <c r="AZ51" s="85"/>
      <c r="BA51" s="84">
        <v>0</v>
      </c>
      <c r="BB51" s="85"/>
      <c r="BC51" s="84">
        <v>0</v>
      </c>
      <c r="BD51" s="85"/>
      <c r="BE51" s="84">
        <v>0</v>
      </c>
      <c r="BF51" s="85"/>
      <c r="BG51" s="230">
        <f>BH51</f>
        <v>13836.57</v>
      </c>
      <c r="BH51" s="195">
        <f>13838.57-13838.57+9017.41+4819.16</f>
        <v>13836.57</v>
      </c>
      <c r="BI51" s="214">
        <f t="shared" ref="BI51" si="183">D51-AK51-AM51-AO51-AQ51-AS51-AU51-AW51-AY51-BA51-BC51-BE51-BG51</f>
        <v>39869.249999999993</v>
      </c>
    </row>
    <row r="52" spans="1:64" x14ac:dyDescent="0.35">
      <c r="A52" s="159" t="s">
        <v>788</v>
      </c>
      <c r="B52" s="180"/>
      <c r="C52" s="83">
        <v>76200</v>
      </c>
      <c r="D52" s="142"/>
      <c r="E52" s="304"/>
      <c r="F52" s="289"/>
      <c r="G52" s="363" t="e">
        <f t="shared" ref="G52" si="184">F52/E52</f>
        <v>#DIV/0!</v>
      </c>
      <c r="H52" s="287"/>
      <c r="I52" s="313" t="e">
        <f t="shared" ref="I52" si="185">H52/E52</f>
        <v>#DIV/0!</v>
      </c>
      <c r="J52" s="287"/>
      <c r="K52" s="288" t="e">
        <f t="shared" ref="K52" si="186">J52/E52</f>
        <v>#DIV/0!</v>
      </c>
      <c r="L52" s="289"/>
      <c r="M52" s="290" t="e">
        <f t="shared" ref="M52" si="187">L52/E52</f>
        <v>#DIV/0!</v>
      </c>
      <c r="N52" s="287"/>
      <c r="O52" s="288" t="e">
        <f t="shared" ref="O52" si="188">N52/E52</f>
        <v>#DIV/0!</v>
      </c>
      <c r="P52" s="289"/>
      <c r="Q52" s="290" t="e">
        <f t="shared" ref="Q52" si="189">P52/E52</f>
        <v>#DIV/0!</v>
      </c>
      <c r="R52" s="287"/>
      <c r="S52" s="288" t="e">
        <f t="shared" ref="S52" si="190">R52/E52</f>
        <v>#DIV/0!</v>
      </c>
      <c r="T52" s="287"/>
      <c r="U52" s="288" t="e">
        <f t="shared" ref="U52" si="191">T52/E52</f>
        <v>#DIV/0!</v>
      </c>
      <c r="V52" s="289"/>
      <c r="W52" s="290" t="e">
        <f t="shared" ref="W52" si="192">V52/E52</f>
        <v>#DIV/0!</v>
      </c>
      <c r="X52" s="287"/>
      <c r="Y52" s="313" t="e">
        <f t="shared" ref="Y52" si="193">X52/E52</f>
        <v>#DIV/0!</v>
      </c>
      <c r="Z52" s="289"/>
      <c r="AA52" s="363" t="e">
        <f t="shared" ref="AA52" si="194">Z52/E52</f>
        <v>#DIV/0!</v>
      </c>
      <c r="AB52" s="287"/>
      <c r="AC52" s="313" t="e">
        <f t="shared" ref="AC52" si="195">AB52/E52</f>
        <v>#DIV/0!</v>
      </c>
      <c r="AD52" s="289"/>
      <c r="AE52" s="363" t="e">
        <f t="shared" ref="AE52" si="196">AD52/E52</f>
        <v>#DIV/0!</v>
      </c>
      <c r="AF52" s="287"/>
      <c r="AG52" s="313" t="e">
        <f t="shared" ref="AG52" si="197">AF52/E52</f>
        <v>#DIV/0!</v>
      </c>
      <c r="AH52" s="289"/>
      <c r="AI52" s="363" t="e">
        <f t="shared" ref="AI52" si="198">AH52/E52</f>
        <v>#DIV/0!</v>
      </c>
      <c r="AJ52" s="323" t="e">
        <f t="shared" ref="AJ52" si="199">K52+M52+O52+Q52+S52+U52+W52+Y52+AA52+AC52+G52+I52+AI52+AE52+AG52</f>
        <v>#DIV/0!</v>
      </c>
      <c r="AK52" s="81">
        <v>0</v>
      </c>
      <c r="AL52" s="81"/>
      <c r="AM52" s="84">
        <f t="shared" ref="AM52" si="200">D52-AK52</f>
        <v>0</v>
      </c>
      <c r="AN52" s="85"/>
      <c r="AO52" s="84">
        <f t="shared" ref="AO52" si="201">D52-AK52-AM52</f>
        <v>0</v>
      </c>
      <c r="AP52" s="81"/>
      <c r="AQ52" s="84">
        <f t="shared" ref="AQ52" si="202">D52-AK52-AM52-AO52</f>
        <v>0</v>
      </c>
      <c r="AR52" s="85"/>
      <c r="AS52" s="84">
        <f t="shared" ref="AS52" si="203">D52-AK52-AM52-AO52-AQ52</f>
        <v>0</v>
      </c>
      <c r="AT52" s="81"/>
      <c r="AU52" s="84">
        <f t="shared" ref="AU52" si="204">D52-AK52-AM52-AO52-AQ52-AS52</f>
        <v>0</v>
      </c>
      <c r="AV52" s="85"/>
      <c r="AW52" s="84">
        <f t="shared" ref="AW52" si="205">D52-AK52-AM52-AO52-AQ52-AS52-AU52</f>
        <v>0</v>
      </c>
      <c r="AX52" s="85"/>
      <c r="AY52" s="84">
        <f t="shared" ref="AY52" si="206">D52-AK52-AM52-AO52-AQ52-AS52-AU52-AW52</f>
        <v>0</v>
      </c>
      <c r="AZ52" s="85"/>
      <c r="BA52" s="84">
        <f t="shared" ref="BA52" si="207">D52-AK52-AM52-AO52-AQ52-AS52-AU52-AW52-AY52</f>
        <v>0</v>
      </c>
      <c r="BB52" s="85"/>
      <c r="BC52" s="84">
        <f t="shared" ref="BC52" si="208">D52-AK52-AM52-AO52-AQ52-AS52-AU52-AW52-AY52-BA52</f>
        <v>0</v>
      </c>
      <c r="BD52" s="85"/>
      <c r="BE52" s="84">
        <f t="shared" ref="BE52" si="209">D52-AK52-AM52-AO52-AQ52-AS52-AU52-AW52-AY52-BA52-BC52</f>
        <v>0</v>
      </c>
      <c r="BF52" s="85"/>
      <c r="BG52" s="84">
        <f t="shared" ref="BG52" si="210">D52-AK52-AM52-AO52-AQ52-AS52-AU52-AW52-AY52-BA52-BC52-BE52</f>
        <v>0</v>
      </c>
      <c r="BH52" s="81"/>
      <c r="BI52" s="214">
        <f t="shared" ref="BI52" si="211">D52-AK52-AM52-AO52-AQ52-AS52-AU52-AW52-AY52-BA52-BC52-BE52-BG52</f>
        <v>0</v>
      </c>
    </row>
    <row r="53" spans="1:64" x14ac:dyDescent="0.35">
      <c r="A53" s="159" t="s">
        <v>379</v>
      </c>
      <c r="B53" s="180"/>
      <c r="C53" s="83">
        <v>170194.09</v>
      </c>
      <c r="D53" s="142"/>
      <c r="E53" s="304"/>
      <c r="F53" s="289"/>
      <c r="G53" s="363"/>
      <c r="H53" s="287"/>
      <c r="I53" s="313"/>
      <c r="J53" s="287"/>
      <c r="K53" s="288"/>
      <c r="L53" s="289"/>
      <c r="M53" s="290"/>
      <c r="N53" s="287"/>
      <c r="O53" s="288"/>
      <c r="P53" s="289"/>
      <c r="Q53" s="290"/>
      <c r="R53" s="287"/>
      <c r="S53" s="288"/>
      <c r="T53" s="287"/>
      <c r="U53" s="288"/>
      <c r="V53" s="289"/>
      <c r="W53" s="290"/>
      <c r="X53" s="287"/>
      <c r="Y53" s="313"/>
      <c r="Z53" s="289"/>
      <c r="AA53" s="363"/>
      <c r="AB53" s="287"/>
      <c r="AC53" s="313"/>
      <c r="AD53" s="289"/>
      <c r="AE53" s="363"/>
      <c r="AF53" s="287"/>
      <c r="AG53" s="313"/>
      <c r="AH53" s="289"/>
      <c r="AI53" s="363"/>
      <c r="AJ53" s="323"/>
      <c r="AK53" s="81"/>
      <c r="AL53" s="81"/>
      <c r="AM53" s="84"/>
      <c r="AN53" s="85"/>
      <c r="AO53" s="84"/>
      <c r="AP53" s="81"/>
      <c r="AQ53" s="84"/>
      <c r="AR53" s="85"/>
      <c r="AS53" s="84"/>
      <c r="AT53" s="81"/>
      <c r="AU53" s="84"/>
      <c r="AV53" s="85"/>
      <c r="AW53" s="84"/>
      <c r="AX53" s="85"/>
      <c r="AY53" s="84"/>
      <c r="AZ53" s="85"/>
      <c r="BA53" s="84"/>
      <c r="BB53" s="85"/>
      <c r="BC53" s="84"/>
      <c r="BD53" s="85"/>
      <c r="BE53" s="84"/>
      <c r="BF53" s="85"/>
      <c r="BG53" s="84"/>
      <c r="BH53" s="81"/>
      <c r="BI53" s="214"/>
    </row>
    <row r="54" spans="1:64" x14ac:dyDescent="0.35">
      <c r="A54" s="159" t="s">
        <v>785</v>
      </c>
      <c r="B54" s="180"/>
      <c r="C54" s="83">
        <v>32659.64</v>
      </c>
      <c r="D54" s="107">
        <f>C54</f>
        <v>32659.64</v>
      </c>
      <c r="E54" s="304">
        <f>D54</f>
        <v>32659.64</v>
      </c>
      <c r="F54" s="289">
        <v>1800</v>
      </c>
      <c r="G54" s="363">
        <f t="shared" ref="G54" si="212">F54/E54</f>
        <v>5.5113895927817944E-2</v>
      </c>
      <c r="H54" s="287">
        <v>1200.21</v>
      </c>
      <c r="I54" s="313">
        <f t="shared" ref="I54" si="213">H54/E54</f>
        <v>3.6749027239736873E-2</v>
      </c>
      <c r="J54" s="287">
        <v>4215.34</v>
      </c>
      <c r="K54" s="288">
        <f t="shared" ref="K54" si="214">J54/E54</f>
        <v>0.12906878336687116</v>
      </c>
      <c r="L54" s="289">
        <v>3451.75</v>
      </c>
      <c r="M54" s="290">
        <f t="shared" ref="M54" si="215">L54/E54</f>
        <v>0.10568855014935866</v>
      </c>
      <c r="N54" s="287">
        <v>6532.68</v>
      </c>
      <c r="O54" s="288">
        <f t="shared" ref="O54" si="216">N54/E54</f>
        <v>0.20002302536096542</v>
      </c>
      <c r="P54" s="289">
        <v>1264.53</v>
      </c>
      <c r="Q54" s="290">
        <f t="shared" ref="Q54" si="217">P54/E54</f>
        <v>3.8718430454224233E-2</v>
      </c>
      <c r="R54" s="287">
        <v>2498.7199999999998</v>
      </c>
      <c r="S54" s="288">
        <f t="shared" ref="S54" si="218">R54/E54</f>
        <v>7.6507885573754028E-2</v>
      </c>
      <c r="T54" s="287">
        <v>2367.81</v>
      </c>
      <c r="U54" s="288">
        <f t="shared" ref="U54" si="219">T54/E54</f>
        <v>7.2499574398248112E-2</v>
      </c>
      <c r="V54" s="289">
        <v>4547.99</v>
      </c>
      <c r="W54" s="290">
        <f t="shared" ref="W54" si="220">V54/E54</f>
        <v>0.13925413752264262</v>
      </c>
      <c r="X54" s="287"/>
      <c r="Y54" s="313">
        <f t="shared" ref="Y54" si="221">X54/E54</f>
        <v>0</v>
      </c>
      <c r="Z54" s="289"/>
      <c r="AA54" s="363">
        <f t="shared" ref="AA54" si="222">Z54/E54</f>
        <v>0</v>
      </c>
      <c r="AB54" s="287"/>
      <c r="AC54" s="313">
        <f t="shared" ref="AC54" si="223">AB54/E54</f>
        <v>0</v>
      </c>
      <c r="AD54" s="289"/>
      <c r="AE54" s="363">
        <f t="shared" ref="AE54" si="224">AD54/E54</f>
        <v>0</v>
      </c>
      <c r="AF54" s="287">
        <v>260</v>
      </c>
      <c r="AG54" s="313">
        <f t="shared" ref="AG54" si="225">AF54/E54</f>
        <v>7.9608960784625926E-3</v>
      </c>
      <c r="AH54" s="289">
        <v>4513.79</v>
      </c>
      <c r="AI54" s="363">
        <f t="shared" ref="AI54" si="226">AH54/E54</f>
        <v>0.1382069735000141</v>
      </c>
      <c r="AJ54" s="323">
        <f t="shared" ref="AJ54" si="227">K54+M54+O54+Q54+S54+U54+W54+Y54+AA54+AC54+G54+I54+AI54+AE54+AG54</f>
        <v>0.99979117957209573</v>
      </c>
      <c r="AK54" s="81">
        <v>0</v>
      </c>
      <c r="AL54" s="81"/>
      <c r="AM54" s="84">
        <v>0</v>
      </c>
      <c r="AN54" s="85"/>
      <c r="AO54" s="84">
        <v>0</v>
      </c>
      <c r="AP54" s="81"/>
      <c r="AQ54" s="84">
        <v>0</v>
      </c>
      <c r="AR54" s="85"/>
      <c r="AS54" s="84">
        <v>0</v>
      </c>
      <c r="AT54" s="81"/>
      <c r="AU54" s="84">
        <v>0</v>
      </c>
      <c r="AV54" s="85"/>
      <c r="AW54" s="84">
        <v>0</v>
      </c>
      <c r="AX54" s="85"/>
      <c r="AY54" s="84">
        <v>0</v>
      </c>
      <c r="AZ54" s="85"/>
      <c r="BA54" s="84">
        <v>0</v>
      </c>
      <c r="BB54" s="85"/>
      <c r="BC54" s="84">
        <v>0</v>
      </c>
      <c r="BD54" s="85"/>
      <c r="BE54" s="84">
        <v>0</v>
      </c>
      <c r="BF54" s="85"/>
      <c r="BG54" s="230">
        <f>BH54</f>
        <v>6114.23</v>
      </c>
      <c r="BH54" s="195">
        <v>6114.23</v>
      </c>
      <c r="BI54" s="214">
        <f t="shared" ref="BI54" si="228">D54-AK54-AM54-AO54-AQ54-AS54-AU54-AW54-AY54-BA54-BC54-BE54-BG54</f>
        <v>26545.41</v>
      </c>
      <c r="BJ54" s="69">
        <v>15000</v>
      </c>
      <c r="BK54" s="69">
        <v>9539</v>
      </c>
    </row>
    <row r="55" spans="1:64" x14ac:dyDescent="0.35">
      <c r="A55" s="159" t="s">
        <v>784</v>
      </c>
      <c r="B55" s="180"/>
      <c r="C55" s="83">
        <v>45000</v>
      </c>
      <c r="D55" s="142">
        <v>45000</v>
      </c>
      <c r="E55" s="304"/>
      <c r="F55" s="289"/>
      <c r="G55" s="363" t="e">
        <f t="shared" ref="G55" si="229">F55/E55</f>
        <v>#DIV/0!</v>
      </c>
      <c r="H55" s="287"/>
      <c r="I55" s="313" t="e">
        <f t="shared" ref="I55" si="230">H55/E55</f>
        <v>#DIV/0!</v>
      </c>
      <c r="J55" s="287"/>
      <c r="K55" s="288" t="e">
        <f t="shared" ref="K55" si="231">J55/E55</f>
        <v>#DIV/0!</v>
      </c>
      <c r="L55" s="289"/>
      <c r="M55" s="290" t="e">
        <f t="shared" ref="M55" si="232">L55/E55</f>
        <v>#DIV/0!</v>
      </c>
      <c r="N55" s="287"/>
      <c r="O55" s="288" t="e">
        <f t="shared" ref="O55" si="233">N55/E55</f>
        <v>#DIV/0!</v>
      </c>
      <c r="P55" s="289"/>
      <c r="Q55" s="290" t="e">
        <f t="shared" ref="Q55" si="234">P55/E55</f>
        <v>#DIV/0!</v>
      </c>
      <c r="R55" s="287"/>
      <c r="S55" s="288" t="e">
        <f t="shared" ref="S55" si="235">R55/E55</f>
        <v>#DIV/0!</v>
      </c>
      <c r="T55" s="287"/>
      <c r="U55" s="288" t="e">
        <f t="shared" ref="U55" si="236">T55/E55</f>
        <v>#DIV/0!</v>
      </c>
      <c r="V55" s="289"/>
      <c r="W55" s="290" t="e">
        <f t="shared" ref="W55" si="237">V55/E55</f>
        <v>#DIV/0!</v>
      </c>
      <c r="X55" s="287"/>
      <c r="Y55" s="313" t="e">
        <f t="shared" ref="Y55" si="238">X55/E55</f>
        <v>#DIV/0!</v>
      </c>
      <c r="Z55" s="289"/>
      <c r="AA55" s="363" t="e">
        <f t="shared" ref="AA55" si="239">Z55/E55</f>
        <v>#DIV/0!</v>
      </c>
      <c r="AB55" s="287"/>
      <c r="AC55" s="313" t="e">
        <f t="shared" ref="AC55" si="240">AB55/E55</f>
        <v>#DIV/0!</v>
      </c>
      <c r="AD55" s="289"/>
      <c r="AE55" s="363" t="e">
        <f t="shared" ref="AE55" si="241">AD55/E55</f>
        <v>#DIV/0!</v>
      </c>
      <c r="AF55" s="287"/>
      <c r="AG55" s="313" t="e">
        <f t="shared" ref="AG55" si="242">AF55/E55</f>
        <v>#DIV/0!</v>
      </c>
      <c r="AH55" s="289"/>
      <c r="AI55" s="363" t="e">
        <f t="shared" ref="AI55" si="243">AH55/E55</f>
        <v>#DIV/0!</v>
      </c>
      <c r="AJ55" s="323" t="e">
        <f t="shared" ref="AJ55" si="244">K55+M55+O55+Q55+S55+U55+W55+Y55+AA55+AC55+G55+I55+AI55+AE55+AG55</f>
        <v>#DIV/0!</v>
      </c>
      <c r="AK55" s="81">
        <v>0</v>
      </c>
      <c r="AL55" s="81"/>
      <c r="AM55" s="84">
        <v>0</v>
      </c>
      <c r="AN55" s="85"/>
      <c r="AO55" s="84">
        <v>0</v>
      </c>
      <c r="AP55" s="81"/>
      <c r="AQ55" s="84">
        <v>0</v>
      </c>
      <c r="AR55" s="85"/>
      <c r="AS55" s="84">
        <v>0</v>
      </c>
      <c r="AT55" s="81"/>
      <c r="AU55" s="84">
        <v>0</v>
      </c>
      <c r="AV55" s="85"/>
      <c r="AW55" s="84">
        <v>0</v>
      </c>
      <c r="AX55" s="85"/>
      <c r="AY55" s="84">
        <v>0</v>
      </c>
      <c r="AZ55" s="85"/>
      <c r="BA55" s="84">
        <v>0</v>
      </c>
      <c r="BB55" s="85"/>
      <c r="BC55" s="84">
        <v>0</v>
      </c>
      <c r="BD55" s="85"/>
      <c r="BE55" s="84">
        <v>0</v>
      </c>
      <c r="BF55" s="85"/>
      <c r="BG55" s="84">
        <v>0</v>
      </c>
      <c r="BH55" s="81"/>
      <c r="BI55" s="214">
        <f t="shared" ref="BI55" si="245">D55-AK55-AM55-AO55-AQ55-AS55-AU55-AW55-AY55-BA55-BC55-BE55-BG55</f>
        <v>45000</v>
      </c>
    </row>
    <row r="56" spans="1:64" x14ac:dyDescent="0.35">
      <c r="A56" s="159" t="s">
        <v>783</v>
      </c>
      <c r="B56" s="180"/>
      <c r="C56" s="83">
        <v>52395.31</v>
      </c>
      <c r="D56" s="142">
        <f>C56</f>
        <v>52395.31</v>
      </c>
      <c r="E56" s="304"/>
      <c r="F56" s="289"/>
      <c r="G56" s="363" t="e">
        <f t="shared" ref="G56" si="246">F56/E56</f>
        <v>#DIV/0!</v>
      </c>
      <c r="H56" s="287"/>
      <c r="I56" s="313" t="e">
        <f t="shared" ref="I56" si="247">H56/E56</f>
        <v>#DIV/0!</v>
      </c>
      <c r="J56" s="287"/>
      <c r="K56" s="288" t="e">
        <f t="shared" ref="K56" si="248">J56/E56</f>
        <v>#DIV/0!</v>
      </c>
      <c r="L56" s="289"/>
      <c r="M56" s="290" t="e">
        <f t="shared" ref="M56" si="249">L56/E56</f>
        <v>#DIV/0!</v>
      </c>
      <c r="N56" s="287"/>
      <c r="O56" s="288" t="e">
        <f t="shared" ref="O56" si="250">N56/E56</f>
        <v>#DIV/0!</v>
      </c>
      <c r="P56" s="289"/>
      <c r="Q56" s="290" t="e">
        <f t="shared" ref="Q56" si="251">P56/E56</f>
        <v>#DIV/0!</v>
      </c>
      <c r="R56" s="287"/>
      <c r="S56" s="288" t="e">
        <f t="shared" ref="S56" si="252">R56/E56</f>
        <v>#DIV/0!</v>
      </c>
      <c r="T56" s="287"/>
      <c r="U56" s="288" t="e">
        <f t="shared" ref="U56" si="253">T56/E56</f>
        <v>#DIV/0!</v>
      </c>
      <c r="V56" s="289"/>
      <c r="W56" s="290" t="e">
        <f t="shared" ref="W56" si="254">V56/E56</f>
        <v>#DIV/0!</v>
      </c>
      <c r="X56" s="287"/>
      <c r="Y56" s="313" t="e">
        <f t="shared" ref="Y56" si="255">X56/E56</f>
        <v>#DIV/0!</v>
      </c>
      <c r="Z56" s="289"/>
      <c r="AA56" s="363" t="e">
        <f t="shared" ref="AA56" si="256">Z56/E56</f>
        <v>#DIV/0!</v>
      </c>
      <c r="AB56" s="287"/>
      <c r="AC56" s="313" t="e">
        <f t="shared" ref="AC56" si="257">AB56/E56</f>
        <v>#DIV/0!</v>
      </c>
      <c r="AD56" s="289"/>
      <c r="AE56" s="363" t="e">
        <f t="shared" ref="AE56" si="258">AD56/E56</f>
        <v>#DIV/0!</v>
      </c>
      <c r="AF56" s="287"/>
      <c r="AG56" s="313" t="e">
        <f t="shared" ref="AG56" si="259">AF56/E56</f>
        <v>#DIV/0!</v>
      </c>
      <c r="AH56" s="289"/>
      <c r="AI56" s="363" t="e">
        <f t="shared" ref="AI56" si="260">AH56/E56</f>
        <v>#DIV/0!</v>
      </c>
      <c r="AJ56" s="323" t="e">
        <f t="shared" ref="AJ56" si="261">K56+M56+O56+Q56+S56+U56+W56+Y56+AA56+AC56+G56+I56+AI56+AE56+AG56</f>
        <v>#DIV/0!</v>
      </c>
      <c r="AK56" s="81">
        <v>0</v>
      </c>
      <c r="AL56" s="81"/>
      <c r="AM56" s="84">
        <v>0</v>
      </c>
      <c r="AN56" s="85"/>
      <c r="AO56" s="84">
        <v>0</v>
      </c>
      <c r="AP56" s="81"/>
      <c r="AQ56" s="84">
        <v>0</v>
      </c>
      <c r="AR56" s="85"/>
      <c r="AS56" s="84">
        <v>0</v>
      </c>
      <c r="AT56" s="81"/>
      <c r="AU56" s="84">
        <v>0</v>
      </c>
      <c r="AV56" s="85"/>
      <c r="AW56" s="84">
        <v>0</v>
      </c>
      <c r="AX56" s="85"/>
      <c r="AY56" s="84">
        <v>0</v>
      </c>
      <c r="AZ56" s="85"/>
      <c r="BA56" s="84">
        <v>0</v>
      </c>
      <c r="BB56" s="85"/>
      <c r="BC56" s="84">
        <v>0</v>
      </c>
      <c r="BD56" s="85"/>
      <c r="BE56" s="84">
        <v>0</v>
      </c>
      <c r="BF56" s="85"/>
      <c r="BG56" s="84">
        <v>0</v>
      </c>
      <c r="BH56" s="81"/>
      <c r="BI56" s="214">
        <f t="shared" ref="BI56" si="262">D56-AK56-AM56-AO56-AQ56-AS56-AU56-AW56-AY56-BA56-BC56-BE56-BG56</f>
        <v>52395.31</v>
      </c>
    </row>
    <row r="57" spans="1:64" x14ac:dyDescent="0.35">
      <c r="A57" s="159" t="s">
        <v>782</v>
      </c>
      <c r="B57" s="180"/>
      <c r="C57" s="83">
        <v>42452.3</v>
      </c>
      <c r="D57" s="142">
        <f>C57</f>
        <v>42452.3</v>
      </c>
      <c r="E57" s="304"/>
      <c r="F57" s="289"/>
      <c r="G57" s="363" t="e">
        <f t="shared" ref="G57" si="263">F57/E57</f>
        <v>#DIV/0!</v>
      </c>
      <c r="H57" s="287"/>
      <c r="I57" s="313" t="e">
        <f t="shared" ref="I57" si="264">H57/E57</f>
        <v>#DIV/0!</v>
      </c>
      <c r="J57" s="287"/>
      <c r="K57" s="288" t="e">
        <f t="shared" ref="K57" si="265">J57/E57</f>
        <v>#DIV/0!</v>
      </c>
      <c r="L57" s="289"/>
      <c r="M57" s="290" t="e">
        <f t="shared" ref="M57" si="266">L57/E57</f>
        <v>#DIV/0!</v>
      </c>
      <c r="N57" s="287"/>
      <c r="O57" s="288" t="e">
        <f t="shared" ref="O57" si="267">N57/E57</f>
        <v>#DIV/0!</v>
      </c>
      <c r="P57" s="289"/>
      <c r="Q57" s="290" t="e">
        <f t="shared" ref="Q57" si="268">P57/E57</f>
        <v>#DIV/0!</v>
      </c>
      <c r="R57" s="287"/>
      <c r="S57" s="288" t="e">
        <f t="shared" ref="S57" si="269">R57/E57</f>
        <v>#DIV/0!</v>
      </c>
      <c r="T57" s="287"/>
      <c r="U57" s="288" t="e">
        <f t="shared" ref="U57" si="270">T57/E57</f>
        <v>#DIV/0!</v>
      </c>
      <c r="V57" s="289"/>
      <c r="W57" s="290" t="e">
        <f t="shared" ref="W57" si="271">V57/E57</f>
        <v>#DIV/0!</v>
      </c>
      <c r="X57" s="287"/>
      <c r="Y57" s="313" t="e">
        <f t="shared" ref="Y57" si="272">X57/E57</f>
        <v>#DIV/0!</v>
      </c>
      <c r="Z57" s="289"/>
      <c r="AA57" s="363" t="e">
        <f t="shared" ref="AA57" si="273">Z57/E57</f>
        <v>#DIV/0!</v>
      </c>
      <c r="AB57" s="287"/>
      <c r="AC57" s="313" t="e">
        <f t="shared" ref="AC57" si="274">AB57/E57</f>
        <v>#DIV/0!</v>
      </c>
      <c r="AD57" s="289"/>
      <c r="AE57" s="363" t="e">
        <f t="shared" ref="AE57" si="275">AD57/E57</f>
        <v>#DIV/0!</v>
      </c>
      <c r="AF57" s="287"/>
      <c r="AG57" s="313" t="e">
        <f t="shared" ref="AG57" si="276">AF57/E57</f>
        <v>#DIV/0!</v>
      </c>
      <c r="AH57" s="289"/>
      <c r="AI57" s="363" t="e">
        <f t="shared" ref="AI57" si="277">AH57/E57</f>
        <v>#DIV/0!</v>
      </c>
      <c r="AJ57" s="323" t="e">
        <f t="shared" ref="AJ57" si="278">K57+M57+O57+Q57+S57+U57+W57+Y57+AA57+AC57+G57+I57+AI57+AE57+AG57</f>
        <v>#DIV/0!</v>
      </c>
      <c r="AK57" s="81">
        <v>0</v>
      </c>
      <c r="AL57" s="81"/>
      <c r="AM57" s="84">
        <v>0</v>
      </c>
      <c r="AN57" s="85"/>
      <c r="AO57" s="84">
        <v>0</v>
      </c>
      <c r="AP57" s="81"/>
      <c r="AQ57" s="84">
        <v>0</v>
      </c>
      <c r="AR57" s="85"/>
      <c r="AS57" s="84">
        <v>0</v>
      </c>
      <c r="AT57" s="81"/>
      <c r="AU57" s="84">
        <v>0</v>
      </c>
      <c r="AV57" s="85"/>
      <c r="AW57" s="84">
        <v>0</v>
      </c>
      <c r="AX57" s="85"/>
      <c r="AY57" s="84">
        <v>0</v>
      </c>
      <c r="AZ57" s="85"/>
      <c r="BA57" s="84">
        <v>0</v>
      </c>
      <c r="BB57" s="85"/>
      <c r="BC57" s="84">
        <v>0</v>
      </c>
      <c r="BD57" s="85"/>
      <c r="BE57" s="84">
        <v>0</v>
      </c>
      <c r="BF57" s="85"/>
      <c r="BG57" s="84">
        <v>0</v>
      </c>
      <c r="BH57" s="81"/>
      <c r="BI57" s="214">
        <f t="shared" ref="BI57" si="279">D57-AK57-AM57-AO57-AQ57-AS57-AU57-AW57-AY57-BA57-BC57-BE57-BG57</f>
        <v>42452.3</v>
      </c>
    </row>
    <row r="58" spans="1:64" x14ac:dyDescent="0.35">
      <c r="A58" s="159" t="s">
        <v>797</v>
      </c>
      <c r="B58" s="180"/>
      <c r="C58" s="83">
        <v>97232.53</v>
      </c>
      <c r="D58" s="142"/>
      <c r="E58" s="304"/>
      <c r="F58" s="289"/>
      <c r="G58" s="363" t="e">
        <f t="shared" ref="G58" si="280">F58/E58</f>
        <v>#DIV/0!</v>
      </c>
      <c r="H58" s="287"/>
      <c r="I58" s="313" t="e">
        <f t="shared" ref="I58" si="281">H58/E58</f>
        <v>#DIV/0!</v>
      </c>
      <c r="J58" s="287"/>
      <c r="K58" s="288" t="e">
        <f t="shared" ref="K58" si="282">J58/E58</f>
        <v>#DIV/0!</v>
      </c>
      <c r="L58" s="289"/>
      <c r="M58" s="290" t="e">
        <f t="shared" ref="M58" si="283">L58/E58</f>
        <v>#DIV/0!</v>
      </c>
      <c r="N58" s="287"/>
      <c r="O58" s="288" t="e">
        <f t="shared" ref="O58" si="284">N58/E58</f>
        <v>#DIV/0!</v>
      </c>
      <c r="P58" s="289"/>
      <c r="Q58" s="290" t="e">
        <f t="shared" ref="Q58" si="285">P58/E58</f>
        <v>#DIV/0!</v>
      </c>
      <c r="R58" s="287"/>
      <c r="S58" s="288" t="e">
        <f t="shared" ref="S58" si="286">R58/E58</f>
        <v>#DIV/0!</v>
      </c>
      <c r="T58" s="287"/>
      <c r="U58" s="288" t="e">
        <f t="shared" ref="U58" si="287">T58/E58</f>
        <v>#DIV/0!</v>
      </c>
      <c r="V58" s="289"/>
      <c r="W58" s="290" t="e">
        <f t="shared" ref="W58" si="288">V58/E58</f>
        <v>#DIV/0!</v>
      </c>
      <c r="X58" s="287"/>
      <c r="Y58" s="313" t="e">
        <f t="shared" ref="Y58" si="289">X58/E58</f>
        <v>#DIV/0!</v>
      </c>
      <c r="Z58" s="289"/>
      <c r="AA58" s="363" t="e">
        <f t="shared" ref="AA58" si="290">Z58/E58</f>
        <v>#DIV/0!</v>
      </c>
      <c r="AB58" s="287"/>
      <c r="AC58" s="313" t="e">
        <f t="shared" ref="AC58" si="291">AB58/E58</f>
        <v>#DIV/0!</v>
      </c>
      <c r="AD58" s="289"/>
      <c r="AE58" s="363" t="e">
        <f t="shared" ref="AE58" si="292">AD58/E58</f>
        <v>#DIV/0!</v>
      </c>
      <c r="AF58" s="287"/>
      <c r="AG58" s="313" t="e">
        <f t="shared" ref="AG58" si="293">AF58/E58</f>
        <v>#DIV/0!</v>
      </c>
      <c r="AH58" s="289"/>
      <c r="AI58" s="363" t="e">
        <f t="shared" si="109"/>
        <v>#DIV/0!</v>
      </c>
      <c r="AJ58" s="323" t="e">
        <f t="shared" ref="AJ58" si="294">K58+M58+O58+Q58+S58+U58+W58+Y58+AA58+AC58+G58+I58+AI58+AE58+AG58</f>
        <v>#DIV/0!</v>
      </c>
      <c r="AK58" s="81">
        <v>0</v>
      </c>
      <c r="AL58" s="81"/>
      <c r="AM58" s="84">
        <v>0</v>
      </c>
      <c r="AN58" s="85"/>
      <c r="AO58" s="84">
        <v>0</v>
      </c>
      <c r="AP58" s="81"/>
      <c r="AQ58" s="84">
        <v>0</v>
      </c>
      <c r="AR58" s="85"/>
      <c r="AS58" s="84">
        <v>0</v>
      </c>
      <c r="AT58" s="81"/>
      <c r="AU58" s="84">
        <v>0</v>
      </c>
      <c r="AV58" s="85"/>
      <c r="AW58" s="84">
        <v>0</v>
      </c>
      <c r="AX58" s="85"/>
      <c r="AY58" s="84">
        <v>0</v>
      </c>
      <c r="AZ58" s="85"/>
      <c r="BA58" s="84">
        <v>0</v>
      </c>
      <c r="BB58" s="85"/>
      <c r="BC58" s="84">
        <v>0</v>
      </c>
      <c r="BD58" s="85"/>
      <c r="BE58" s="84">
        <v>0</v>
      </c>
      <c r="BF58" s="85"/>
      <c r="BG58" s="84">
        <v>0</v>
      </c>
      <c r="BH58" s="81"/>
      <c r="BI58" s="214">
        <f t="shared" ref="BI58" si="295">D58-AK58-AM58-AO58-AQ58-AS58-AU58-AW58-AY58-BA58-BC58-BE58-BG58</f>
        <v>0</v>
      </c>
    </row>
    <row r="59" spans="1:64" x14ac:dyDescent="0.35">
      <c r="A59" s="159" t="s">
        <v>778</v>
      </c>
      <c r="B59" s="180"/>
      <c r="C59" s="83">
        <v>103929.82</v>
      </c>
      <c r="D59" s="142">
        <v>103929.82</v>
      </c>
      <c r="E59" s="304"/>
      <c r="F59" s="289"/>
      <c r="G59" s="363" t="e">
        <f t="shared" ref="G59" si="296">F59/E59</f>
        <v>#DIV/0!</v>
      </c>
      <c r="H59" s="287"/>
      <c r="I59" s="313" t="e">
        <f t="shared" ref="I59" si="297">H59/E59</f>
        <v>#DIV/0!</v>
      </c>
      <c r="J59" s="287"/>
      <c r="K59" s="288" t="e">
        <f t="shared" ref="K59" si="298">J59/E59</f>
        <v>#DIV/0!</v>
      </c>
      <c r="L59" s="289"/>
      <c r="M59" s="290" t="e">
        <f t="shared" ref="M59" si="299">L59/E59</f>
        <v>#DIV/0!</v>
      </c>
      <c r="N59" s="287"/>
      <c r="O59" s="288" t="e">
        <f t="shared" ref="O59" si="300">N59/E59</f>
        <v>#DIV/0!</v>
      </c>
      <c r="P59" s="289"/>
      <c r="Q59" s="290" t="e">
        <f t="shared" ref="Q59" si="301">P59/E59</f>
        <v>#DIV/0!</v>
      </c>
      <c r="R59" s="287"/>
      <c r="S59" s="288" t="e">
        <f t="shared" ref="S59" si="302">R59/E59</f>
        <v>#DIV/0!</v>
      </c>
      <c r="T59" s="287"/>
      <c r="U59" s="288" t="e">
        <f t="shared" ref="U59" si="303">T59/E59</f>
        <v>#DIV/0!</v>
      </c>
      <c r="V59" s="289"/>
      <c r="W59" s="290" t="e">
        <f t="shared" ref="W59" si="304">V59/E59</f>
        <v>#DIV/0!</v>
      </c>
      <c r="X59" s="287"/>
      <c r="Y59" s="313" t="e">
        <f t="shared" ref="Y59" si="305">X59/E59</f>
        <v>#DIV/0!</v>
      </c>
      <c r="Z59" s="289"/>
      <c r="AA59" s="363" t="e">
        <f t="shared" ref="AA59" si="306">Z59/E59</f>
        <v>#DIV/0!</v>
      </c>
      <c r="AB59" s="287"/>
      <c r="AC59" s="313" t="e">
        <f t="shared" ref="AC59" si="307">AB59/E59</f>
        <v>#DIV/0!</v>
      </c>
      <c r="AD59" s="289"/>
      <c r="AE59" s="363" t="e">
        <f t="shared" ref="AE59" si="308">AD59/E59</f>
        <v>#DIV/0!</v>
      </c>
      <c r="AF59" s="287"/>
      <c r="AG59" s="313" t="e">
        <f t="shared" ref="AG59" si="309">AF59/E59</f>
        <v>#DIV/0!</v>
      </c>
      <c r="AH59" s="289"/>
      <c r="AI59" s="363" t="e">
        <f t="shared" si="109"/>
        <v>#DIV/0!</v>
      </c>
      <c r="AJ59" s="323" t="e">
        <f t="shared" ref="AJ59" si="310">K59+M59+O59+Q59+S59+U59+W59+Y59+AA59+AC59+G59+I59+AI59+AE59+AG59</f>
        <v>#DIV/0!</v>
      </c>
      <c r="AK59" s="81">
        <v>0</v>
      </c>
      <c r="AL59" s="81"/>
      <c r="AM59" s="84">
        <v>0</v>
      </c>
      <c r="AN59" s="85"/>
      <c r="AO59" s="84">
        <v>0</v>
      </c>
      <c r="AP59" s="81"/>
      <c r="AQ59" s="84">
        <v>0</v>
      </c>
      <c r="AR59" s="85"/>
      <c r="AS59" s="84">
        <v>0</v>
      </c>
      <c r="AT59" s="81"/>
      <c r="AU59" s="84">
        <v>0</v>
      </c>
      <c r="AV59" s="85"/>
      <c r="AW59" s="84">
        <v>0</v>
      </c>
      <c r="AX59" s="85"/>
      <c r="AY59" s="84">
        <v>0</v>
      </c>
      <c r="AZ59" s="85"/>
      <c r="BA59" s="84">
        <v>0</v>
      </c>
      <c r="BB59" s="85"/>
      <c r="BC59" s="84">
        <v>0</v>
      </c>
      <c r="BD59" s="85"/>
      <c r="BE59" s="84">
        <v>0</v>
      </c>
      <c r="BF59" s="85"/>
      <c r="BG59" s="84">
        <v>0</v>
      </c>
      <c r="BH59" s="81"/>
      <c r="BI59" s="214">
        <f t="shared" ref="BI59" si="311">D59-AK59-AM59-AO59-AQ59-AS59-AU59-AW59-AY59-BA59-BC59-BE59-BG59</f>
        <v>103929.82</v>
      </c>
    </row>
    <row r="60" spans="1:64" x14ac:dyDescent="0.35">
      <c r="A60" s="159" t="s">
        <v>777</v>
      </c>
      <c r="B60" s="180"/>
      <c r="C60" s="83">
        <v>141778.85</v>
      </c>
      <c r="D60" s="142">
        <f>C60</f>
        <v>141778.85</v>
      </c>
      <c r="E60" s="304"/>
      <c r="F60" s="289"/>
      <c r="G60" s="363" t="e">
        <f t="shared" ref="G60" si="312">F60/E60</f>
        <v>#DIV/0!</v>
      </c>
      <c r="H60" s="287"/>
      <c r="I60" s="313" t="e">
        <f t="shared" ref="I60" si="313">H60/E60</f>
        <v>#DIV/0!</v>
      </c>
      <c r="J60" s="287"/>
      <c r="K60" s="288" t="e">
        <f t="shared" ref="K60" si="314">J60/E60</f>
        <v>#DIV/0!</v>
      </c>
      <c r="L60" s="289"/>
      <c r="M60" s="290" t="e">
        <f t="shared" ref="M60" si="315">L60/E60</f>
        <v>#DIV/0!</v>
      </c>
      <c r="N60" s="287"/>
      <c r="O60" s="288" t="e">
        <f t="shared" ref="O60" si="316">N60/E60</f>
        <v>#DIV/0!</v>
      </c>
      <c r="P60" s="289"/>
      <c r="Q60" s="290" t="e">
        <f t="shared" ref="Q60" si="317">P60/E60</f>
        <v>#DIV/0!</v>
      </c>
      <c r="R60" s="287"/>
      <c r="S60" s="288" t="e">
        <f t="shared" ref="S60" si="318">R60/E60</f>
        <v>#DIV/0!</v>
      </c>
      <c r="T60" s="287"/>
      <c r="U60" s="288" t="e">
        <f t="shared" ref="U60" si="319">T60/E60</f>
        <v>#DIV/0!</v>
      </c>
      <c r="V60" s="289"/>
      <c r="W60" s="290" t="e">
        <f t="shared" ref="W60" si="320">V60/E60</f>
        <v>#DIV/0!</v>
      </c>
      <c r="X60" s="287"/>
      <c r="Y60" s="313" t="e">
        <f t="shared" ref="Y60" si="321">X60/E60</f>
        <v>#DIV/0!</v>
      </c>
      <c r="Z60" s="289"/>
      <c r="AA60" s="363" t="e">
        <f t="shared" ref="AA60" si="322">Z60/E60</f>
        <v>#DIV/0!</v>
      </c>
      <c r="AB60" s="287"/>
      <c r="AC60" s="313" t="e">
        <f t="shared" ref="AC60" si="323">AB60/E60</f>
        <v>#DIV/0!</v>
      </c>
      <c r="AD60" s="289"/>
      <c r="AE60" s="363" t="e">
        <f t="shared" ref="AE60" si="324">AD60/E60</f>
        <v>#DIV/0!</v>
      </c>
      <c r="AF60" s="287"/>
      <c r="AG60" s="313" t="e">
        <f t="shared" ref="AG60" si="325">AF60/E60</f>
        <v>#DIV/0!</v>
      </c>
      <c r="AH60" s="289"/>
      <c r="AI60" s="363" t="e">
        <f t="shared" si="109"/>
        <v>#DIV/0!</v>
      </c>
      <c r="AJ60" s="323" t="e">
        <f t="shared" ref="AJ60" si="326">K60+M60+O60+Q60+S60+U60+W60+Y60+AA60+AC60+G60+I60+AI60+AE60+AG60</f>
        <v>#DIV/0!</v>
      </c>
      <c r="AK60" s="81">
        <v>0</v>
      </c>
      <c r="AL60" s="81"/>
      <c r="AM60" s="84">
        <v>0</v>
      </c>
      <c r="AN60" s="85"/>
      <c r="AO60" s="84">
        <v>0</v>
      </c>
      <c r="AP60" s="81"/>
      <c r="AQ60" s="84">
        <v>0</v>
      </c>
      <c r="AR60" s="85"/>
      <c r="AS60" s="84">
        <v>0</v>
      </c>
      <c r="AT60" s="81"/>
      <c r="AU60" s="84">
        <v>0</v>
      </c>
      <c r="AV60" s="85"/>
      <c r="AW60" s="84">
        <v>0</v>
      </c>
      <c r="AX60" s="85"/>
      <c r="AY60" s="84">
        <v>0</v>
      </c>
      <c r="AZ60" s="85"/>
      <c r="BA60" s="84">
        <v>0</v>
      </c>
      <c r="BB60" s="85"/>
      <c r="BC60" s="84">
        <v>0</v>
      </c>
      <c r="BD60" s="85"/>
      <c r="BE60" s="84">
        <v>0</v>
      </c>
      <c r="BF60" s="85"/>
      <c r="BG60" s="84">
        <v>0</v>
      </c>
      <c r="BH60" s="81"/>
      <c r="BI60" s="214">
        <f t="shared" ref="BI60" si="327">D60-AK60-AM60-AO60-AQ60-AS60-AU60-AW60-AY60-BA60-BC60-BE60-BG60</f>
        <v>141778.85</v>
      </c>
    </row>
    <row r="61" spans="1:64" x14ac:dyDescent="0.35">
      <c r="A61" s="159" t="s">
        <v>766</v>
      </c>
      <c r="B61" s="180"/>
      <c r="C61" s="83">
        <v>56945.15</v>
      </c>
      <c r="D61" s="107">
        <f>C61</f>
        <v>56945.15</v>
      </c>
      <c r="E61" s="304">
        <f>D61</f>
        <v>56945.15</v>
      </c>
      <c r="F61" s="289">
        <v>1440</v>
      </c>
      <c r="G61" s="363">
        <f t="shared" si="16"/>
        <v>2.5287491559860674E-2</v>
      </c>
      <c r="H61" s="287">
        <v>4850.21</v>
      </c>
      <c r="I61" s="313">
        <f t="shared" si="17"/>
        <v>8.5173364193438766E-2</v>
      </c>
      <c r="J61" s="287">
        <f>8892.38+259.08-2558.63+894.63</f>
        <v>7487.4599999999991</v>
      </c>
      <c r="K61" s="288">
        <f t="shared" si="18"/>
        <v>0.13148547330194052</v>
      </c>
      <c r="L61" s="289">
        <f>3754.28+1551.48</f>
        <v>5305.76</v>
      </c>
      <c r="M61" s="290">
        <f t="shared" si="19"/>
        <v>9.3173167512948865E-2</v>
      </c>
      <c r="N61" s="287">
        <f>7986.71+2812.42</f>
        <v>10799.130000000001</v>
      </c>
      <c r="O61" s="288">
        <f t="shared" ref="O61" si="328">N61/E61</f>
        <v>0.18964090883947099</v>
      </c>
      <c r="P61" s="289"/>
      <c r="Q61" s="290">
        <f t="shared" ref="Q61" si="329">P61/E61</f>
        <v>0</v>
      </c>
      <c r="R61" s="287">
        <v>2634.1</v>
      </c>
      <c r="S61" s="288">
        <f t="shared" ref="S61" si="330">R61/E61</f>
        <v>4.6256792720714576E-2</v>
      </c>
      <c r="T61" s="287">
        <f>3536.83+99.35+165.6</f>
        <v>3801.7799999999997</v>
      </c>
      <c r="U61" s="288">
        <f t="shared" ref="U61" si="331">T61/E61</f>
        <v>6.6762138654477152E-2</v>
      </c>
      <c r="V61" s="289">
        <v>8049.74</v>
      </c>
      <c r="W61" s="290">
        <f t="shared" ref="W61" si="332">V61/E61</f>
        <v>0.14135953632574502</v>
      </c>
      <c r="X61" s="287"/>
      <c r="Y61" s="313">
        <f t="shared" ref="Y61" si="333">X61/E61</f>
        <v>0</v>
      </c>
      <c r="Z61" s="289"/>
      <c r="AA61" s="363">
        <f t="shared" ref="AA61" si="334">Z61/E61</f>
        <v>0</v>
      </c>
      <c r="AB61" s="287"/>
      <c r="AC61" s="313">
        <f t="shared" ref="AC61" si="335">AB61/E61</f>
        <v>0</v>
      </c>
      <c r="AD61" s="289"/>
      <c r="AE61" s="363">
        <f t="shared" ref="AE61" si="336">AD61/E61</f>
        <v>0</v>
      </c>
      <c r="AF61" s="287"/>
      <c r="AG61" s="313">
        <f t="shared" ref="AG61" si="337">AF61/E61</f>
        <v>0</v>
      </c>
      <c r="AH61" s="289">
        <f>9046.33+607.6+159.04+694.4+154.64</f>
        <v>10662.01</v>
      </c>
      <c r="AI61" s="363">
        <f t="shared" si="109"/>
        <v>0.18723297769871533</v>
      </c>
      <c r="AJ61" s="323">
        <f t="shared" ref="AJ61" si="338">K61+M61+O61+Q61+S61+U61+W61+Y61+AA61+AC61+G61+I61+AI61+AE61+AG61</f>
        <v>0.96637185080731203</v>
      </c>
      <c r="AK61" s="81">
        <v>0</v>
      </c>
      <c r="AL61" s="81"/>
      <c r="AM61" s="84">
        <v>0</v>
      </c>
      <c r="AN61" s="85"/>
      <c r="AO61" s="84">
        <v>0</v>
      </c>
      <c r="AP61" s="81"/>
      <c r="AQ61" s="84">
        <v>0</v>
      </c>
      <c r="AR61" s="85"/>
      <c r="AS61" s="84">
        <v>0</v>
      </c>
      <c r="AT61" s="81"/>
      <c r="AU61" s="84">
        <v>0</v>
      </c>
      <c r="AV61" s="85"/>
      <c r="AW61" s="84">
        <v>0</v>
      </c>
      <c r="AX61" s="85"/>
      <c r="AY61" s="84">
        <v>0</v>
      </c>
      <c r="AZ61" s="85"/>
      <c r="BA61" s="84">
        <v>0</v>
      </c>
      <c r="BB61" s="85"/>
      <c r="BC61" s="230">
        <f>BD61</f>
        <v>18316.03</v>
      </c>
      <c r="BD61" s="231">
        <v>18316.03</v>
      </c>
      <c r="BE61" s="230">
        <f>BF61</f>
        <v>15422.21</v>
      </c>
      <c r="BF61" s="231">
        <v>15422.21</v>
      </c>
      <c r="BG61" s="230">
        <f>BH61</f>
        <v>15309.85</v>
      </c>
      <c r="BH61" s="195">
        <v>15309.85</v>
      </c>
      <c r="BI61" s="214">
        <f t="shared" si="38"/>
        <v>7897.0600000000031</v>
      </c>
    </row>
    <row r="62" spans="1:64" x14ac:dyDescent="0.35">
      <c r="A62" s="159" t="s">
        <v>775</v>
      </c>
      <c r="B62" s="180"/>
      <c r="C62" s="83">
        <v>41577.75</v>
      </c>
      <c r="D62" s="107">
        <f>C62</f>
        <v>41577.75</v>
      </c>
      <c r="E62" s="304">
        <f>D62</f>
        <v>41577.75</v>
      </c>
      <c r="F62" s="289"/>
      <c r="G62" s="363">
        <f t="shared" si="16"/>
        <v>0</v>
      </c>
      <c r="H62" s="287"/>
      <c r="I62" s="313">
        <f t="shared" si="17"/>
        <v>0</v>
      </c>
      <c r="J62" s="287"/>
      <c r="K62" s="288">
        <f t="shared" si="18"/>
        <v>0</v>
      </c>
      <c r="L62" s="289"/>
      <c r="M62" s="290">
        <f t="shared" si="19"/>
        <v>0</v>
      </c>
      <c r="N62" s="287"/>
      <c r="O62" s="288">
        <f t="shared" ref="O62" si="339">N62/E62</f>
        <v>0</v>
      </c>
      <c r="P62" s="289"/>
      <c r="Q62" s="290">
        <f t="shared" ref="Q62" si="340">P62/E62</f>
        <v>0</v>
      </c>
      <c r="R62" s="287"/>
      <c r="S62" s="288">
        <f t="shared" ref="S62" si="341">R62/E62</f>
        <v>0</v>
      </c>
      <c r="T62" s="287"/>
      <c r="U62" s="288">
        <f t="shared" ref="U62" si="342">T62/E62</f>
        <v>0</v>
      </c>
      <c r="V62" s="289"/>
      <c r="W62" s="290">
        <f t="shared" ref="W62" si="343">V62/E62</f>
        <v>0</v>
      </c>
      <c r="X62" s="287"/>
      <c r="Y62" s="313">
        <f t="shared" ref="Y62" si="344">X62/E62</f>
        <v>0</v>
      </c>
      <c r="Z62" s="289"/>
      <c r="AA62" s="363">
        <f t="shared" ref="AA62" si="345">Z62/E62</f>
        <v>0</v>
      </c>
      <c r="AB62" s="287"/>
      <c r="AC62" s="313">
        <f t="shared" ref="AC62" si="346">AB62/E62</f>
        <v>0</v>
      </c>
      <c r="AD62" s="289"/>
      <c r="AE62" s="363">
        <f t="shared" ref="AE62" si="347">AD62/E62</f>
        <v>0</v>
      </c>
      <c r="AF62" s="287"/>
      <c r="AG62" s="313">
        <f t="shared" ref="AG62" si="348">AF62/E62</f>
        <v>0</v>
      </c>
      <c r="AH62" s="289"/>
      <c r="AI62" s="363">
        <f t="shared" si="109"/>
        <v>0</v>
      </c>
      <c r="AJ62" s="323">
        <f t="shared" ref="AJ62" si="349">K62+M62+O62+Q62+S62+U62+W62+Y62+AA62+AC62+G62+I62+AI62+AE62+AG62</f>
        <v>0</v>
      </c>
      <c r="AK62" s="81">
        <v>0</v>
      </c>
      <c r="AL62" s="81"/>
      <c r="AM62" s="84">
        <v>0</v>
      </c>
      <c r="AN62" s="85"/>
      <c r="AO62" s="84">
        <v>0</v>
      </c>
      <c r="AP62" s="81"/>
      <c r="AQ62" s="84">
        <v>0</v>
      </c>
      <c r="AR62" s="85"/>
      <c r="AS62" s="84">
        <v>0</v>
      </c>
      <c r="AT62" s="81"/>
      <c r="AU62" s="84">
        <v>0</v>
      </c>
      <c r="AV62" s="85"/>
      <c r="AW62" s="84">
        <v>0</v>
      </c>
      <c r="AX62" s="85"/>
      <c r="AY62" s="84">
        <v>0</v>
      </c>
      <c r="AZ62" s="85"/>
      <c r="BA62" s="84">
        <v>0</v>
      </c>
      <c r="BB62" s="85"/>
      <c r="BC62" s="84">
        <v>0</v>
      </c>
      <c r="BD62" s="85"/>
      <c r="BE62" s="230">
        <f>BF62</f>
        <v>3382.23</v>
      </c>
      <c r="BF62" s="231">
        <v>3382.23</v>
      </c>
      <c r="BG62" s="230">
        <f>BH62</f>
        <v>31965.97</v>
      </c>
      <c r="BH62" s="195">
        <v>31965.97</v>
      </c>
      <c r="BI62" s="214">
        <f t="shared" si="38"/>
        <v>6229.5499999999956</v>
      </c>
    </row>
    <row r="63" spans="1:64" x14ac:dyDescent="0.35">
      <c r="A63" s="159" t="s">
        <v>774</v>
      </c>
      <c r="B63" s="180"/>
      <c r="C63" s="83">
        <v>47741.7</v>
      </c>
      <c r="D63" s="105">
        <f>C63</f>
        <v>47741.7</v>
      </c>
      <c r="E63" s="304">
        <f>D63</f>
        <v>47741.7</v>
      </c>
      <c r="F63" s="289"/>
      <c r="G63" s="363">
        <f t="shared" ref="G63" si="350">F63/E63</f>
        <v>0</v>
      </c>
      <c r="H63" s="287"/>
      <c r="I63" s="313">
        <f t="shared" ref="I63" si="351">H63/E63</f>
        <v>0</v>
      </c>
      <c r="J63" s="287"/>
      <c r="K63" s="288">
        <f t="shared" ref="K63" si="352">J63/E63</f>
        <v>0</v>
      </c>
      <c r="L63" s="289"/>
      <c r="M63" s="290">
        <f t="shared" ref="M63" si="353">L63/E63</f>
        <v>0</v>
      </c>
      <c r="N63" s="287"/>
      <c r="O63" s="288">
        <f t="shared" ref="O63" si="354">N63/E63</f>
        <v>0</v>
      </c>
      <c r="P63" s="289"/>
      <c r="Q63" s="290">
        <f t="shared" ref="Q63" si="355">P63/E63</f>
        <v>0</v>
      </c>
      <c r="R63" s="287"/>
      <c r="S63" s="288">
        <f t="shared" ref="S63" si="356">R63/E63</f>
        <v>0</v>
      </c>
      <c r="T63" s="287"/>
      <c r="U63" s="288">
        <f t="shared" ref="U63" si="357">T63/E63</f>
        <v>0</v>
      </c>
      <c r="V63" s="289"/>
      <c r="W63" s="290">
        <f t="shared" ref="W63" si="358">V63/E63</f>
        <v>0</v>
      </c>
      <c r="X63" s="287"/>
      <c r="Y63" s="313">
        <f t="shared" ref="Y63" si="359">X63/E63</f>
        <v>0</v>
      </c>
      <c r="Z63" s="289"/>
      <c r="AA63" s="363">
        <f t="shared" ref="AA63" si="360">Z63/E63</f>
        <v>0</v>
      </c>
      <c r="AB63" s="287"/>
      <c r="AC63" s="313">
        <f t="shared" ref="AC63" si="361">AB63/E63</f>
        <v>0</v>
      </c>
      <c r="AD63" s="289"/>
      <c r="AE63" s="363">
        <f t="shared" ref="AE63" si="362">AD63/E63</f>
        <v>0</v>
      </c>
      <c r="AF63" s="287"/>
      <c r="AG63" s="313">
        <f t="shared" ref="AG63" si="363">AF63/E63</f>
        <v>0</v>
      </c>
      <c r="AH63" s="289"/>
      <c r="AI63" s="363">
        <f t="shared" ref="AI63" si="364">AH63/E63</f>
        <v>0</v>
      </c>
      <c r="AJ63" s="323">
        <f t="shared" ref="AJ63" si="365">K63+M63+O63+Q63+S63+U63+W63+Y63+AA63+AC63+G63+I63+AI63+AE63+AG63</f>
        <v>0</v>
      </c>
      <c r="AK63" s="81">
        <v>0</v>
      </c>
      <c r="AL63" s="81"/>
      <c r="AM63" s="84">
        <f t="shared" ref="AM63" si="366">E63-AK63</f>
        <v>47741.7</v>
      </c>
      <c r="AN63" s="85"/>
      <c r="AO63" s="84">
        <v>0</v>
      </c>
      <c r="AP63" s="81">
        <v>0</v>
      </c>
      <c r="AQ63" s="84">
        <v>0</v>
      </c>
      <c r="AR63" s="85"/>
      <c r="AS63" s="84">
        <v>0</v>
      </c>
      <c r="AT63" s="81"/>
      <c r="AU63" s="84">
        <v>0</v>
      </c>
      <c r="AV63" s="85"/>
      <c r="AW63" s="84">
        <v>0</v>
      </c>
      <c r="AX63" s="85"/>
      <c r="AY63" s="84">
        <v>0</v>
      </c>
      <c r="AZ63" s="85"/>
      <c r="BA63" s="84">
        <v>0</v>
      </c>
      <c r="BB63" s="85"/>
      <c r="BC63" s="84">
        <v>0</v>
      </c>
      <c r="BD63" s="85"/>
      <c r="BE63" s="84"/>
      <c r="BF63" s="85"/>
      <c r="BG63" s="230">
        <f>BH63</f>
        <v>29423.43</v>
      </c>
      <c r="BH63" s="195">
        <f>29423.43</f>
        <v>29423.43</v>
      </c>
      <c r="BI63" s="214">
        <f>E63-BG63</f>
        <v>18318.269999999997</v>
      </c>
    </row>
    <row r="64" spans="1:64" x14ac:dyDescent="0.35">
      <c r="A64" s="159" t="s">
        <v>765</v>
      </c>
      <c r="B64" s="180"/>
      <c r="C64" s="83">
        <v>82724</v>
      </c>
      <c r="D64" s="178">
        <v>82724</v>
      </c>
      <c r="E64" s="304"/>
      <c r="F64" s="289"/>
      <c r="G64" s="363"/>
      <c r="H64" s="287"/>
      <c r="I64" s="313"/>
      <c r="J64" s="287"/>
      <c r="K64" s="288"/>
      <c r="L64" s="289"/>
      <c r="M64" s="290"/>
      <c r="N64" s="287"/>
      <c r="O64" s="288"/>
      <c r="P64" s="289"/>
      <c r="Q64" s="290"/>
      <c r="R64" s="287"/>
      <c r="S64" s="288"/>
      <c r="T64" s="287"/>
      <c r="U64" s="288"/>
      <c r="V64" s="289"/>
      <c r="W64" s="290"/>
      <c r="X64" s="287"/>
      <c r="Y64" s="313"/>
      <c r="Z64" s="289"/>
      <c r="AA64" s="363"/>
      <c r="AB64" s="287"/>
      <c r="AC64" s="313"/>
      <c r="AD64" s="289"/>
      <c r="AE64" s="363"/>
      <c r="AF64" s="287"/>
      <c r="AG64" s="313"/>
      <c r="AH64" s="289"/>
      <c r="AI64" s="363"/>
      <c r="AJ64" s="323">
        <f t="shared" si="41"/>
        <v>0</v>
      </c>
      <c r="AK64" s="81"/>
      <c r="AL64" s="81"/>
      <c r="AM64" s="84"/>
      <c r="AN64" s="85"/>
      <c r="AO64" s="84"/>
      <c r="AP64" s="81"/>
      <c r="AQ64" s="84"/>
      <c r="AR64" s="85"/>
      <c r="AS64" s="84"/>
      <c r="AT64" s="81"/>
      <c r="AU64" s="84"/>
      <c r="AV64" s="85"/>
      <c r="AW64" s="84"/>
      <c r="AX64" s="85"/>
      <c r="AY64" s="84"/>
      <c r="AZ64" s="85"/>
      <c r="BA64" s="84"/>
      <c r="BB64" s="85"/>
      <c r="BC64" s="84"/>
      <c r="BD64" s="85"/>
      <c r="BE64" s="84"/>
      <c r="BF64" s="85"/>
      <c r="BG64" s="84"/>
      <c r="BH64" s="81"/>
      <c r="BI64" s="214"/>
    </row>
    <row r="65" spans="1:64" x14ac:dyDescent="0.35">
      <c r="A65" s="159" t="s">
        <v>742</v>
      </c>
      <c r="B65" s="180"/>
      <c r="C65" s="83">
        <f>39998.3-846.29</f>
        <v>39152.01</v>
      </c>
      <c r="D65" s="107">
        <f>C65</f>
        <v>39152.01</v>
      </c>
      <c r="E65" s="304">
        <f>D65</f>
        <v>39152.01</v>
      </c>
      <c r="F65" s="289">
        <v>0</v>
      </c>
      <c r="G65" s="363">
        <f t="shared" si="16"/>
        <v>0</v>
      </c>
      <c r="H65" s="287">
        <v>0</v>
      </c>
      <c r="I65" s="313">
        <f t="shared" si="17"/>
        <v>0</v>
      </c>
      <c r="J65" s="287">
        <f>6637.89+2695.24-846.29</f>
        <v>8486.84</v>
      </c>
      <c r="K65" s="288">
        <f t="shared" si="18"/>
        <v>0.2167663933473658</v>
      </c>
      <c r="L65" s="289">
        <v>2009.52</v>
      </c>
      <c r="M65" s="290">
        <f t="shared" si="19"/>
        <v>5.1326100499054832E-2</v>
      </c>
      <c r="N65" s="287">
        <v>4182.6099999999997</v>
      </c>
      <c r="O65" s="288">
        <f t="shared" si="20"/>
        <v>0.10683001971035458</v>
      </c>
      <c r="P65" s="289">
        <v>6365.14</v>
      </c>
      <c r="Q65" s="290">
        <f t="shared" si="21"/>
        <v>0.16257505042525275</v>
      </c>
      <c r="R65" s="287">
        <v>1647.14</v>
      </c>
      <c r="S65" s="288">
        <f t="shared" ref="S65:S76" si="367">R65/E65</f>
        <v>4.2070381571725178E-2</v>
      </c>
      <c r="T65" s="287">
        <v>4331.71</v>
      </c>
      <c r="U65" s="288">
        <f t="shared" si="22"/>
        <v>0.11063825331062185</v>
      </c>
      <c r="V65" s="289"/>
      <c r="W65" s="290">
        <f t="shared" si="23"/>
        <v>0</v>
      </c>
      <c r="X65" s="287"/>
      <c r="Y65" s="313">
        <f t="shared" si="24"/>
        <v>0</v>
      </c>
      <c r="Z65" s="289"/>
      <c r="AA65" s="363">
        <f t="shared" ref="AA65:AA76" si="368">Z65/E65</f>
        <v>0</v>
      </c>
      <c r="AB65" s="287">
        <v>4478.5200000000004</v>
      </c>
      <c r="AC65" s="313">
        <f t="shared" ref="AC65:AC76" si="369">AB65/E65</f>
        <v>0.11438799693808824</v>
      </c>
      <c r="AD65" s="289"/>
      <c r="AE65" s="363">
        <f t="shared" si="39"/>
        <v>0</v>
      </c>
      <c r="AF65" s="287"/>
      <c r="AG65" s="313">
        <f t="shared" si="40"/>
        <v>0</v>
      </c>
      <c r="AH65" s="289">
        <v>7650.53</v>
      </c>
      <c r="AI65" s="363">
        <f t="shared" ref="AI65:AI76" si="370">AH65/E65</f>
        <v>0.19540580419753673</v>
      </c>
      <c r="AJ65" s="323">
        <f t="shared" si="41"/>
        <v>0.99999999999999989</v>
      </c>
      <c r="AK65" s="81">
        <v>0</v>
      </c>
      <c r="AL65" s="81"/>
      <c r="AM65" s="84">
        <v>0</v>
      </c>
      <c r="AN65" s="85"/>
      <c r="AO65" s="84"/>
      <c r="AP65" s="81"/>
      <c r="AQ65" s="84">
        <v>0</v>
      </c>
      <c r="AR65" s="85"/>
      <c r="AS65" s="84">
        <v>0</v>
      </c>
      <c r="AT65" s="81"/>
      <c r="AU65" s="230">
        <v>8657.1200000000008</v>
      </c>
      <c r="AV65" s="65">
        <v>8657.1200000000008</v>
      </c>
      <c r="AW65" s="230">
        <f>AX65</f>
        <v>17503.87</v>
      </c>
      <c r="AX65" s="231">
        <f>18350.16-846.29</f>
        <v>17503.87</v>
      </c>
      <c r="AY65" s="230">
        <f>AZ65</f>
        <v>12991.02</v>
      </c>
      <c r="AZ65" s="231">
        <f>8512.5+4478.52</f>
        <v>12991.02</v>
      </c>
      <c r="BA65" s="84">
        <f t="shared" si="34"/>
        <v>0</v>
      </c>
      <c r="BB65" s="85"/>
      <c r="BC65" s="84">
        <f t="shared" si="35"/>
        <v>0</v>
      </c>
      <c r="BD65" s="85"/>
      <c r="BE65" s="84">
        <f t="shared" si="36"/>
        <v>0</v>
      </c>
      <c r="BF65" s="85"/>
      <c r="BG65" s="84">
        <f t="shared" si="37"/>
        <v>0</v>
      </c>
      <c r="BH65" s="81"/>
      <c r="BI65" s="214">
        <f t="shared" si="38"/>
        <v>0</v>
      </c>
    </row>
    <row r="66" spans="1:64" x14ac:dyDescent="0.35">
      <c r="A66" s="159" t="s">
        <v>740</v>
      </c>
      <c r="B66" s="180"/>
      <c r="C66" s="83">
        <f>D66</f>
        <v>30819.439999999999</v>
      </c>
      <c r="D66" s="107">
        <f>31259-439.56</f>
        <v>30819.439999999999</v>
      </c>
      <c r="E66" s="304">
        <f>D66</f>
        <v>30819.439999999999</v>
      </c>
      <c r="F66" s="289">
        <v>1800</v>
      </c>
      <c r="G66" s="363">
        <f t="shared" si="16"/>
        <v>5.8404695218342711E-2</v>
      </c>
      <c r="H66" s="287">
        <v>1536.18</v>
      </c>
      <c r="I66" s="313">
        <f t="shared" si="17"/>
        <v>4.9844513722507616E-2</v>
      </c>
      <c r="J66" s="287">
        <v>4888.97</v>
      </c>
      <c r="K66" s="288">
        <f t="shared" si="18"/>
        <v>0.15863266821201166</v>
      </c>
      <c r="L66" s="289">
        <f>4773.22-439.56</f>
        <v>4333.66</v>
      </c>
      <c r="M66" s="290">
        <f t="shared" si="19"/>
        <v>0.14061449526662392</v>
      </c>
      <c r="N66" s="287">
        <v>6498.85</v>
      </c>
      <c r="O66" s="288">
        <f t="shared" si="20"/>
        <v>0.2108685297331814</v>
      </c>
      <c r="P66" s="289"/>
      <c r="Q66" s="290">
        <f t="shared" si="21"/>
        <v>0</v>
      </c>
      <c r="R66" s="287">
        <v>2253.48</v>
      </c>
      <c r="S66" s="288">
        <f t="shared" si="367"/>
        <v>7.3118784767017192E-2</v>
      </c>
      <c r="T66" s="287">
        <f>2028.9+966.37</f>
        <v>2995.27</v>
      </c>
      <c r="U66" s="288">
        <f t="shared" si="22"/>
        <v>9.7187684137025207E-2</v>
      </c>
      <c r="V66" s="289"/>
      <c r="W66" s="290">
        <f t="shared" si="23"/>
        <v>0</v>
      </c>
      <c r="X66" s="287"/>
      <c r="Y66" s="313">
        <f t="shared" si="24"/>
        <v>0</v>
      </c>
      <c r="Z66" s="289"/>
      <c r="AA66" s="363">
        <f t="shared" si="368"/>
        <v>0</v>
      </c>
      <c r="AB66" s="287"/>
      <c r="AC66" s="313">
        <f t="shared" si="369"/>
        <v>0</v>
      </c>
      <c r="AD66" s="289"/>
      <c r="AE66" s="363">
        <f t="shared" si="39"/>
        <v>0</v>
      </c>
      <c r="AF66" s="287">
        <v>310</v>
      </c>
      <c r="AG66" s="313">
        <f t="shared" si="40"/>
        <v>1.0058586398714578E-2</v>
      </c>
      <c r="AH66" s="289">
        <v>6203.39</v>
      </c>
      <c r="AI66" s="363">
        <f t="shared" si="370"/>
        <v>0.20128172348361945</v>
      </c>
      <c r="AJ66" s="323">
        <f t="shared" si="41"/>
        <v>1.0000116809390436</v>
      </c>
      <c r="AK66" s="81">
        <v>0</v>
      </c>
      <c r="AL66" s="81"/>
      <c r="AM66" s="84">
        <v>0</v>
      </c>
      <c r="AN66" s="85"/>
      <c r="AO66" s="84">
        <v>0</v>
      </c>
      <c r="AP66" s="81"/>
      <c r="AQ66" s="84">
        <v>0</v>
      </c>
      <c r="AR66" s="85"/>
      <c r="AS66" s="84">
        <v>0</v>
      </c>
      <c r="AT66" s="81"/>
      <c r="AU66" s="84">
        <v>0</v>
      </c>
      <c r="AV66" s="85"/>
      <c r="AW66" s="84">
        <v>0</v>
      </c>
      <c r="AX66" s="85"/>
      <c r="AY66" s="230">
        <v>3094.25</v>
      </c>
      <c r="AZ66" s="231">
        <f>AY66</f>
        <v>3094.25</v>
      </c>
      <c r="BA66" s="230">
        <f>BB66</f>
        <v>18456.439999999999</v>
      </c>
      <c r="BB66" s="231">
        <v>18456.439999999999</v>
      </c>
      <c r="BC66" s="230">
        <f>BD66</f>
        <v>7858.22</v>
      </c>
      <c r="BD66" s="231">
        <f>8297.78-439.56</f>
        <v>7858.22</v>
      </c>
      <c r="BE66" s="84">
        <v>0</v>
      </c>
      <c r="BF66" s="85"/>
      <c r="BG66" s="230">
        <f t="shared" si="37"/>
        <v>1410.5299999999997</v>
      </c>
      <c r="BH66" s="195">
        <v>1410.89</v>
      </c>
      <c r="BI66" s="214">
        <f t="shared" si="38"/>
        <v>0</v>
      </c>
    </row>
    <row r="67" spans="1:64" x14ac:dyDescent="0.35">
      <c r="A67" s="159" t="s">
        <v>737</v>
      </c>
      <c r="B67" s="180"/>
      <c r="C67" s="83">
        <v>153286.85999999999</v>
      </c>
      <c r="D67" s="107">
        <f>153286.86+3247.76</f>
        <v>156534.62</v>
      </c>
      <c r="E67" s="304">
        <f>D67</f>
        <v>156534.62</v>
      </c>
      <c r="F67" s="289">
        <v>2535</v>
      </c>
      <c r="G67" s="363">
        <f t="shared" si="16"/>
        <v>1.6194500615902094E-2</v>
      </c>
      <c r="H67" s="287">
        <v>0</v>
      </c>
      <c r="I67" s="313">
        <f t="shared" si="17"/>
        <v>0</v>
      </c>
      <c r="J67" s="287">
        <v>18034.2</v>
      </c>
      <c r="K67" s="288">
        <f t="shared" si="18"/>
        <v>0.11520901893779154</v>
      </c>
      <c r="L67" s="289">
        <f>27429.08+1432.59</f>
        <v>28861.670000000002</v>
      </c>
      <c r="M67" s="290">
        <f t="shared" si="19"/>
        <v>0.184378829424443</v>
      </c>
      <c r="N67" s="287">
        <v>29650.83</v>
      </c>
      <c r="O67" s="288">
        <f t="shared" si="20"/>
        <v>0.18942027009743917</v>
      </c>
      <c r="P67" s="289">
        <v>41474.449999999997</v>
      </c>
      <c r="Q67" s="290">
        <f t="shared" si="21"/>
        <v>0.26495384854800808</v>
      </c>
      <c r="R67" s="287">
        <v>12065.58</v>
      </c>
      <c r="S67" s="288">
        <f t="shared" si="367"/>
        <v>7.7079306801268635E-2</v>
      </c>
      <c r="T67" s="287">
        <v>14678.97</v>
      </c>
      <c r="U67" s="288">
        <f t="shared" si="22"/>
        <v>9.377459120544708E-2</v>
      </c>
      <c r="V67" s="289"/>
      <c r="W67" s="290">
        <f t="shared" si="23"/>
        <v>0</v>
      </c>
      <c r="X67" s="287"/>
      <c r="Y67" s="313">
        <f t="shared" si="24"/>
        <v>0</v>
      </c>
      <c r="Z67" s="289"/>
      <c r="AA67" s="363">
        <f t="shared" si="368"/>
        <v>0</v>
      </c>
      <c r="AB67" s="287">
        <v>5986.16</v>
      </c>
      <c r="AC67" s="313">
        <f t="shared" si="369"/>
        <v>3.8241764026385981E-2</v>
      </c>
      <c r="AD67" s="289"/>
      <c r="AE67" s="363">
        <f t="shared" si="39"/>
        <v>0</v>
      </c>
      <c r="AF67" s="287"/>
      <c r="AG67" s="313">
        <f t="shared" si="40"/>
        <v>0</v>
      </c>
      <c r="AH67" s="289"/>
      <c r="AI67" s="363">
        <f t="shared" si="370"/>
        <v>0</v>
      </c>
      <c r="AJ67" s="323">
        <f t="shared" si="41"/>
        <v>0.97925212965668562</v>
      </c>
      <c r="AK67" s="81">
        <v>0</v>
      </c>
      <c r="AL67" s="81"/>
      <c r="AM67" s="84">
        <v>0</v>
      </c>
      <c r="AN67" s="85"/>
      <c r="AO67" s="84">
        <v>0</v>
      </c>
      <c r="AP67" s="81"/>
      <c r="AQ67" s="84">
        <v>0</v>
      </c>
      <c r="AR67" s="85"/>
      <c r="AS67" s="230">
        <f>AT67</f>
        <v>19200.990000000002</v>
      </c>
      <c r="AT67" s="195">
        <v>19200.990000000002</v>
      </c>
      <c r="AU67" s="230">
        <f>AV67</f>
        <v>6479.36</v>
      </c>
      <c r="AV67" s="231">
        <v>6479.36</v>
      </c>
      <c r="AW67" s="230">
        <f>AX67</f>
        <v>39181.160000000003</v>
      </c>
      <c r="AX67" s="231">
        <v>39181.160000000003</v>
      </c>
      <c r="AY67" s="230">
        <f>AZ67</f>
        <v>28643.57</v>
      </c>
      <c r="AZ67" s="231">
        <v>28643.57</v>
      </c>
      <c r="BA67" s="230">
        <f>BB67</f>
        <v>39733.230000000003</v>
      </c>
      <c r="BB67" s="231">
        <v>39733.230000000003</v>
      </c>
      <c r="BC67" s="230">
        <f>BD67</f>
        <v>14655.3</v>
      </c>
      <c r="BD67" s="231">
        <f>13910.74+744.56</f>
        <v>14655.3</v>
      </c>
      <c r="BE67" s="84">
        <v>0</v>
      </c>
      <c r="BF67" s="85"/>
      <c r="BG67" s="230">
        <f>BH67</f>
        <v>3172.73</v>
      </c>
      <c r="BH67" s="195">
        <v>3172.73</v>
      </c>
      <c r="BI67" s="214">
        <f t="shared" si="38"/>
        <v>5468.2799999999988</v>
      </c>
    </row>
    <row r="68" spans="1:64" x14ac:dyDescent="0.35">
      <c r="A68" s="159" t="s">
        <v>353</v>
      </c>
      <c r="B68" s="180"/>
      <c r="C68" s="83">
        <v>59783.93</v>
      </c>
      <c r="D68" s="107">
        <f>59783.93-149.9</f>
        <v>59634.03</v>
      </c>
      <c r="E68" s="304">
        <v>59783.93</v>
      </c>
      <c r="F68" s="289">
        <v>1260</v>
      </c>
      <c r="G68" s="363">
        <f t="shared" si="16"/>
        <v>2.1075897820701985E-2</v>
      </c>
      <c r="H68" s="287"/>
      <c r="I68" s="313">
        <f t="shared" si="17"/>
        <v>0</v>
      </c>
      <c r="J68" s="287">
        <v>9450.83</v>
      </c>
      <c r="K68" s="288">
        <f t="shared" si="18"/>
        <v>0.1580831169847817</v>
      </c>
      <c r="L68" s="289">
        <v>2880.24</v>
      </c>
      <c r="M68" s="290">
        <f t="shared" si="19"/>
        <v>4.8177495189760854E-2</v>
      </c>
      <c r="N68" s="287">
        <v>9948.06</v>
      </c>
      <c r="O68" s="288">
        <f t="shared" si="20"/>
        <v>0.1664002349795338</v>
      </c>
      <c r="P68" s="289">
        <v>18313.13</v>
      </c>
      <c r="Q68" s="290">
        <f t="shared" si="21"/>
        <v>0.30632194972796201</v>
      </c>
      <c r="R68" s="287">
        <v>0</v>
      </c>
      <c r="S68" s="288">
        <f t="shared" si="367"/>
        <v>0</v>
      </c>
      <c r="T68" s="287">
        <f>2077.28+1514.09</f>
        <v>3591.37</v>
      </c>
      <c r="U68" s="288">
        <f t="shared" si="22"/>
        <v>6.0072497743122608E-2</v>
      </c>
      <c r="V68" s="289">
        <v>6452.89</v>
      </c>
      <c r="W68" s="290">
        <f t="shared" si="23"/>
        <v>0.10793686530811876</v>
      </c>
      <c r="X68" s="287"/>
      <c r="Y68" s="313">
        <f t="shared" si="24"/>
        <v>0</v>
      </c>
      <c r="Z68" s="289"/>
      <c r="AA68" s="363">
        <f t="shared" si="368"/>
        <v>0</v>
      </c>
      <c r="AB68" s="287"/>
      <c r="AC68" s="313">
        <f t="shared" si="369"/>
        <v>0</v>
      </c>
      <c r="AD68" s="289"/>
      <c r="AE68" s="363">
        <f t="shared" si="39"/>
        <v>0</v>
      </c>
      <c r="AF68" s="287"/>
      <c r="AG68" s="313">
        <f t="shared" si="40"/>
        <v>0</v>
      </c>
      <c r="AH68" s="289">
        <v>7887.41</v>
      </c>
      <c r="AI68" s="363">
        <f t="shared" si="370"/>
        <v>0.13193194224601829</v>
      </c>
      <c r="AJ68" s="323">
        <f t="shared" si="41"/>
        <v>1</v>
      </c>
      <c r="AK68" s="81">
        <v>0</v>
      </c>
      <c r="AL68" s="81"/>
      <c r="AM68" s="84">
        <v>0</v>
      </c>
      <c r="AN68" s="85"/>
      <c r="AO68" s="84"/>
      <c r="AP68" s="81"/>
      <c r="AQ68" s="84">
        <v>0</v>
      </c>
      <c r="AR68" s="85">
        <v>0</v>
      </c>
      <c r="AS68" s="230">
        <f>AT68</f>
        <v>6933</v>
      </c>
      <c r="AT68" s="195">
        <v>6933</v>
      </c>
      <c r="AU68" s="84">
        <v>0</v>
      </c>
      <c r="AV68" s="85"/>
      <c r="AW68" s="230">
        <f>AX68</f>
        <v>24944.36</v>
      </c>
      <c r="AX68" s="231">
        <v>24944.36</v>
      </c>
      <c r="AY68" s="230">
        <f>AZ68</f>
        <v>17129.66</v>
      </c>
      <c r="AZ68" s="231">
        <v>17129.66</v>
      </c>
      <c r="BA68" s="84">
        <v>0</v>
      </c>
      <c r="BB68" s="85"/>
      <c r="BC68" s="230">
        <f>BD68</f>
        <v>10627.01</v>
      </c>
      <c r="BD68" s="231">
        <v>10627.01</v>
      </c>
      <c r="BE68" s="84">
        <f t="shared" si="36"/>
        <v>0</v>
      </c>
      <c r="BF68" s="85"/>
      <c r="BG68" s="84">
        <f t="shared" si="37"/>
        <v>-1.8189894035458565E-12</v>
      </c>
      <c r="BH68" s="81"/>
      <c r="BI68" s="214">
        <f t="shared" si="38"/>
        <v>0</v>
      </c>
    </row>
    <row r="69" spans="1:64" x14ac:dyDescent="0.35">
      <c r="A69" s="159" t="s">
        <v>629</v>
      </c>
      <c r="B69" s="180"/>
      <c r="C69" s="83">
        <v>42074.15</v>
      </c>
      <c r="D69" s="107">
        <f>'2023-24'!BE52</f>
        <v>31504.71</v>
      </c>
      <c r="E69" s="304">
        <f>D69</f>
        <v>31504.71</v>
      </c>
      <c r="F69" s="289">
        <v>1690</v>
      </c>
      <c r="G69" s="363">
        <f t="shared" si="16"/>
        <v>5.3642772779054305E-2</v>
      </c>
      <c r="H69" s="287"/>
      <c r="I69" s="313">
        <f t="shared" si="17"/>
        <v>0</v>
      </c>
      <c r="J69" s="287">
        <v>4231.33</v>
      </c>
      <c r="K69" s="288">
        <f t="shared" si="18"/>
        <v>0.13430785428591471</v>
      </c>
      <c r="L69" s="289">
        <v>1764</v>
      </c>
      <c r="M69" s="290">
        <f t="shared" si="19"/>
        <v>5.5991627918492187E-2</v>
      </c>
      <c r="N69" s="287">
        <v>6910.28</v>
      </c>
      <c r="O69" s="288">
        <f t="shared" si="20"/>
        <v>0.21934117152641622</v>
      </c>
      <c r="P69" s="289">
        <v>7853.84</v>
      </c>
      <c r="Q69" s="290">
        <f t="shared" si="21"/>
        <v>0.24929097903138928</v>
      </c>
      <c r="R69" s="287">
        <v>680</v>
      </c>
      <c r="S69" s="288">
        <f t="shared" si="367"/>
        <v>2.1584074254294042E-2</v>
      </c>
      <c r="T69" s="287">
        <f>880.41+570.39</f>
        <v>1450.8</v>
      </c>
      <c r="U69" s="288">
        <f t="shared" si="22"/>
        <v>4.6050257247249697E-2</v>
      </c>
      <c r="V69" s="289">
        <v>3288.33</v>
      </c>
      <c r="W69" s="290">
        <f t="shared" si="23"/>
        <v>0.10437582190091577</v>
      </c>
      <c r="X69" s="287"/>
      <c r="Y69" s="313">
        <f t="shared" si="24"/>
        <v>0</v>
      </c>
      <c r="Z69" s="289"/>
      <c r="AA69" s="363">
        <f t="shared" si="368"/>
        <v>0</v>
      </c>
      <c r="AB69" s="287"/>
      <c r="AC69" s="313">
        <f t="shared" si="369"/>
        <v>0</v>
      </c>
      <c r="AD69" s="289"/>
      <c r="AE69" s="363">
        <f t="shared" si="39"/>
        <v>0</v>
      </c>
      <c r="AF69" s="287"/>
      <c r="AG69" s="313">
        <f t="shared" si="40"/>
        <v>0</v>
      </c>
      <c r="AH69" s="289">
        <f>13046+1158.9</f>
        <v>14204.9</v>
      </c>
      <c r="AI69" s="363">
        <f t="shared" si="370"/>
        <v>0.45088178878650209</v>
      </c>
      <c r="AJ69" s="323">
        <f t="shared" si="41"/>
        <v>1.3354663477302284</v>
      </c>
      <c r="AK69" s="195">
        <f>AL69</f>
        <v>31504.77</v>
      </c>
      <c r="AL69" s="195">
        <v>31504.77</v>
      </c>
      <c r="AM69" s="84">
        <f t="shared" si="98"/>
        <v>-6.0000000001309672E-2</v>
      </c>
      <c r="AN69" s="85"/>
      <c r="AO69" s="84">
        <f t="shared" si="28"/>
        <v>0</v>
      </c>
      <c r="AP69" s="81"/>
      <c r="AQ69" s="84">
        <f t="shared" si="29"/>
        <v>0</v>
      </c>
      <c r="AR69" s="85"/>
      <c r="AS69" s="84">
        <f t="shared" si="30"/>
        <v>0</v>
      </c>
      <c r="AT69" s="81"/>
      <c r="AU69" s="84">
        <f t="shared" si="31"/>
        <v>0</v>
      </c>
      <c r="AV69" s="85"/>
      <c r="AW69" s="84">
        <f t="shared" si="32"/>
        <v>0</v>
      </c>
      <c r="AX69" s="85"/>
      <c r="AY69" s="84">
        <f t="shared" si="33"/>
        <v>0</v>
      </c>
      <c r="AZ69" s="85"/>
      <c r="BA69" s="84">
        <f t="shared" si="34"/>
        <v>0</v>
      </c>
      <c r="BB69" s="85"/>
      <c r="BC69" s="84">
        <f t="shared" si="35"/>
        <v>0</v>
      </c>
      <c r="BD69" s="85"/>
      <c r="BE69" s="84">
        <f t="shared" si="36"/>
        <v>0</v>
      </c>
      <c r="BF69" s="85"/>
      <c r="BG69" s="84">
        <f t="shared" si="37"/>
        <v>0</v>
      </c>
      <c r="BH69" s="81"/>
      <c r="BI69" s="214">
        <f t="shared" si="38"/>
        <v>0</v>
      </c>
      <c r="BJ69"/>
      <c r="BK69"/>
      <c r="BL69"/>
    </row>
    <row r="70" spans="1:64" x14ac:dyDescent="0.35">
      <c r="A70" s="159" t="s">
        <v>701</v>
      </c>
      <c r="B70" s="180"/>
      <c r="C70" s="83">
        <v>104193.08</v>
      </c>
      <c r="D70" s="63">
        <v>0</v>
      </c>
      <c r="E70" s="304">
        <v>0</v>
      </c>
      <c r="F70" s="289">
        <v>0</v>
      </c>
      <c r="G70" s="363" t="e">
        <f t="shared" si="16"/>
        <v>#DIV/0!</v>
      </c>
      <c r="H70" s="287">
        <v>0</v>
      </c>
      <c r="I70" s="313" t="e">
        <f t="shared" si="17"/>
        <v>#DIV/0!</v>
      </c>
      <c r="J70" s="287">
        <v>0</v>
      </c>
      <c r="K70" s="288" t="e">
        <f t="shared" si="18"/>
        <v>#DIV/0!</v>
      </c>
      <c r="L70" s="289">
        <v>0</v>
      </c>
      <c r="M70" s="290" t="e">
        <f t="shared" si="19"/>
        <v>#DIV/0!</v>
      </c>
      <c r="N70" s="287"/>
      <c r="O70" s="288" t="e">
        <f t="shared" si="20"/>
        <v>#DIV/0!</v>
      </c>
      <c r="P70" s="289">
        <v>0</v>
      </c>
      <c r="Q70" s="290" t="e">
        <f t="shared" si="21"/>
        <v>#DIV/0!</v>
      </c>
      <c r="R70" s="287">
        <v>0</v>
      </c>
      <c r="S70" s="288" t="e">
        <f t="shared" si="367"/>
        <v>#DIV/0!</v>
      </c>
      <c r="T70" s="287">
        <v>0</v>
      </c>
      <c r="U70" s="288" t="e">
        <f t="shared" si="22"/>
        <v>#DIV/0!</v>
      </c>
      <c r="V70" s="289">
        <v>0</v>
      </c>
      <c r="W70" s="290" t="e">
        <f t="shared" si="23"/>
        <v>#DIV/0!</v>
      </c>
      <c r="X70" s="287"/>
      <c r="Y70" s="313" t="e">
        <f t="shared" si="24"/>
        <v>#DIV/0!</v>
      </c>
      <c r="Z70" s="289"/>
      <c r="AA70" s="363" t="e">
        <f t="shared" si="368"/>
        <v>#DIV/0!</v>
      </c>
      <c r="AB70" s="287"/>
      <c r="AC70" s="313" t="e">
        <f t="shared" si="369"/>
        <v>#DIV/0!</v>
      </c>
      <c r="AD70" s="289"/>
      <c r="AE70" s="363" t="e">
        <f t="shared" si="39"/>
        <v>#DIV/0!</v>
      </c>
      <c r="AF70" s="287"/>
      <c r="AG70" s="313" t="e">
        <f t="shared" si="40"/>
        <v>#DIV/0!</v>
      </c>
      <c r="AH70" s="289">
        <v>0</v>
      </c>
      <c r="AI70" s="363" t="e">
        <f t="shared" si="370"/>
        <v>#DIV/0!</v>
      </c>
      <c r="AJ70" s="323" t="e">
        <f t="shared" si="41"/>
        <v>#DIV/0!</v>
      </c>
      <c r="AK70" s="81">
        <v>0</v>
      </c>
      <c r="AL70" s="81"/>
      <c r="AM70" s="84">
        <v>0</v>
      </c>
      <c r="AN70" s="85"/>
      <c r="AO70" s="84"/>
      <c r="AP70" s="81"/>
      <c r="AQ70" s="84"/>
      <c r="AR70" s="85"/>
      <c r="AS70" s="84">
        <f t="shared" ref="AS70:AS144" si="371">D70-AK70-AM70-AO70-AQ70</f>
        <v>0</v>
      </c>
      <c r="AT70" s="81"/>
      <c r="AU70" s="84">
        <f t="shared" ref="AU70:AU144" si="372">D70-AK70-AM70-AO70-AQ70-AS70</f>
        <v>0</v>
      </c>
      <c r="AV70" s="85"/>
      <c r="AW70" s="84">
        <f t="shared" ref="AW70:AW144" si="373">D70-AK70-AM70-AO70-AQ70-AS70-AU70</f>
        <v>0</v>
      </c>
      <c r="AX70" s="85"/>
      <c r="AY70" s="84">
        <f t="shared" ref="AY70:AY144" si="374">D70-AK70-AM70-AO70-AQ70-AS70-AU70-AW70</f>
        <v>0</v>
      </c>
      <c r="AZ70" s="85"/>
      <c r="BA70" s="84">
        <f t="shared" ref="BA70:BA144" si="375">D70-AK70-AM70-AO70-AQ70-AS70-AU70-AW70-AY70</f>
        <v>0</v>
      </c>
      <c r="BB70" s="85"/>
      <c r="BC70" s="84">
        <f t="shared" ref="BC70:BC144" si="376">D70-AK70-AM70-AO70-AQ70-AS70-AU70-AW70-AY70-BA70</f>
        <v>0</v>
      </c>
      <c r="BD70" s="85"/>
      <c r="BE70" s="84">
        <f t="shared" ref="BE70:BE144" si="377">D70-AK70-AM70-AO70-AQ70-AS70-AU70-AW70-AY70-BA70-BC70</f>
        <v>0</v>
      </c>
      <c r="BF70" s="85"/>
      <c r="BG70" s="84">
        <f t="shared" ref="BG70:BG144" si="378">D70-AK70-AM70-AO70-AQ70-AS70-AU70-AW70-AY70-BA70-BC70-BE70</f>
        <v>0</v>
      </c>
      <c r="BH70" s="81"/>
      <c r="BI70" s="214">
        <f t="shared" si="38"/>
        <v>0</v>
      </c>
    </row>
    <row r="71" spans="1:64" x14ac:dyDescent="0.35">
      <c r="A71" s="159" t="s">
        <v>693</v>
      </c>
      <c r="B71" s="180"/>
      <c r="C71" s="83">
        <f>D71</f>
        <v>28788.02</v>
      </c>
      <c r="D71" s="107">
        <v>28788.02</v>
      </c>
      <c r="E71" s="304">
        <f>C71</f>
        <v>28788.02</v>
      </c>
      <c r="F71" s="289">
        <v>1625</v>
      </c>
      <c r="G71" s="363">
        <f t="shared" si="16"/>
        <v>5.6447091533214165E-2</v>
      </c>
      <c r="H71" s="287">
        <v>1465</v>
      </c>
      <c r="I71" s="313">
        <f t="shared" si="17"/>
        <v>5.0889224059174613E-2</v>
      </c>
      <c r="J71" s="287">
        <v>5182.87</v>
      </c>
      <c r="K71" s="288">
        <f t="shared" si="18"/>
        <v>0.18003565371984595</v>
      </c>
      <c r="L71" s="289">
        <v>2075.79</v>
      </c>
      <c r="M71" s="290">
        <f t="shared" si="19"/>
        <v>7.2106035774603464E-2</v>
      </c>
      <c r="N71" s="287">
        <f>4144</f>
        <v>4144</v>
      </c>
      <c r="O71" s="288">
        <f t="shared" si="20"/>
        <v>0.14394876757762431</v>
      </c>
      <c r="P71" s="289">
        <v>7914.01</v>
      </c>
      <c r="Q71" s="290">
        <f t="shared" si="21"/>
        <v>0.27490636730139828</v>
      </c>
      <c r="R71" s="287">
        <v>861.62</v>
      </c>
      <c r="S71" s="288">
        <f t="shared" si="367"/>
        <v>2.9929811081137223E-2</v>
      </c>
      <c r="T71" s="287">
        <f>821.23+813.83</f>
        <v>1635.06</v>
      </c>
      <c r="U71" s="288">
        <f t="shared" si="22"/>
        <v>5.6796542450644395E-2</v>
      </c>
      <c r="V71" s="289"/>
      <c r="W71" s="290">
        <f t="shared" si="23"/>
        <v>0</v>
      </c>
      <c r="X71" s="287"/>
      <c r="Y71" s="313">
        <f t="shared" si="24"/>
        <v>0</v>
      </c>
      <c r="Z71" s="289"/>
      <c r="AA71" s="363">
        <f t="shared" si="368"/>
        <v>0</v>
      </c>
      <c r="AB71" s="287"/>
      <c r="AC71" s="313">
        <f t="shared" si="369"/>
        <v>0</v>
      </c>
      <c r="AD71" s="289"/>
      <c r="AE71" s="363">
        <f t="shared" si="39"/>
        <v>0</v>
      </c>
      <c r="AF71" s="287"/>
      <c r="AG71" s="313">
        <f t="shared" si="40"/>
        <v>0</v>
      </c>
      <c r="AH71" s="289">
        <v>3883.93</v>
      </c>
      <c r="AI71" s="363">
        <f t="shared" si="370"/>
        <v>0.13491480136529013</v>
      </c>
      <c r="AJ71" s="323">
        <f t="shared" si="41"/>
        <v>0.99997429486293254</v>
      </c>
      <c r="AK71" s="81">
        <v>0</v>
      </c>
      <c r="AL71" s="81"/>
      <c r="AM71" s="230">
        <f>AN71</f>
        <v>3843.88</v>
      </c>
      <c r="AN71" s="231">
        <v>3843.88</v>
      </c>
      <c r="AO71" s="84"/>
      <c r="AP71" s="81"/>
      <c r="AQ71" s="230">
        <f>AR71</f>
        <v>22862.17</v>
      </c>
      <c r="AR71" s="231">
        <v>22862.17</v>
      </c>
      <c r="AS71" s="230">
        <f t="shared" si="371"/>
        <v>2081.9700000000012</v>
      </c>
      <c r="AT71" s="195">
        <v>2082</v>
      </c>
      <c r="AU71" s="84">
        <f t="shared" si="372"/>
        <v>0</v>
      </c>
      <c r="AV71" s="85"/>
      <c r="AW71" s="84">
        <f t="shared" si="373"/>
        <v>0</v>
      </c>
      <c r="AX71" s="85"/>
      <c r="AY71" s="84">
        <f t="shared" si="374"/>
        <v>0</v>
      </c>
      <c r="AZ71" s="85"/>
      <c r="BA71" s="84">
        <f t="shared" si="375"/>
        <v>0</v>
      </c>
      <c r="BB71" s="85"/>
      <c r="BC71" s="84">
        <f t="shared" si="376"/>
        <v>0</v>
      </c>
      <c r="BD71" s="85"/>
      <c r="BE71" s="84">
        <f t="shared" si="377"/>
        <v>0</v>
      </c>
      <c r="BF71" s="85"/>
      <c r="BG71" s="84">
        <f t="shared" si="378"/>
        <v>0</v>
      </c>
      <c r="BH71" s="81"/>
      <c r="BI71" s="214">
        <f t="shared" si="38"/>
        <v>0</v>
      </c>
    </row>
    <row r="72" spans="1:64" x14ac:dyDescent="0.35">
      <c r="A72" s="159" t="s">
        <v>682</v>
      </c>
      <c r="B72" s="180"/>
      <c r="C72" s="83">
        <v>55000</v>
      </c>
      <c r="D72" s="142">
        <v>0</v>
      </c>
      <c r="E72" s="304"/>
      <c r="F72" s="289"/>
      <c r="G72" s="363" t="e">
        <f t="shared" si="16"/>
        <v>#DIV/0!</v>
      </c>
      <c r="H72" s="287"/>
      <c r="I72" s="313" t="e">
        <f t="shared" si="17"/>
        <v>#DIV/0!</v>
      </c>
      <c r="J72" s="287"/>
      <c r="K72" s="288" t="e">
        <f t="shared" si="18"/>
        <v>#DIV/0!</v>
      </c>
      <c r="L72" s="289"/>
      <c r="M72" s="290" t="e">
        <f t="shared" si="19"/>
        <v>#DIV/0!</v>
      </c>
      <c r="N72" s="287"/>
      <c r="O72" s="288" t="e">
        <f t="shared" si="20"/>
        <v>#DIV/0!</v>
      </c>
      <c r="P72" s="289"/>
      <c r="Q72" s="290" t="e">
        <f t="shared" si="21"/>
        <v>#DIV/0!</v>
      </c>
      <c r="R72" s="287"/>
      <c r="S72" s="288" t="e">
        <f t="shared" si="367"/>
        <v>#DIV/0!</v>
      </c>
      <c r="T72" s="287"/>
      <c r="U72" s="288" t="e">
        <f t="shared" si="22"/>
        <v>#DIV/0!</v>
      </c>
      <c r="V72" s="289"/>
      <c r="W72" s="290" t="e">
        <f t="shared" si="23"/>
        <v>#DIV/0!</v>
      </c>
      <c r="X72" s="287"/>
      <c r="Y72" s="313" t="e">
        <f t="shared" si="24"/>
        <v>#DIV/0!</v>
      </c>
      <c r="Z72" s="289"/>
      <c r="AA72" s="363" t="e">
        <f t="shared" si="368"/>
        <v>#DIV/0!</v>
      </c>
      <c r="AB72" s="287"/>
      <c r="AC72" s="313" t="e">
        <f t="shared" si="369"/>
        <v>#DIV/0!</v>
      </c>
      <c r="AD72" s="289"/>
      <c r="AE72" s="363" t="e">
        <f t="shared" si="39"/>
        <v>#DIV/0!</v>
      </c>
      <c r="AF72" s="287"/>
      <c r="AG72" s="313" t="e">
        <f t="shared" si="40"/>
        <v>#DIV/0!</v>
      </c>
      <c r="AH72" s="289"/>
      <c r="AI72" s="363" t="e">
        <f t="shared" si="370"/>
        <v>#DIV/0!</v>
      </c>
      <c r="AJ72" s="323" t="e">
        <f t="shared" si="41"/>
        <v>#DIV/0!</v>
      </c>
      <c r="AK72" s="81">
        <v>0</v>
      </c>
      <c r="AL72" s="81"/>
      <c r="AM72" s="84">
        <v>0</v>
      </c>
      <c r="AN72" s="85"/>
      <c r="AO72" s="84"/>
      <c r="AP72" s="81"/>
      <c r="AQ72" s="84"/>
      <c r="AR72" s="85"/>
      <c r="AS72" s="84">
        <f t="shared" si="371"/>
        <v>0</v>
      </c>
      <c r="AT72" s="81"/>
      <c r="AU72" s="84">
        <f t="shared" si="372"/>
        <v>0</v>
      </c>
      <c r="AV72" s="85"/>
      <c r="AW72" s="84">
        <f t="shared" si="373"/>
        <v>0</v>
      </c>
      <c r="AX72" s="85"/>
      <c r="AY72" s="84">
        <f t="shared" si="374"/>
        <v>0</v>
      </c>
      <c r="AZ72" s="85"/>
      <c r="BA72" s="84">
        <f t="shared" si="375"/>
        <v>0</v>
      </c>
      <c r="BB72" s="85"/>
      <c r="BC72" s="84">
        <f t="shared" si="376"/>
        <v>0</v>
      </c>
      <c r="BD72" s="85"/>
      <c r="BE72" s="84">
        <f t="shared" si="377"/>
        <v>0</v>
      </c>
      <c r="BF72" s="85"/>
      <c r="BG72" s="84">
        <f t="shared" si="378"/>
        <v>0</v>
      </c>
      <c r="BH72" s="81"/>
      <c r="BI72" s="214">
        <f t="shared" si="38"/>
        <v>0</v>
      </c>
    </row>
    <row r="73" spans="1:64" x14ac:dyDescent="0.35">
      <c r="A73" s="159" t="s">
        <v>683</v>
      </c>
      <c r="B73" s="180"/>
      <c r="C73" s="83">
        <v>0</v>
      </c>
      <c r="D73" s="142">
        <v>0</v>
      </c>
      <c r="E73" s="304"/>
      <c r="F73" s="289"/>
      <c r="G73" s="363" t="e">
        <f t="shared" si="16"/>
        <v>#DIV/0!</v>
      </c>
      <c r="H73" s="287"/>
      <c r="I73" s="313" t="e">
        <f t="shared" si="17"/>
        <v>#DIV/0!</v>
      </c>
      <c r="J73" s="287"/>
      <c r="K73" s="288" t="e">
        <f t="shared" si="18"/>
        <v>#DIV/0!</v>
      </c>
      <c r="L73" s="289"/>
      <c r="M73" s="290" t="e">
        <f t="shared" si="19"/>
        <v>#DIV/0!</v>
      </c>
      <c r="N73" s="287"/>
      <c r="O73" s="288" t="e">
        <f t="shared" si="20"/>
        <v>#DIV/0!</v>
      </c>
      <c r="P73" s="289"/>
      <c r="Q73" s="290" t="e">
        <f t="shared" si="21"/>
        <v>#DIV/0!</v>
      </c>
      <c r="R73" s="287"/>
      <c r="S73" s="288" t="e">
        <f t="shared" si="367"/>
        <v>#DIV/0!</v>
      </c>
      <c r="T73" s="287"/>
      <c r="U73" s="288" t="e">
        <f t="shared" si="22"/>
        <v>#DIV/0!</v>
      </c>
      <c r="V73" s="289"/>
      <c r="W73" s="290" t="e">
        <f t="shared" si="23"/>
        <v>#DIV/0!</v>
      </c>
      <c r="X73" s="287"/>
      <c r="Y73" s="313" t="e">
        <f t="shared" si="24"/>
        <v>#DIV/0!</v>
      </c>
      <c r="Z73" s="289"/>
      <c r="AA73" s="363" t="e">
        <f t="shared" si="368"/>
        <v>#DIV/0!</v>
      </c>
      <c r="AB73" s="287"/>
      <c r="AC73" s="313" t="e">
        <f t="shared" si="369"/>
        <v>#DIV/0!</v>
      </c>
      <c r="AD73" s="289"/>
      <c r="AE73" s="363" t="e">
        <f t="shared" si="39"/>
        <v>#DIV/0!</v>
      </c>
      <c r="AF73" s="287"/>
      <c r="AG73" s="313" t="e">
        <f t="shared" si="40"/>
        <v>#DIV/0!</v>
      </c>
      <c r="AH73" s="289"/>
      <c r="AI73" s="363" t="e">
        <f t="shared" si="370"/>
        <v>#DIV/0!</v>
      </c>
      <c r="AJ73" s="323" t="e">
        <f t="shared" si="41"/>
        <v>#DIV/0!</v>
      </c>
      <c r="AK73" s="81">
        <v>0</v>
      </c>
      <c r="AL73" s="81"/>
      <c r="AM73" s="84">
        <f t="shared" ref="AM73:AM144" si="379">D73-AK73</f>
        <v>0</v>
      </c>
      <c r="AN73" s="85"/>
      <c r="AO73" s="84">
        <f t="shared" ref="AO73:AO144" si="380">D73-AK73-AM73</f>
        <v>0</v>
      </c>
      <c r="AP73" s="81"/>
      <c r="AQ73" s="84">
        <f t="shared" ref="AQ73:AQ144" si="381">D73-AK73-AM73-AO73</f>
        <v>0</v>
      </c>
      <c r="AR73" s="85"/>
      <c r="AS73" s="84">
        <f t="shared" si="371"/>
        <v>0</v>
      </c>
      <c r="AT73" s="81"/>
      <c r="AU73" s="84">
        <f t="shared" si="372"/>
        <v>0</v>
      </c>
      <c r="AV73" s="85"/>
      <c r="AW73" s="84">
        <f t="shared" si="373"/>
        <v>0</v>
      </c>
      <c r="AX73" s="85"/>
      <c r="AY73" s="84">
        <f t="shared" si="374"/>
        <v>0</v>
      </c>
      <c r="AZ73" s="85"/>
      <c r="BA73" s="84">
        <f t="shared" si="375"/>
        <v>0</v>
      </c>
      <c r="BB73" s="85"/>
      <c r="BC73" s="84">
        <f t="shared" si="376"/>
        <v>0</v>
      </c>
      <c r="BD73" s="85"/>
      <c r="BE73" s="84">
        <f t="shared" si="377"/>
        <v>0</v>
      </c>
      <c r="BF73" s="85"/>
      <c r="BG73" s="84">
        <f t="shared" si="378"/>
        <v>0</v>
      </c>
      <c r="BH73" s="81"/>
      <c r="BI73" s="214">
        <f t="shared" si="38"/>
        <v>0</v>
      </c>
    </row>
    <row r="74" spans="1:64" x14ac:dyDescent="0.35">
      <c r="A74" s="159" t="s">
        <v>677</v>
      </c>
      <c r="B74" s="180"/>
      <c r="C74" s="83">
        <v>25000</v>
      </c>
      <c r="D74" s="142">
        <v>0</v>
      </c>
      <c r="E74" s="304"/>
      <c r="F74" s="289"/>
      <c r="G74" s="363" t="e">
        <f t="shared" si="16"/>
        <v>#DIV/0!</v>
      </c>
      <c r="H74" s="287"/>
      <c r="I74" s="313" t="e">
        <f t="shared" si="17"/>
        <v>#DIV/0!</v>
      </c>
      <c r="J74" s="287"/>
      <c r="K74" s="288" t="e">
        <f t="shared" si="18"/>
        <v>#DIV/0!</v>
      </c>
      <c r="L74" s="289"/>
      <c r="M74" s="290" t="e">
        <f t="shared" si="19"/>
        <v>#DIV/0!</v>
      </c>
      <c r="N74" s="287"/>
      <c r="O74" s="288" t="e">
        <f t="shared" si="20"/>
        <v>#DIV/0!</v>
      </c>
      <c r="P74" s="289"/>
      <c r="Q74" s="290" t="e">
        <f t="shared" si="21"/>
        <v>#DIV/0!</v>
      </c>
      <c r="R74" s="287"/>
      <c r="S74" s="288" t="e">
        <f t="shared" si="367"/>
        <v>#DIV/0!</v>
      </c>
      <c r="T74" s="287"/>
      <c r="U74" s="288" t="e">
        <f t="shared" si="22"/>
        <v>#DIV/0!</v>
      </c>
      <c r="V74" s="289"/>
      <c r="W74" s="290" t="e">
        <f t="shared" si="23"/>
        <v>#DIV/0!</v>
      </c>
      <c r="X74" s="287"/>
      <c r="Y74" s="313" t="e">
        <f t="shared" si="24"/>
        <v>#DIV/0!</v>
      </c>
      <c r="Z74" s="289"/>
      <c r="AA74" s="363" t="e">
        <f t="shared" si="368"/>
        <v>#DIV/0!</v>
      </c>
      <c r="AB74" s="287"/>
      <c r="AC74" s="313" t="e">
        <f t="shared" si="369"/>
        <v>#DIV/0!</v>
      </c>
      <c r="AD74" s="289"/>
      <c r="AE74" s="363" t="e">
        <f t="shared" si="39"/>
        <v>#DIV/0!</v>
      </c>
      <c r="AF74" s="287"/>
      <c r="AG74" s="313" t="e">
        <f t="shared" si="40"/>
        <v>#DIV/0!</v>
      </c>
      <c r="AH74" s="289"/>
      <c r="AI74" s="363" t="e">
        <f t="shared" si="370"/>
        <v>#DIV/0!</v>
      </c>
      <c r="AJ74" s="323" t="e">
        <f t="shared" si="41"/>
        <v>#DIV/0!</v>
      </c>
      <c r="AK74" s="81">
        <v>0</v>
      </c>
      <c r="AL74" s="81"/>
      <c r="AM74" s="84">
        <v>0</v>
      </c>
      <c r="AN74" s="85"/>
      <c r="AO74" s="84"/>
      <c r="AP74" s="81"/>
      <c r="AQ74" s="84"/>
      <c r="AR74" s="85"/>
      <c r="AS74" s="84">
        <f t="shared" si="371"/>
        <v>0</v>
      </c>
      <c r="AT74" s="81"/>
      <c r="AU74" s="84">
        <f t="shared" si="372"/>
        <v>0</v>
      </c>
      <c r="AV74" s="85"/>
      <c r="AW74" s="84">
        <f t="shared" si="373"/>
        <v>0</v>
      </c>
      <c r="AX74" s="85"/>
      <c r="AY74" s="84">
        <f t="shared" si="374"/>
        <v>0</v>
      </c>
      <c r="AZ74" s="85"/>
      <c r="BA74" s="84">
        <f t="shared" si="375"/>
        <v>0</v>
      </c>
      <c r="BB74" s="85"/>
      <c r="BC74" s="84">
        <f t="shared" si="376"/>
        <v>0</v>
      </c>
      <c r="BD74" s="85"/>
      <c r="BE74" s="84">
        <f t="shared" si="377"/>
        <v>0</v>
      </c>
      <c r="BF74" s="85"/>
      <c r="BG74" s="84">
        <f t="shared" si="378"/>
        <v>0</v>
      </c>
      <c r="BH74" s="81"/>
      <c r="BI74" s="214">
        <f t="shared" si="38"/>
        <v>0</v>
      </c>
    </row>
    <row r="75" spans="1:64" x14ac:dyDescent="0.35">
      <c r="A75" s="159" t="s">
        <v>676</v>
      </c>
      <c r="B75" s="180"/>
      <c r="C75" s="83">
        <f>41396+2825.75</f>
        <v>44221.75</v>
      </c>
      <c r="D75" s="107">
        <f>41395.86+2825.75</f>
        <v>44221.61</v>
      </c>
      <c r="E75" s="304">
        <f>D75</f>
        <v>44221.61</v>
      </c>
      <c r="F75" s="289">
        <v>1260</v>
      </c>
      <c r="G75" s="363">
        <f t="shared" si="16"/>
        <v>2.8492856772966882E-2</v>
      </c>
      <c r="H75" s="287">
        <v>2250.61</v>
      </c>
      <c r="I75" s="313">
        <f t="shared" si="17"/>
        <v>5.0893895541116667E-2</v>
      </c>
      <c r="J75" s="287">
        <v>12094.18</v>
      </c>
      <c r="K75" s="288">
        <f t="shared" si="18"/>
        <v>0.27349026867181003</v>
      </c>
      <c r="L75" s="289">
        <v>2642.69</v>
      </c>
      <c r="M75" s="290">
        <f t="shared" si="19"/>
        <v>5.9760148940755438E-2</v>
      </c>
      <c r="N75" s="287">
        <f>5151.74+2825.75</f>
        <v>7977.49</v>
      </c>
      <c r="O75" s="288">
        <f t="shared" si="20"/>
        <v>0.18039799998236156</v>
      </c>
      <c r="P75" s="289">
        <v>3790.07</v>
      </c>
      <c r="Q75" s="290">
        <f t="shared" si="21"/>
        <v>8.5706287039300472E-2</v>
      </c>
      <c r="R75" s="287">
        <f>1246.99+6152.36</f>
        <v>7399.3499999999995</v>
      </c>
      <c r="S75" s="288">
        <f t="shared" si="367"/>
        <v>0.167324301399248</v>
      </c>
      <c r="T75" s="287">
        <v>3444.66</v>
      </c>
      <c r="U75" s="288">
        <f t="shared" si="22"/>
        <v>7.7895400009181021E-2</v>
      </c>
      <c r="V75" s="289">
        <v>3362.56</v>
      </c>
      <c r="W75" s="290">
        <f t="shared" si="23"/>
        <v>7.6038841643259927E-2</v>
      </c>
      <c r="X75" s="287"/>
      <c r="Y75" s="313">
        <f t="shared" si="24"/>
        <v>0</v>
      </c>
      <c r="Z75" s="289"/>
      <c r="AA75" s="363">
        <f t="shared" si="368"/>
        <v>0</v>
      </c>
      <c r="AB75" s="287"/>
      <c r="AC75" s="313">
        <f t="shared" si="369"/>
        <v>0</v>
      </c>
      <c r="AD75" s="289"/>
      <c r="AE75" s="363">
        <f t="shared" si="39"/>
        <v>0</v>
      </c>
      <c r="AF75" s="287"/>
      <c r="AG75" s="313">
        <f t="shared" si="40"/>
        <v>0</v>
      </c>
      <c r="AH75" s="289"/>
      <c r="AI75" s="363">
        <f t="shared" si="370"/>
        <v>0</v>
      </c>
      <c r="AJ75" s="323">
        <f t="shared" si="41"/>
        <v>1</v>
      </c>
      <c r="AK75" s="81">
        <v>0</v>
      </c>
      <c r="AL75" s="81"/>
      <c r="AM75" s="230">
        <f>AN75</f>
        <v>4236.3100000000004</v>
      </c>
      <c r="AN75" s="231">
        <v>4236.3100000000004</v>
      </c>
      <c r="AO75" s="230">
        <f>AP75</f>
        <v>21232</v>
      </c>
      <c r="AP75" s="195">
        <v>21232</v>
      </c>
      <c r="AQ75" s="230">
        <f>AR75</f>
        <v>7758.31</v>
      </c>
      <c r="AR75" s="231">
        <v>7758.31</v>
      </c>
      <c r="AS75" s="230">
        <f>AT75</f>
        <v>7225.38</v>
      </c>
      <c r="AT75" s="195">
        <f>4399.63+2825.75</f>
        <v>7225.38</v>
      </c>
      <c r="AU75" s="230">
        <f t="shared" si="372"/>
        <v>3769.6100000000015</v>
      </c>
      <c r="AV75" s="231">
        <v>3769.61</v>
      </c>
      <c r="AW75" s="84">
        <f t="shared" si="373"/>
        <v>0</v>
      </c>
      <c r="AX75" s="85"/>
      <c r="AY75" s="84">
        <f t="shared" si="374"/>
        <v>0</v>
      </c>
      <c r="AZ75" s="85"/>
      <c r="BA75" s="84">
        <f t="shared" si="375"/>
        <v>0</v>
      </c>
      <c r="BB75" s="85"/>
      <c r="BC75" s="84">
        <f t="shared" si="376"/>
        <v>0</v>
      </c>
      <c r="BD75" s="85"/>
      <c r="BE75" s="84">
        <f t="shared" si="377"/>
        <v>0</v>
      </c>
      <c r="BF75" s="85"/>
      <c r="BG75" s="84">
        <f t="shared" si="378"/>
        <v>0</v>
      </c>
      <c r="BH75" s="81"/>
      <c r="BI75" s="214">
        <f t="shared" si="38"/>
        <v>0</v>
      </c>
    </row>
    <row r="76" spans="1:64" x14ac:dyDescent="0.35">
      <c r="A76" s="159" t="s">
        <v>368</v>
      </c>
      <c r="B76" s="180"/>
      <c r="C76" s="83">
        <v>33961</v>
      </c>
      <c r="D76" s="107">
        <f>'2023-24'!BE61</f>
        <v>6425.8900000000031</v>
      </c>
      <c r="E76" s="304">
        <v>33961</v>
      </c>
      <c r="F76" s="289">
        <v>1260</v>
      </c>
      <c r="G76" s="363">
        <f t="shared" si="16"/>
        <v>3.7101380995848178E-2</v>
      </c>
      <c r="H76" s="287">
        <v>2800</v>
      </c>
      <c r="I76" s="313">
        <f t="shared" si="17"/>
        <v>8.2447513324107061E-2</v>
      </c>
      <c r="J76" s="287">
        <v>4515</v>
      </c>
      <c r="K76" s="288">
        <f t="shared" si="18"/>
        <v>0.13294661523512263</v>
      </c>
      <c r="L76" s="289">
        <v>3629.46</v>
      </c>
      <c r="M76" s="290">
        <f t="shared" si="19"/>
        <v>0.10687141132475486</v>
      </c>
      <c r="N76" s="287">
        <v>2613.02</v>
      </c>
      <c r="O76" s="288">
        <f t="shared" si="20"/>
        <v>7.6941786166485088E-2</v>
      </c>
      <c r="P76" s="289">
        <v>7248.5</v>
      </c>
      <c r="Q76" s="290">
        <f t="shared" si="21"/>
        <v>0.21343600011778216</v>
      </c>
      <c r="R76" s="287"/>
      <c r="S76" s="288">
        <f t="shared" si="367"/>
        <v>0</v>
      </c>
      <c r="T76" s="287">
        <v>2013</v>
      </c>
      <c r="U76" s="288">
        <f t="shared" si="22"/>
        <v>5.9273872971938403E-2</v>
      </c>
      <c r="V76" s="289">
        <f>5224.33+263.12</f>
        <v>5487.45</v>
      </c>
      <c r="W76" s="290">
        <f t="shared" si="23"/>
        <v>0.16158093106798974</v>
      </c>
      <c r="X76" s="287"/>
      <c r="Y76" s="313">
        <f t="shared" si="24"/>
        <v>0</v>
      </c>
      <c r="Z76" s="289"/>
      <c r="AA76" s="363">
        <f t="shared" si="368"/>
        <v>0</v>
      </c>
      <c r="AB76" s="287"/>
      <c r="AC76" s="313">
        <f t="shared" si="369"/>
        <v>0</v>
      </c>
      <c r="AD76" s="289"/>
      <c r="AE76" s="363">
        <f t="shared" si="39"/>
        <v>0</v>
      </c>
      <c r="AF76" s="287"/>
      <c r="AG76" s="313">
        <f t="shared" si="40"/>
        <v>0</v>
      </c>
      <c r="AH76" s="289">
        <v>4394.2700000000004</v>
      </c>
      <c r="AI76" s="363">
        <f t="shared" si="370"/>
        <v>0.12939165513383</v>
      </c>
      <c r="AJ76" s="323">
        <f t="shared" si="41"/>
        <v>0.99999116633785812</v>
      </c>
      <c r="AK76" s="195">
        <f>AL76</f>
        <v>4654.68</v>
      </c>
      <c r="AL76" s="195">
        <v>4654.68</v>
      </c>
      <c r="AM76" s="84">
        <v>0</v>
      </c>
      <c r="AN76" s="85"/>
      <c r="AO76" s="230">
        <f t="shared" si="380"/>
        <v>1771.2100000000028</v>
      </c>
      <c r="AP76" s="195">
        <v>1770.98</v>
      </c>
      <c r="AQ76" s="84">
        <f t="shared" si="381"/>
        <v>0</v>
      </c>
      <c r="AR76" s="85"/>
      <c r="AS76" s="84">
        <f t="shared" si="371"/>
        <v>0</v>
      </c>
      <c r="AT76" s="81"/>
      <c r="AU76" s="84">
        <f t="shared" si="372"/>
        <v>0</v>
      </c>
      <c r="AV76" s="85"/>
      <c r="AW76" s="84">
        <f t="shared" si="373"/>
        <v>0</v>
      </c>
      <c r="AX76" s="85"/>
      <c r="AY76" s="84">
        <f t="shared" si="374"/>
        <v>0</v>
      </c>
      <c r="AZ76" s="85"/>
      <c r="BA76" s="84">
        <f t="shared" si="375"/>
        <v>0</v>
      </c>
      <c r="BB76" s="85"/>
      <c r="BC76" s="84">
        <f t="shared" si="376"/>
        <v>0</v>
      </c>
      <c r="BD76" s="85"/>
      <c r="BE76" s="84">
        <f t="shared" si="377"/>
        <v>0</v>
      </c>
      <c r="BF76" s="85"/>
      <c r="BG76" s="84">
        <f t="shared" si="378"/>
        <v>0</v>
      </c>
      <c r="BH76" s="81"/>
      <c r="BI76" s="214">
        <f t="shared" si="38"/>
        <v>0</v>
      </c>
      <c r="BJ76"/>
      <c r="BK76"/>
      <c r="BL76"/>
    </row>
    <row r="77" spans="1:64" x14ac:dyDescent="0.35">
      <c r="A77" s="159" t="s">
        <v>680</v>
      </c>
      <c r="B77" s="180"/>
      <c r="C77" s="83">
        <f>99275.55+12350.43+12150.41+11739.31</f>
        <v>135515.70000000001</v>
      </c>
      <c r="D77" s="105">
        <f>76225.35-1706.77</f>
        <v>74518.58</v>
      </c>
      <c r="E77" s="304">
        <f>D77</f>
        <v>74518.58</v>
      </c>
      <c r="F77" s="289"/>
      <c r="G77" s="363">
        <f>F77/E77</f>
        <v>0</v>
      </c>
      <c r="H77" s="287"/>
      <c r="I77" s="313">
        <f>H77/E77</f>
        <v>0</v>
      </c>
      <c r="J77" s="287">
        <f>14593.09+1094.58</f>
        <v>15687.67</v>
      </c>
      <c r="K77" s="288">
        <f>J77/E77</f>
        <v>0.21052024877554026</v>
      </c>
      <c r="L77" s="289">
        <f>11197.95+13518.71</f>
        <v>24716.66</v>
      </c>
      <c r="M77" s="290">
        <f>L77/E77</f>
        <v>0.33168452753662242</v>
      </c>
      <c r="N77" s="287">
        <f>7740.28+796.01</f>
        <v>8536.2899999999991</v>
      </c>
      <c r="O77" s="288">
        <f>N77/E77</f>
        <v>0.11455250489206852</v>
      </c>
      <c r="P77" s="289">
        <f>15324.65+4571.74</f>
        <v>19896.39</v>
      </c>
      <c r="Q77" s="290">
        <f>P77/E77</f>
        <v>0.26699904909621197</v>
      </c>
      <c r="R77" s="287">
        <f>2111.93+2142.22</f>
        <v>4254.1499999999996</v>
      </c>
      <c r="S77" s="288">
        <f>R77/E77</f>
        <v>5.7088446934979165E-2</v>
      </c>
      <c r="T77" s="287">
        <v>3134.19</v>
      </c>
      <c r="U77" s="288">
        <f>T77/E77</f>
        <v>4.205917504064087E-2</v>
      </c>
      <c r="V77" s="289"/>
      <c r="W77" s="290">
        <f>V77/E77</f>
        <v>0</v>
      </c>
      <c r="X77" s="287"/>
      <c r="Y77" s="313">
        <f>X77/E77</f>
        <v>0</v>
      </c>
      <c r="Z77" s="289"/>
      <c r="AA77" s="363">
        <f>Z77/E77</f>
        <v>0</v>
      </c>
      <c r="AB77" s="287"/>
      <c r="AC77" s="313">
        <f>AB77/E77</f>
        <v>0</v>
      </c>
      <c r="AD77" s="289"/>
      <c r="AE77" s="363">
        <f t="shared" si="39"/>
        <v>0</v>
      </c>
      <c r="AF77" s="287"/>
      <c r="AG77" s="313">
        <f t="shared" si="40"/>
        <v>0</v>
      </c>
      <c r="AH77" s="289"/>
      <c r="AI77" s="363">
        <f>AH77/E77</f>
        <v>0</v>
      </c>
      <c r="AJ77" s="323">
        <f t="shared" si="41"/>
        <v>1.0229039522760632</v>
      </c>
      <c r="AK77" s="195">
        <f>AL77</f>
        <v>28995.5</v>
      </c>
      <c r="AL77" s="195">
        <v>28995.5</v>
      </c>
      <c r="AM77" s="84">
        <v>0</v>
      </c>
      <c r="AN77" s="85"/>
      <c r="AO77" s="84">
        <v>0</v>
      </c>
      <c r="AP77" s="81"/>
      <c r="AQ77" s="230">
        <f>AR77</f>
        <v>22888.400000000001</v>
      </c>
      <c r="AR77" s="231">
        <v>22888.400000000001</v>
      </c>
      <c r="AS77" s="84">
        <v>0</v>
      </c>
      <c r="AT77" s="81"/>
      <c r="AU77" s="230">
        <f>AV77</f>
        <v>18458.84</v>
      </c>
      <c r="AV77" s="231">
        <v>18458.84</v>
      </c>
      <c r="AW77" s="230">
        <f t="shared" si="373"/>
        <v>4175.84</v>
      </c>
      <c r="AX77" s="231">
        <v>4175.74</v>
      </c>
      <c r="AY77" s="84">
        <f t="shared" si="374"/>
        <v>0</v>
      </c>
      <c r="AZ77" s="85"/>
      <c r="BA77" s="84">
        <f t="shared" si="375"/>
        <v>0</v>
      </c>
      <c r="BB77" s="85"/>
      <c r="BC77" s="84">
        <f t="shared" si="376"/>
        <v>0</v>
      </c>
      <c r="BD77" s="85"/>
      <c r="BE77" s="84">
        <f t="shared" si="377"/>
        <v>0</v>
      </c>
      <c r="BF77" s="85"/>
      <c r="BG77" s="84">
        <f t="shared" si="378"/>
        <v>0</v>
      </c>
      <c r="BH77" s="81"/>
      <c r="BI77" s="214">
        <f>D77-AK77-AM77-AO77-AQ77-AS77-AU77-AW77-AY77-BA77-BC77-BE77-BG77</f>
        <v>0</v>
      </c>
    </row>
    <row r="78" spans="1:64" x14ac:dyDescent="0.35">
      <c r="A78" s="159" t="s">
        <v>686</v>
      </c>
      <c r="B78" s="180"/>
      <c r="C78" s="83">
        <v>3377</v>
      </c>
      <c r="D78" s="107">
        <f>'2022-23'!AW38</f>
        <v>3376.5199999999968</v>
      </c>
      <c r="E78" s="304">
        <v>3377</v>
      </c>
      <c r="F78" s="289"/>
      <c r="G78" s="363">
        <f t="shared" si="16"/>
        <v>0</v>
      </c>
      <c r="H78" s="287"/>
      <c r="I78" s="313">
        <f t="shared" si="17"/>
        <v>0</v>
      </c>
      <c r="J78" s="287"/>
      <c r="K78" s="288">
        <f t="shared" si="18"/>
        <v>0</v>
      </c>
      <c r="L78" s="289"/>
      <c r="M78" s="290">
        <f t="shared" si="19"/>
        <v>0</v>
      </c>
      <c r="N78" s="287"/>
      <c r="O78" s="288">
        <f t="shared" si="20"/>
        <v>0</v>
      </c>
      <c r="P78" s="289"/>
      <c r="Q78" s="290">
        <f t="shared" si="21"/>
        <v>0</v>
      </c>
      <c r="R78" s="287"/>
      <c r="S78" s="288">
        <f t="shared" si="43"/>
        <v>0</v>
      </c>
      <c r="T78" s="287"/>
      <c r="U78" s="288">
        <f t="shared" si="22"/>
        <v>0</v>
      </c>
      <c r="V78" s="289"/>
      <c r="W78" s="290">
        <f t="shared" si="23"/>
        <v>0</v>
      </c>
      <c r="X78" s="287"/>
      <c r="Y78" s="313">
        <f t="shared" si="24"/>
        <v>0</v>
      </c>
      <c r="Z78" s="289"/>
      <c r="AA78" s="363">
        <f t="shared" si="25"/>
        <v>0</v>
      </c>
      <c r="AB78" s="287"/>
      <c r="AC78" s="313">
        <f t="shared" si="26"/>
        <v>0</v>
      </c>
      <c r="AD78" s="289"/>
      <c r="AE78" s="363">
        <f t="shared" si="39"/>
        <v>0</v>
      </c>
      <c r="AF78" s="287"/>
      <c r="AG78" s="313">
        <f t="shared" si="40"/>
        <v>0</v>
      </c>
      <c r="AH78" s="289">
        <v>3377</v>
      </c>
      <c r="AI78" s="363">
        <f t="shared" si="27"/>
        <v>1</v>
      </c>
      <c r="AJ78" s="323">
        <f t="shared" si="41"/>
        <v>1</v>
      </c>
      <c r="AK78" s="195">
        <f>AL78</f>
        <v>3377</v>
      </c>
      <c r="AL78" s="195">
        <v>3377</v>
      </c>
      <c r="AM78" s="84">
        <f t="shared" si="379"/>
        <v>-0.48000000000320142</v>
      </c>
      <c r="AN78" s="85"/>
      <c r="AO78" s="84">
        <f t="shared" si="380"/>
        <v>0</v>
      </c>
      <c r="AP78" s="81"/>
      <c r="AQ78" s="84">
        <f t="shared" si="381"/>
        <v>0</v>
      </c>
      <c r="AR78" s="85"/>
      <c r="AS78" s="84">
        <f t="shared" si="371"/>
        <v>0</v>
      </c>
      <c r="AT78" s="81"/>
      <c r="AU78" s="84">
        <f t="shared" si="372"/>
        <v>0</v>
      </c>
      <c r="AV78" s="85"/>
      <c r="AW78" s="84">
        <f t="shared" si="373"/>
        <v>0</v>
      </c>
      <c r="AX78" s="85"/>
      <c r="AY78" s="84">
        <f t="shared" si="374"/>
        <v>0</v>
      </c>
      <c r="AZ78" s="85"/>
      <c r="BA78" s="84">
        <f t="shared" si="375"/>
        <v>0</v>
      </c>
      <c r="BB78" s="85"/>
      <c r="BC78" s="84">
        <f t="shared" si="376"/>
        <v>0</v>
      </c>
      <c r="BD78" s="85"/>
      <c r="BE78" s="84">
        <f t="shared" si="377"/>
        <v>0</v>
      </c>
      <c r="BF78" s="85"/>
      <c r="BG78" s="84">
        <f t="shared" si="378"/>
        <v>0</v>
      </c>
      <c r="BH78" s="81"/>
      <c r="BI78" s="214">
        <f t="shared" si="38"/>
        <v>0</v>
      </c>
    </row>
    <row r="79" spans="1:64" x14ac:dyDescent="0.35">
      <c r="A79" s="159" t="s">
        <v>679</v>
      </c>
      <c r="B79" s="180"/>
      <c r="C79" s="83">
        <f>50425.43+85574.95</f>
        <v>136000.38</v>
      </c>
      <c r="D79" s="107">
        <f>'2023-24'!BE79-5719</f>
        <v>5382.2200000000103</v>
      </c>
      <c r="E79" s="304">
        <f>D79</f>
        <v>5382.2200000000103</v>
      </c>
      <c r="F79" s="289">
        <f>1260+806.4</f>
        <v>2066.4</v>
      </c>
      <c r="G79" s="363">
        <f t="shared" si="16"/>
        <v>0.38393079435623145</v>
      </c>
      <c r="H79" s="287"/>
      <c r="I79" s="313">
        <f t="shared" si="17"/>
        <v>0</v>
      </c>
      <c r="J79" s="287">
        <f>7116.64+10439.11</f>
        <v>17555.75</v>
      </c>
      <c r="K79" s="288">
        <f t="shared" si="18"/>
        <v>3.2618046085072638</v>
      </c>
      <c r="L79" s="289">
        <f>6459.76+7870.93</f>
        <v>14330.69</v>
      </c>
      <c r="M79" s="290">
        <f t="shared" si="19"/>
        <v>2.6625983330298602</v>
      </c>
      <c r="N79" s="287">
        <f>19413.94+6475.2</f>
        <v>25889.14</v>
      </c>
      <c r="O79" s="288">
        <f t="shared" si="20"/>
        <v>4.8101229604140947</v>
      </c>
      <c r="P79" s="289">
        <f>23077.32+16348.81+2149.24</f>
        <v>41575.369999999995</v>
      </c>
      <c r="Q79" s="290">
        <f t="shared" si="21"/>
        <v>7.724576475877968</v>
      </c>
      <c r="R79" s="287">
        <f>2115.59+12738.81</f>
        <v>14854.4</v>
      </c>
      <c r="S79" s="288">
        <f t="shared" si="43"/>
        <v>2.7599020478538541</v>
      </c>
      <c r="T79" s="287">
        <f>4589.12</f>
        <v>4589.12</v>
      </c>
      <c r="U79" s="288">
        <f t="shared" si="22"/>
        <v>0.85264444783007587</v>
      </c>
      <c r="V79" s="289">
        <f>8803.77</f>
        <v>8803.77</v>
      </c>
      <c r="W79" s="290">
        <f t="shared" si="23"/>
        <v>1.6357135159841076</v>
      </c>
      <c r="X79" s="287"/>
      <c r="Y79" s="313">
        <f t="shared" si="24"/>
        <v>0</v>
      </c>
      <c r="Z79" s="289"/>
      <c r="AA79" s="363">
        <f t="shared" si="25"/>
        <v>0</v>
      </c>
      <c r="AB79" s="287"/>
      <c r="AC79" s="313">
        <f t="shared" si="26"/>
        <v>0</v>
      </c>
      <c r="AD79" s="289"/>
      <c r="AE79" s="363">
        <f t="shared" si="39"/>
        <v>0</v>
      </c>
      <c r="AF79" s="287"/>
      <c r="AG79" s="313">
        <f t="shared" si="40"/>
        <v>0</v>
      </c>
      <c r="AH79" s="289">
        <v>6335.74</v>
      </c>
      <c r="AI79" s="363">
        <f t="shared" si="27"/>
        <v>1.177161097093762</v>
      </c>
      <c r="AJ79" s="323">
        <f t="shared" si="41"/>
        <v>25.268454280947218</v>
      </c>
      <c r="AK79" s="195">
        <f>AL79</f>
        <v>5382.38</v>
      </c>
      <c r="AL79" s="195">
        <f>4053.05+1329.33</f>
        <v>5382.38</v>
      </c>
      <c r="AM79" s="84">
        <f t="shared" si="379"/>
        <v>-0.15999999998985004</v>
      </c>
      <c r="AN79" s="85"/>
      <c r="AO79" s="84">
        <f t="shared" si="380"/>
        <v>0</v>
      </c>
      <c r="AP79" s="81"/>
      <c r="AQ79" s="84">
        <f t="shared" si="381"/>
        <v>0</v>
      </c>
      <c r="AR79" s="85"/>
      <c r="AS79" s="84">
        <f t="shared" si="371"/>
        <v>0</v>
      </c>
      <c r="AT79" s="81"/>
      <c r="AU79" s="84">
        <f t="shared" si="372"/>
        <v>0</v>
      </c>
      <c r="AV79" s="85"/>
      <c r="AW79" s="84">
        <f t="shared" si="373"/>
        <v>0</v>
      </c>
      <c r="AX79" s="85"/>
      <c r="AY79" s="84">
        <f t="shared" si="374"/>
        <v>0</v>
      </c>
      <c r="AZ79" s="85"/>
      <c r="BA79" s="84">
        <f t="shared" si="375"/>
        <v>0</v>
      </c>
      <c r="BB79" s="85"/>
      <c r="BC79" s="84">
        <f t="shared" si="376"/>
        <v>0</v>
      </c>
      <c r="BD79" s="85"/>
      <c r="BE79" s="84">
        <f t="shared" si="377"/>
        <v>0</v>
      </c>
      <c r="BF79" s="85"/>
      <c r="BG79" s="84">
        <f t="shared" si="378"/>
        <v>0</v>
      </c>
      <c r="BH79" s="81"/>
      <c r="BI79" s="214">
        <f t="shared" si="38"/>
        <v>0</v>
      </c>
      <c r="BJ79"/>
      <c r="BK79"/>
      <c r="BL79"/>
    </row>
    <row r="80" spans="1:64" x14ac:dyDescent="0.35">
      <c r="A80" s="159"/>
      <c r="B80" s="180"/>
      <c r="C80" s="83"/>
      <c r="D80" s="142"/>
      <c r="E80" s="304"/>
      <c r="F80" s="289"/>
      <c r="G80" s="363" t="e">
        <f t="shared" ref="G80:G155" si="382">F80/E80</f>
        <v>#DIV/0!</v>
      </c>
      <c r="H80" s="287"/>
      <c r="I80" s="313" t="e">
        <f t="shared" ref="I80:I155" si="383">H80/E80</f>
        <v>#DIV/0!</v>
      </c>
      <c r="J80" s="287"/>
      <c r="K80" s="288" t="e">
        <f t="shared" ref="K80:K81" si="384">J80/E80</f>
        <v>#DIV/0!</v>
      </c>
      <c r="L80" s="289"/>
      <c r="M80" s="290" t="e">
        <f t="shared" ref="M80:M81" si="385">L80/E80</f>
        <v>#DIV/0!</v>
      </c>
      <c r="N80" s="287"/>
      <c r="O80" s="288" t="e">
        <f t="shared" si="20"/>
        <v>#DIV/0!</v>
      </c>
      <c r="P80" s="289"/>
      <c r="Q80" s="290" t="e">
        <f t="shared" ref="Q80" si="386">P80/E80</f>
        <v>#DIV/0!</v>
      </c>
      <c r="R80" s="287"/>
      <c r="S80" s="288" t="e">
        <f t="shared" si="43"/>
        <v>#DIV/0!</v>
      </c>
      <c r="T80" s="287"/>
      <c r="U80" s="288" t="e">
        <f t="shared" ref="U80" si="387">T80/E80</f>
        <v>#DIV/0!</v>
      </c>
      <c r="V80" s="289"/>
      <c r="W80" s="290" t="e">
        <f t="shared" ref="W80" si="388">V80/E80</f>
        <v>#DIV/0!</v>
      </c>
      <c r="X80" s="287"/>
      <c r="Y80" s="313" t="e">
        <f t="shared" ref="Y80" si="389">X80/E80</f>
        <v>#DIV/0!</v>
      </c>
      <c r="Z80" s="289"/>
      <c r="AA80" s="363" t="e">
        <f t="shared" ref="AA80:AA155" si="390">Z80/E80</f>
        <v>#DIV/0!</v>
      </c>
      <c r="AB80" s="287"/>
      <c r="AC80" s="313" t="e">
        <f t="shared" ref="AC80:AC155" si="391">AB80/E80</f>
        <v>#DIV/0!</v>
      </c>
      <c r="AD80" s="289"/>
      <c r="AE80" s="363" t="e">
        <f t="shared" si="39"/>
        <v>#DIV/0!</v>
      </c>
      <c r="AF80" s="287"/>
      <c r="AG80" s="313" t="e">
        <f t="shared" si="40"/>
        <v>#DIV/0!</v>
      </c>
      <c r="AH80" s="289"/>
      <c r="AI80" s="363" t="e">
        <f>AH80/E80</f>
        <v>#DIV/0!</v>
      </c>
      <c r="AJ80" s="323" t="e">
        <f t="shared" si="41"/>
        <v>#DIV/0!</v>
      </c>
      <c r="AK80" s="81">
        <v>0</v>
      </c>
      <c r="AL80" s="81"/>
      <c r="AM80" s="84">
        <f t="shared" si="379"/>
        <v>0</v>
      </c>
      <c r="AN80" s="85"/>
      <c r="AO80" s="84">
        <f t="shared" si="380"/>
        <v>0</v>
      </c>
      <c r="AP80" s="81"/>
      <c r="AQ80" s="84">
        <f t="shared" si="381"/>
        <v>0</v>
      </c>
      <c r="AR80" s="85"/>
      <c r="AS80" s="84">
        <f t="shared" si="371"/>
        <v>0</v>
      </c>
      <c r="AT80" s="81"/>
      <c r="AU80" s="84">
        <f t="shared" si="372"/>
        <v>0</v>
      </c>
      <c r="AV80" s="85"/>
      <c r="AW80" s="84">
        <f t="shared" si="373"/>
        <v>0</v>
      </c>
      <c r="AX80" s="85"/>
      <c r="AY80" s="84">
        <f t="shared" si="374"/>
        <v>0</v>
      </c>
      <c r="AZ80" s="85"/>
      <c r="BA80" s="84">
        <f t="shared" si="375"/>
        <v>0</v>
      </c>
      <c r="BB80" s="85"/>
      <c r="BC80" s="84">
        <f t="shared" si="376"/>
        <v>0</v>
      </c>
      <c r="BD80" s="85"/>
      <c r="BE80" s="84">
        <f t="shared" si="377"/>
        <v>0</v>
      </c>
      <c r="BF80" s="85"/>
      <c r="BG80" s="84">
        <f t="shared" si="378"/>
        <v>0</v>
      </c>
      <c r="BH80" s="81"/>
      <c r="BI80" s="214">
        <f t="shared" ref="BI80:BI114" si="392">D80-AK80-AM80-AO80-AQ80-AS80-AU80-AW80-AY80-BA80-BC80-BE80-BG80</f>
        <v>0</v>
      </c>
    </row>
    <row r="81" spans="1:64" ht="13.9" x14ac:dyDescent="0.4">
      <c r="A81" s="368" t="s">
        <v>671</v>
      </c>
      <c r="B81" s="369"/>
      <c r="C81" s="370"/>
      <c r="D81" s="371"/>
      <c r="E81" s="304"/>
      <c r="F81" s="289"/>
      <c r="G81" s="363" t="e">
        <f t="shared" si="382"/>
        <v>#DIV/0!</v>
      </c>
      <c r="H81" s="287"/>
      <c r="I81" s="313" t="e">
        <f t="shared" si="383"/>
        <v>#DIV/0!</v>
      </c>
      <c r="J81" s="287"/>
      <c r="K81" s="288" t="e">
        <f t="shared" si="384"/>
        <v>#DIV/0!</v>
      </c>
      <c r="L81" s="289"/>
      <c r="M81" s="290" t="e">
        <f t="shared" si="385"/>
        <v>#DIV/0!</v>
      </c>
      <c r="N81" s="287"/>
      <c r="O81" s="288" t="e">
        <f t="shared" si="20"/>
        <v>#DIV/0!</v>
      </c>
      <c r="P81" s="289"/>
      <c r="Q81" s="290"/>
      <c r="R81" s="287"/>
      <c r="S81" s="288"/>
      <c r="T81" s="287"/>
      <c r="U81" s="288"/>
      <c r="V81" s="289"/>
      <c r="W81" s="290"/>
      <c r="X81" s="287"/>
      <c r="Y81" s="313"/>
      <c r="Z81" s="289"/>
      <c r="AA81" s="363"/>
      <c r="AB81" s="287"/>
      <c r="AC81" s="313"/>
      <c r="AD81" s="289"/>
      <c r="AE81" s="363" t="e">
        <f t="shared" si="39"/>
        <v>#DIV/0!</v>
      </c>
      <c r="AF81" s="287"/>
      <c r="AG81" s="313" t="e">
        <f t="shared" si="40"/>
        <v>#DIV/0!</v>
      </c>
      <c r="AH81" s="289"/>
      <c r="AI81" s="363"/>
      <c r="AJ81" s="323"/>
      <c r="AK81" s="81">
        <v>0</v>
      </c>
      <c r="AL81" s="81"/>
      <c r="AM81" s="84">
        <f t="shared" si="379"/>
        <v>0</v>
      </c>
      <c r="AN81" s="85"/>
      <c r="AO81" s="84">
        <f t="shared" si="380"/>
        <v>0</v>
      </c>
      <c r="AP81" s="81"/>
      <c r="AQ81" s="84">
        <f t="shared" si="381"/>
        <v>0</v>
      </c>
      <c r="AR81" s="85"/>
      <c r="AS81" s="84">
        <f t="shared" si="371"/>
        <v>0</v>
      </c>
      <c r="AT81" s="81"/>
      <c r="AU81" s="84">
        <f t="shared" si="372"/>
        <v>0</v>
      </c>
      <c r="AV81" s="85"/>
      <c r="AW81" s="84">
        <f t="shared" si="373"/>
        <v>0</v>
      </c>
      <c r="AX81" s="85"/>
      <c r="AY81" s="84">
        <f t="shared" si="374"/>
        <v>0</v>
      </c>
      <c r="AZ81" s="85"/>
      <c r="BA81" s="84">
        <f t="shared" si="375"/>
        <v>0</v>
      </c>
      <c r="BB81" s="85"/>
      <c r="BC81" s="84">
        <f t="shared" si="376"/>
        <v>0</v>
      </c>
      <c r="BD81" s="85"/>
      <c r="BE81" s="84">
        <f t="shared" si="377"/>
        <v>0</v>
      </c>
      <c r="BF81" s="85"/>
      <c r="BG81" s="84">
        <f t="shared" si="378"/>
        <v>0</v>
      </c>
      <c r="BH81" s="81"/>
      <c r="BI81" s="214">
        <f t="shared" si="392"/>
        <v>0</v>
      </c>
    </row>
    <row r="82" spans="1:64" x14ac:dyDescent="0.35">
      <c r="A82" s="353"/>
      <c r="B82" s="180"/>
      <c r="C82" s="83"/>
      <c r="D82" s="142"/>
      <c r="E82" s="304"/>
      <c r="F82" s="289"/>
      <c r="G82" s="363" t="e">
        <f>F82/E82</f>
        <v>#DIV/0!</v>
      </c>
      <c r="H82" s="287"/>
      <c r="I82" s="313" t="e">
        <f>H82/E82</f>
        <v>#DIV/0!</v>
      </c>
      <c r="J82" s="287"/>
      <c r="K82" s="288" t="e">
        <f>J82/E82</f>
        <v>#DIV/0!</v>
      </c>
      <c r="L82" s="289"/>
      <c r="M82" s="290" t="e">
        <f>L82/E82</f>
        <v>#DIV/0!</v>
      </c>
      <c r="N82" s="287"/>
      <c r="O82" s="288" t="e">
        <f t="shared" ref="O82" si="393">N82/E82</f>
        <v>#DIV/0!</v>
      </c>
      <c r="P82" s="289"/>
      <c r="Q82" s="290" t="e">
        <f>P82/E82</f>
        <v>#DIV/0!</v>
      </c>
      <c r="R82" s="287"/>
      <c r="S82" s="288" t="e">
        <f t="shared" ref="S82" si="394">R82/E82</f>
        <v>#DIV/0!</v>
      </c>
      <c r="T82" s="287"/>
      <c r="U82" s="288" t="e">
        <f>T82/E82</f>
        <v>#DIV/0!</v>
      </c>
      <c r="V82" s="289"/>
      <c r="W82" s="290" t="e">
        <f>V82/E82</f>
        <v>#DIV/0!</v>
      </c>
      <c r="X82" s="287"/>
      <c r="Y82" s="313" t="e">
        <f>X82/E82</f>
        <v>#DIV/0!</v>
      </c>
      <c r="Z82" s="289"/>
      <c r="AA82" s="363" t="e">
        <f>Z82/E82</f>
        <v>#DIV/0!</v>
      </c>
      <c r="AB82" s="287"/>
      <c r="AC82" s="313" t="e">
        <f>AB82/E82</f>
        <v>#DIV/0!</v>
      </c>
      <c r="AD82" s="289"/>
      <c r="AE82" s="363" t="e">
        <f t="shared" ref="AE82" si="395">AD82/E82</f>
        <v>#DIV/0!</v>
      </c>
      <c r="AF82" s="287"/>
      <c r="AG82" s="313" t="e">
        <f t="shared" ref="AG82" si="396">AF82/E82</f>
        <v>#DIV/0!</v>
      </c>
      <c r="AH82" s="289"/>
      <c r="AI82" s="363" t="e">
        <f t="shared" ref="AI82" si="397">AH82/E82</f>
        <v>#DIV/0!</v>
      </c>
      <c r="AJ82" s="323" t="e">
        <f t="shared" ref="AJ82" si="398">K82+M82+O82+Q82+S82+U82+W82+Y82+AA82+AC82+G82+I82+AI82+AE82+AG82</f>
        <v>#DIV/0!</v>
      </c>
      <c r="AK82" s="81">
        <v>0</v>
      </c>
      <c r="AL82" s="81"/>
      <c r="AM82" s="84">
        <f>E82-AK82</f>
        <v>0</v>
      </c>
      <c r="AN82" s="85"/>
      <c r="AO82" s="84">
        <f t="shared" ref="AO82" si="399">D82-AK82-AM82</f>
        <v>0</v>
      </c>
      <c r="AP82" s="81"/>
      <c r="AQ82" s="84">
        <f t="shared" ref="AQ82" si="400">D82-AK82-AM82-AO82</f>
        <v>0</v>
      </c>
      <c r="AR82" s="85"/>
      <c r="AS82" s="84">
        <f t="shared" ref="AS82" si="401">D82-AK82-AM82-AO82-AQ82</f>
        <v>0</v>
      </c>
      <c r="AT82" s="81"/>
      <c r="AU82" s="84">
        <f t="shared" ref="AU82" si="402">D82-AK82-AM82-AO82-AQ82-AS82</f>
        <v>0</v>
      </c>
      <c r="AV82" s="85"/>
      <c r="AW82" s="84">
        <f t="shared" ref="AW82" si="403">D82-AK82-AM82-AO82-AQ82-AS82-AU82</f>
        <v>0</v>
      </c>
      <c r="AX82" s="85"/>
      <c r="AY82" s="84">
        <f t="shared" ref="AY82" si="404">D82-AK82-AM82-AO82-AQ82-AS82-AU82-AW82</f>
        <v>0</v>
      </c>
      <c r="AZ82" s="85"/>
      <c r="BA82" s="84">
        <f t="shared" ref="BA82" si="405">D82-AK82-AM82-AO82-AQ82-AS82-AU82-AW82-AY82</f>
        <v>0</v>
      </c>
      <c r="BB82" s="85"/>
      <c r="BC82" s="84">
        <f t="shared" ref="BC82" si="406">D82-AK82-AM82-AO82-AQ82-AS82-AU82-AW82-AY82-BA82</f>
        <v>0</v>
      </c>
      <c r="BD82" s="85"/>
      <c r="BE82" s="84">
        <f t="shared" ref="BE82" si="407">D82-AK82-AM82-AO82-AQ82-AS82-AU82-AW82-AY82-BA82-BC82</f>
        <v>0</v>
      </c>
      <c r="BF82" s="85"/>
      <c r="BG82" s="84">
        <f t="shared" ref="BG82" si="408">D82-AK82-AM82-AO82-AQ82-AS82-AU82-AW82-AY82-BA82-BC82-BE82</f>
        <v>0</v>
      </c>
      <c r="BH82" s="81"/>
      <c r="BI82" s="214">
        <f t="shared" ref="BI82" si="409">D82-AK82-AM82-AO82-AQ82-AS82-AU82-AW82-AY82-BA82-BC82-BE82-BG82</f>
        <v>0</v>
      </c>
    </row>
    <row r="83" spans="1:64" x14ac:dyDescent="0.35">
      <c r="A83" s="353" t="s">
        <v>781</v>
      </c>
      <c r="B83" s="180"/>
      <c r="C83" s="83">
        <v>12089.97</v>
      </c>
      <c r="D83" s="107">
        <f>C83</f>
        <v>12089.97</v>
      </c>
      <c r="E83" s="304">
        <f>D83</f>
        <v>12089.97</v>
      </c>
      <c r="F83" s="289"/>
      <c r="G83" s="363">
        <f>F83/E83</f>
        <v>0</v>
      </c>
      <c r="H83" s="287"/>
      <c r="I83" s="313">
        <f>H83/E83</f>
        <v>0</v>
      </c>
      <c r="J83" s="287"/>
      <c r="K83" s="288">
        <f>J83/E83</f>
        <v>0</v>
      </c>
      <c r="L83" s="289">
        <v>4574.8999999999996</v>
      </c>
      <c r="M83" s="290">
        <f>L83/E83</f>
        <v>0.3784045783405583</v>
      </c>
      <c r="N83" s="287"/>
      <c r="O83" s="288">
        <f t="shared" si="20"/>
        <v>0</v>
      </c>
      <c r="P83" s="289"/>
      <c r="Q83" s="290">
        <f>P83/E83</f>
        <v>0</v>
      </c>
      <c r="R83" s="287"/>
      <c r="S83" s="288">
        <f t="shared" ref="S83:S88" si="410">R83/E83</f>
        <v>0</v>
      </c>
      <c r="T83" s="287"/>
      <c r="U83" s="288">
        <f>T83/E83</f>
        <v>0</v>
      </c>
      <c r="V83" s="289"/>
      <c r="W83" s="290">
        <f>V83/E83</f>
        <v>0</v>
      </c>
      <c r="X83" s="287"/>
      <c r="Y83" s="313">
        <f>X83/E83</f>
        <v>0</v>
      </c>
      <c r="Z83" s="289"/>
      <c r="AA83" s="363">
        <f>Z83/E83</f>
        <v>0</v>
      </c>
      <c r="AB83" s="287"/>
      <c r="AC83" s="313">
        <f>AB83/E83</f>
        <v>0</v>
      </c>
      <c r="AD83" s="289"/>
      <c r="AE83" s="363">
        <f t="shared" si="39"/>
        <v>0</v>
      </c>
      <c r="AF83" s="287"/>
      <c r="AG83" s="313">
        <f t="shared" si="40"/>
        <v>0</v>
      </c>
      <c r="AH83" s="289">
        <v>7515.07</v>
      </c>
      <c r="AI83" s="363">
        <f t="shared" ref="AI83:AI90" si="411">AH83/E83</f>
        <v>0.6215954216594417</v>
      </c>
      <c r="AJ83" s="323">
        <f t="shared" si="41"/>
        <v>1</v>
      </c>
      <c r="AK83" s="81">
        <v>0</v>
      </c>
      <c r="AL83" s="81"/>
      <c r="AM83" s="84">
        <v>0</v>
      </c>
      <c r="AN83" s="85"/>
      <c r="AO83" s="84">
        <v>0</v>
      </c>
      <c r="AP83" s="81"/>
      <c r="AQ83" s="84">
        <v>0</v>
      </c>
      <c r="AR83" s="85"/>
      <c r="AS83" s="84">
        <v>0</v>
      </c>
      <c r="AT83" s="81"/>
      <c r="AU83" s="84">
        <v>0</v>
      </c>
      <c r="AV83" s="85"/>
      <c r="AW83" s="84">
        <v>0</v>
      </c>
      <c r="AX83" s="85"/>
      <c r="AY83" s="84">
        <v>0</v>
      </c>
      <c r="AZ83" s="85"/>
      <c r="BA83" s="84">
        <v>0</v>
      </c>
      <c r="BB83" s="85"/>
      <c r="BC83" s="230">
        <f>BD83</f>
        <v>10276.91</v>
      </c>
      <c r="BD83" s="231">
        <v>10276.91</v>
      </c>
      <c r="BE83" s="84">
        <v>0</v>
      </c>
      <c r="BF83" s="85"/>
      <c r="BG83" s="84">
        <f t="shared" si="378"/>
        <v>1813.0599999999995</v>
      </c>
      <c r="BH83" s="81"/>
      <c r="BI83" s="214">
        <f t="shared" si="392"/>
        <v>0</v>
      </c>
      <c r="BJ83" s="69">
        <v>1813</v>
      </c>
    </row>
    <row r="84" spans="1:64" x14ac:dyDescent="0.35">
      <c r="A84" s="353" t="s">
        <v>733</v>
      </c>
      <c r="B84" s="180"/>
      <c r="C84" s="83">
        <f>D84</f>
        <v>36197.619999999995</v>
      </c>
      <c r="D84" s="107">
        <f>67280.98-6667-24977.66+561.3</f>
        <v>36197.619999999995</v>
      </c>
      <c r="E84" s="304">
        <f>D84</f>
        <v>36197.619999999995</v>
      </c>
      <c r="F84" s="289">
        <v>1625</v>
      </c>
      <c r="G84" s="363">
        <f t="shared" ref="G84" si="412">F84/E84</f>
        <v>4.4892454255279775E-2</v>
      </c>
      <c r="H84" s="287"/>
      <c r="I84" s="313">
        <f t="shared" ref="I84" si="413">H84/E84</f>
        <v>0</v>
      </c>
      <c r="J84" s="287"/>
      <c r="K84" s="288">
        <f t="shared" ref="K84" si="414">J84/E84</f>
        <v>0</v>
      </c>
      <c r="L84" s="289">
        <f>14952.45+7865.07</f>
        <v>22817.52</v>
      </c>
      <c r="M84" s="290">
        <f t="shared" ref="M84" si="415">L84/E84</f>
        <v>0.6303596755808808</v>
      </c>
      <c r="N84" s="287"/>
      <c r="O84" s="288">
        <f t="shared" ref="O84" si="416">N84/E84</f>
        <v>0</v>
      </c>
      <c r="P84" s="289">
        <f>3596.76+561.3</f>
        <v>4158.0600000000004</v>
      </c>
      <c r="Q84" s="290">
        <f t="shared" ref="Q84" si="417">P84/E84</f>
        <v>0.11487108820966685</v>
      </c>
      <c r="R84" s="287">
        <v>3201.98</v>
      </c>
      <c r="S84" s="288">
        <f t="shared" si="410"/>
        <v>8.8458301954658911E-2</v>
      </c>
      <c r="T84" s="287">
        <v>4395.1499999999996</v>
      </c>
      <c r="U84" s="288">
        <f t="shared" ref="U84" si="418">T84/E84</f>
        <v>0.12142096635082639</v>
      </c>
      <c r="V84" s="289"/>
      <c r="W84" s="290">
        <f t="shared" ref="W84" si="419">V84/E84</f>
        <v>0</v>
      </c>
      <c r="X84" s="287"/>
      <c r="Y84" s="313">
        <f t="shared" ref="Y84" si="420">X84/E84</f>
        <v>0</v>
      </c>
      <c r="Z84" s="289"/>
      <c r="AA84" s="363">
        <f t="shared" ref="AA84" si="421">Z84/E84</f>
        <v>0</v>
      </c>
      <c r="AB84" s="287"/>
      <c r="AC84" s="313">
        <f t="shared" ref="AC84" si="422">AB84/E84</f>
        <v>0</v>
      </c>
      <c r="AD84" s="289"/>
      <c r="AE84" s="363">
        <f t="shared" si="39"/>
        <v>0</v>
      </c>
      <c r="AF84" s="287"/>
      <c r="AG84" s="313">
        <f t="shared" si="40"/>
        <v>0</v>
      </c>
      <c r="AH84" s="289"/>
      <c r="AI84" s="363">
        <f t="shared" si="411"/>
        <v>0</v>
      </c>
      <c r="AJ84" s="323">
        <f>K84+M84+O84+Q84+S84+U84+W84+Y84+AA84+AC84+G84+I84+AI84+AE84+AG84</f>
        <v>1.0000024863513126</v>
      </c>
      <c r="AK84" s="195">
        <f>AL84</f>
        <v>31059.16</v>
      </c>
      <c r="AL84" s="195">
        <v>31059.16</v>
      </c>
      <c r="AM84" s="230">
        <f>AN84</f>
        <v>-5300.329999999999</v>
      </c>
      <c r="AN84" s="231">
        <f>6681.97-11982.3</f>
        <v>-5300.329999999999</v>
      </c>
      <c r="AO84" s="84">
        <v>0</v>
      </c>
      <c r="AP84" s="81"/>
      <c r="AQ84" s="230">
        <f>AR84</f>
        <v>9496.9599999999991</v>
      </c>
      <c r="AR84" s="231">
        <f>15163.81-5666.85</f>
        <v>9496.9599999999991</v>
      </c>
      <c r="AS84" s="50">
        <v>0</v>
      </c>
      <c r="AT84" s="81"/>
      <c r="AU84" s="230">
        <f t="shared" si="372"/>
        <v>941.82999999999447</v>
      </c>
      <c r="AV84" s="231">
        <v>942</v>
      </c>
      <c r="AW84" s="84">
        <f t="shared" si="373"/>
        <v>0</v>
      </c>
      <c r="AX84" s="85"/>
      <c r="AY84" s="84">
        <f t="shared" si="374"/>
        <v>0</v>
      </c>
      <c r="AZ84" s="85"/>
      <c r="BA84" s="84">
        <f t="shared" si="375"/>
        <v>0</v>
      </c>
      <c r="BB84" s="85"/>
      <c r="BC84" s="84">
        <f t="shared" si="376"/>
        <v>0</v>
      </c>
      <c r="BD84" s="85"/>
      <c r="BE84" s="84">
        <f t="shared" si="377"/>
        <v>0</v>
      </c>
      <c r="BF84" s="85"/>
      <c r="BG84" s="84">
        <f t="shared" si="378"/>
        <v>0</v>
      </c>
      <c r="BH84" s="81"/>
      <c r="BI84" s="214">
        <f t="shared" si="392"/>
        <v>0</v>
      </c>
    </row>
    <row r="85" spans="1:64" x14ac:dyDescent="0.35">
      <c r="A85" s="353" t="s">
        <v>360</v>
      </c>
      <c r="B85" s="180"/>
      <c r="C85" s="83">
        <v>2380.21</v>
      </c>
      <c r="D85" s="107">
        <v>2380.21</v>
      </c>
      <c r="E85" s="304">
        <v>2380.21</v>
      </c>
      <c r="F85" s="289"/>
      <c r="G85" s="363">
        <f t="shared" ref="G85:G86" si="423">F85/E85</f>
        <v>0</v>
      </c>
      <c r="H85" s="287"/>
      <c r="I85" s="313">
        <f t="shared" ref="I85:I86" si="424">H85/E85</f>
        <v>0</v>
      </c>
      <c r="J85" s="287"/>
      <c r="K85" s="288">
        <f t="shared" ref="K85:K86" si="425">J85/E85</f>
        <v>0</v>
      </c>
      <c r="L85" s="289"/>
      <c r="M85" s="290">
        <f t="shared" ref="M85:M86" si="426">L85/E85</f>
        <v>0</v>
      </c>
      <c r="N85" s="287"/>
      <c r="O85" s="288">
        <f t="shared" si="20"/>
        <v>0</v>
      </c>
      <c r="P85" s="289"/>
      <c r="Q85" s="290">
        <f t="shared" ref="Q85:Q86" si="427">P85/E85</f>
        <v>0</v>
      </c>
      <c r="R85" s="287"/>
      <c r="S85" s="288">
        <f t="shared" si="410"/>
        <v>0</v>
      </c>
      <c r="T85" s="287"/>
      <c r="U85" s="288">
        <f t="shared" ref="U85:U86" si="428">T85/E85</f>
        <v>0</v>
      </c>
      <c r="V85" s="289"/>
      <c r="W85" s="290">
        <f t="shared" ref="W85:W86" si="429">V85/E85</f>
        <v>0</v>
      </c>
      <c r="X85" s="287"/>
      <c r="Y85" s="313">
        <f t="shared" ref="Y85:Y86" si="430">X85/E85</f>
        <v>0</v>
      </c>
      <c r="Z85" s="289"/>
      <c r="AA85" s="363">
        <f t="shared" ref="AA85:AA86" si="431">Z85/E85</f>
        <v>0</v>
      </c>
      <c r="AB85" s="287"/>
      <c r="AC85" s="313">
        <f t="shared" ref="AC85:AC86" si="432">AB85/E85</f>
        <v>0</v>
      </c>
      <c r="AD85" s="289"/>
      <c r="AE85" s="363">
        <f t="shared" si="39"/>
        <v>0</v>
      </c>
      <c r="AF85" s="287"/>
      <c r="AG85" s="313">
        <f t="shared" si="40"/>
        <v>0</v>
      </c>
      <c r="AH85" s="289"/>
      <c r="AI85" s="363">
        <f t="shared" si="411"/>
        <v>0</v>
      </c>
      <c r="AJ85" s="323">
        <f t="shared" si="41"/>
        <v>0</v>
      </c>
      <c r="AK85" s="81">
        <v>0</v>
      </c>
      <c r="AL85" s="81"/>
      <c r="AM85" s="84">
        <v>0</v>
      </c>
      <c r="AN85" s="85"/>
      <c r="AO85" s="84">
        <v>0</v>
      </c>
      <c r="AP85" s="81"/>
      <c r="AQ85" s="84"/>
      <c r="AR85" s="85"/>
      <c r="AS85" s="84">
        <v>0</v>
      </c>
      <c r="AT85" s="81"/>
      <c r="AU85" s="84">
        <v>0</v>
      </c>
      <c r="AV85" s="85"/>
      <c r="AW85" s="84">
        <v>0</v>
      </c>
      <c r="AX85" s="85"/>
      <c r="AY85" s="84">
        <v>0</v>
      </c>
      <c r="AZ85" s="85"/>
      <c r="BA85" s="84">
        <v>0</v>
      </c>
      <c r="BB85" s="85">
        <v>0</v>
      </c>
      <c r="BC85" s="84">
        <v>0</v>
      </c>
      <c r="BD85" s="85"/>
      <c r="BE85" s="84">
        <v>0</v>
      </c>
      <c r="BF85" s="85"/>
      <c r="BG85" s="84">
        <v>0</v>
      </c>
      <c r="BH85" s="81"/>
      <c r="BI85" s="214"/>
    </row>
    <row r="86" spans="1:64" x14ac:dyDescent="0.35">
      <c r="A86" s="353" t="s">
        <v>689</v>
      </c>
      <c r="B86" s="180"/>
      <c r="C86" s="83">
        <v>1422.02</v>
      </c>
      <c r="D86" s="107">
        <f>C86</f>
        <v>1422.02</v>
      </c>
      <c r="E86" s="304">
        <f>D86</f>
        <v>1422.02</v>
      </c>
      <c r="F86" s="289"/>
      <c r="G86" s="363">
        <f t="shared" si="423"/>
        <v>0</v>
      </c>
      <c r="H86" s="287"/>
      <c r="I86" s="313">
        <f t="shared" si="424"/>
        <v>0</v>
      </c>
      <c r="J86" s="287"/>
      <c r="K86" s="288">
        <f t="shared" si="425"/>
        <v>0</v>
      </c>
      <c r="L86" s="289">
        <v>13106</v>
      </c>
      <c r="M86" s="290">
        <f t="shared" si="426"/>
        <v>9.2164667163612322</v>
      </c>
      <c r="N86" s="287"/>
      <c r="O86" s="288">
        <f t="shared" ref="O86" si="433">N86/E86</f>
        <v>0</v>
      </c>
      <c r="P86" s="289"/>
      <c r="Q86" s="290">
        <f t="shared" si="427"/>
        <v>0</v>
      </c>
      <c r="R86" s="287"/>
      <c r="S86" s="288">
        <f t="shared" si="410"/>
        <v>0</v>
      </c>
      <c r="T86" s="287"/>
      <c r="U86" s="288">
        <f t="shared" si="428"/>
        <v>0</v>
      </c>
      <c r="V86" s="289"/>
      <c r="W86" s="290">
        <f t="shared" si="429"/>
        <v>0</v>
      </c>
      <c r="X86" s="287"/>
      <c r="Y86" s="313">
        <f t="shared" si="430"/>
        <v>0</v>
      </c>
      <c r="Z86" s="289"/>
      <c r="AA86" s="363">
        <f t="shared" si="431"/>
        <v>0</v>
      </c>
      <c r="AB86" s="287"/>
      <c r="AC86" s="313">
        <f t="shared" si="432"/>
        <v>0</v>
      </c>
      <c r="AD86" s="289"/>
      <c r="AE86" s="363">
        <f t="shared" si="39"/>
        <v>0</v>
      </c>
      <c r="AF86" s="287"/>
      <c r="AG86" s="313">
        <f t="shared" si="40"/>
        <v>0</v>
      </c>
      <c r="AH86" s="289"/>
      <c r="AI86" s="363">
        <f t="shared" si="411"/>
        <v>0</v>
      </c>
      <c r="AJ86" s="323">
        <f t="shared" si="41"/>
        <v>9.2164667163612322</v>
      </c>
      <c r="AK86" s="195">
        <f>AL86</f>
        <v>1422</v>
      </c>
      <c r="AL86" s="195">
        <v>1422</v>
      </c>
      <c r="AM86" s="84">
        <f t="shared" si="379"/>
        <v>1.999999999998181E-2</v>
      </c>
      <c r="AN86" s="85"/>
      <c r="AO86" s="84">
        <v>0</v>
      </c>
      <c r="AP86" s="81"/>
      <c r="AQ86" s="84">
        <f t="shared" si="381"/>
        <v>0</v>
      </c>
      <c r="AR86" s="85"/>
      <c r="AS86" s="84">
        <f t="shared" si="371"/>
        <v>0</v>
      </c>
      <c r="AT86" s="81"/>
      <c r="AU86" s="84">
        <f t="shared" si="372"/>
        <v>0</v>
      </c>
      <c r="AV86" s="85"/>
      <c r="AW86" s="84">
        <f t="shared" si="373"/>
        <v>0</v>
      </c>
      <c r="AX86" s="85"/>
      <c r="AY86" s="84">
        <f t="shared" si="374"/>
        <v>0</v>
      </c>
      <c r="AZ86" s="85"/>
      <c r="BA86" s="84">
        <f t="shared" si="375"/>
        <v>0</v>
      </c>
      <c r="BB86" s="85"/>
      <c r="BC86" s="84">
        <f t="shared" si="376"/>
        <v>0</v>
      </c>
      <c r="BD86" s="85"/>
      <c r="BE86" s="84">
        <f t="shared" si="377"/>
        <v>0</v>
      </c>
      <c r="BF86" s="85"/>
      <c r="BG86" s="84">
        <f t="shared" si="378"/>
        <v>0</v>
      </c>
      <c r="BH86" s="81"/>
      <c r="BI86" s="214">
        <f t="shared" si="392"/>
        <v>0</v>
      </c>
    </row>
    <row r="87" spans="1:64" x14ac:dyDescent="0.35">
      <c r="A87" s="187" t="s">
        <v>610</v>
      </c>
      <c r="B87" s="180"/>
      <c r="C87" s="83">
        <f>43673.49+15094.72+31159.71+4859.26+666.67-389.85</f>
        <v>95063.999999999985</v>
      </c>
      <c r="D87" s="107">
        <v>13865</v>
      </c>
      <c r="E87" s="304">
        <f>D87</f>
        <v>13865</v>
      </c>
      <c r="F87" s="289">
        <v>1411</v>
      </c>
      <c r="G87" s="363">
        <f>F87/E87</f>
        <v>0.10176703930760909</v>
      </c>
      <c r="H87" s="287"/>
      <c r="I87" s="313">
        <f>H87/E87</f>
        <v>0</v>
      </c>
      <c r="J87" s="287"/>
      <c r="K87" s="288">
        <f>J87/E87</f>
        <v>0</v>
      </c>
      <c r="L87" s="289">
        <f>22190.31+1920</f>
        <v>24110.31</v>
      </c>
      <c r="M87" s="290">
        <f>L87/E87</f>
        <v>1.7389332852506312</v>
      </c>
      <c r="N87" s="287"/>
      <c r="O87" s="288">
        <f>N87/E87</f>
        <v>0</v>
      </c>
      <c r="P87" s="289"/>
      <c r="Q87" s="290">
        <f>P87/E87</f>
        <v>0</v>
      </c>
      <c r="R87" s="287"/>
      <c r="S87" s="288">
        <f t="shared" si="410"/>
        <v>0</v>
      </c>
      <c r="T87" s="287">
        <f>14840.24+7469.56</f>
        <v>22309.8</v>
      </c>
      <c r="U87" s="288">
        <f>T87/E87</f>
        <v>1.6090732059141724</v>
      </c>
      <c r="V87" s="289"/>
      <c r="W87" s="290">
        <f>V87/E87</f>
        <v>0</v>
      </c>
      <c r="X87" s="287"/>
      <c r="Y87" s="313">
        <f>X87/E87</f>
        <v>0</v>
      </c>
      <c r="Z87" s="289"/>
      <c r="AA87" s="363">
        <f>Z87/E87</f>
        <v>0</v>
      </c>
      <c r="AB87" s="287"/>
      <c r="AC87" s="313">
        <f>AB87/E87</f>
        <v>0</v>
      </c>
      <c r="AD87" s="289"/>
      <c r="AE87" s="363">
        <f t="shared" si="39"/>
        <v>0</v>
      </c>
      <c r="AF87" s="287"/>
      <c r="AG87" s="313">
        <f t="shared" si="40"/>
        <v>0</v>
      </c>
      <c r="AH87" s="289">
        <v>42096.9</v>
      </c>
      <c r="AI87" s="363">
        <f t="shared" si="411"/>
        <v>3.0361990623873063</v>
      </c>
      <c r="AJ87" s="323">
        <f t="shared" si="41"/>
        <v>6.4859725928597189</v>
      </c>
      <c r="AK87" s="195">
        <f>AL87</f>
        <v>11933.58</v>
      </c>
      <c r="AL87" s="195">
        <f>11079.94+853.64</f>
        <v>11933.58</v>
      </c>
      <c r="AM87" s="84">
        <v>0</v>
      </c>
      <c r="AN87" s="85"/>
      <c r="AO87" s="84">
        <v>0</v>
      </c>
      <c r="AP87" s="81"/>
      <c r="AQ87" s="84"/>
      <c r="AR87" s="85"/>
      <c r="AS87" s="84">
        <v>0</v>
      </c>
      <c r="AT87" s="81"/>
      <c r="AU87" s="230">
        <f>AV87</f>
        <v>1931.1</v>
      </c>
      <c r="AV87" s="231">
        <f>666.67+1654.28-389.85</f>
        <v>1931.1</v>
      </c>
      <c r="AW87" s="84"/>
      <c r="AX87" s="85"/>
      <c r="AY87" s="84">
        <f t="shared" si="374"/>
        <v>0.32000000000016371</v>
      </c>
      <c r="AZ87" s="85"/>
      <c r="BA87" s="84">
        <f t="shared" si="375"/>
        <v>0</v>
      </c>
      <c r="BB87" s="85"/>
      <c r="BC87" s="84">
        <f t="shared" si="376"/>
        <v>0</v>
      </c>
      <c r="BD87" s="85"/>
      <c r="BE87" s="84">
        <f t="shared" si="377"/>
        <v>0</v>
      </c>
      <c r="BF87" s="85"/>
      <c r="BG87" s="84">
        <f t="shared" si="378"/>
        <v>0</v>
      </c>
      <c r="BH87" s="81"/>
      <c r="BI87" s="214">
        <f t="shared" si="392"/>
        <v>0</v>
      </c>
      <c r="BJ87"/>
      <c r="BK87"/>
      <c r="BL87"/>
    </row>
    <row r="88" spans="1:64" x14ac:dyDescent="0.35">
      <c r="A88" s="187" t="s">
        <v>630</v>
      </c>
      <c r="B88" s="180"/>
      <c r="C88" s="83">
        <v>46206</v>
      </c>
      <c r="D88" s="107">
        <f>'2023-24'!BE90</f>
        <v>17014.62</v>
      </c>
      <c r="E88" s="304">
        <f>+D88</f>
        <v>17014.62</v>
      </c>
      <c r="F88" s="289">
        <v>1260</v>
      </c>
      <c r="G88" s="363">
        <f>F88/E88</f>
        <v>7.4053960652662246E-2</v>
      </c>
      <c r="H88" s="287"/>
      <c r="I88" s="313">
        <f>H88/E88</f>
        <v>0</v>
      </c>
      <c r="J88" s="287">
        <v>7046</v>
      </c>
      <c r="K88" s="288">
        <f>J88/E88</f>
        <v>0.41411444980845885</v>
      </c>
      <c r="L88" s="289">
        <f>25182+503+2342</f>
        <v>28027</v>
      </c>
      <c r="M88" s="290">
        <f>L88/E88</f>
        <v>1.6472304406445752</v>
      </c>
      <c r="N88" s="287"/>
      <c r="O88" s="288">
        <f>N88/E88</f>
        <v>0</v>
      </c>
      <c r="P88" s="289">
        <f>11133+1924.17</f>
        <v>13057.17</v>
      </c>
      <c r="Q88" s="290">
        <f>P88/E88</f>
        <v>0.76740885191676345</v>
      </c>
      <c r="R88" s="287"/>
      <c r="S88" s="288">
        <f t="shared" si="410"/>
        <v>0</v>
      </c>
      <c r="T88" s="287"/>
      <c r="U88" s="288">
        <f>T88/E88</f>
        <v>0</v>
      </c>
      <c r="V88" s="289"/>
      <c r="W88" s="290">
        <f>V88/E88</f>
        <v>0</v>
      </c>
      <c r="X88" s="287"/>
      <c r="Y88" s="313">
        <f>X88/E88</f>
        <v>0</v>
      </c>
      <c r="Z88" s="289"/>
      <c r="AA88" s="363">
        <f>Z88/E88</f>
        <v>0</v>
      </c>
      <c r="AB88" s="287"/>
      <c r="AC88" s="313">
        <f>AB88/E88</f>
        <v>0</v>
      </c>
      <c r="AD88" s="289"/>
      <c r="AE88" s="363">
        <f t="shared" si="39"/>
        <v>0</v>
      </c>
      <c r="AF88" s="287"/>
      <c r="AG88" s="313">
        <f t="shared" si="40"/>
        <v>0</v>
      </c>
      <c r="AH88" s="289"/>
      <c r="AI88" s="363">
        <f t="shared" si="411"/>
        <v>0</v>
      </c>
      <c r="AJ88" s="323">
        <f t="shared" si="41"/>
        <v>2.9028077030224599</v>
      </c>
      <c r="AK88" s="81">
        <v>0</v>
      </c>
      <c r="AL88" s="81"/>
      <c r="AM88" s="84">
        <v>0</v>
      </c>
      <c r="AN88" s="85"/>
      <c r="AO88" s="84">
        <v>0</v>
      </c>
      <c r="AP88" s="81"/>
      <c r="AQ88" s="84">
        <v>0</v>
      </c>
      <c r="AR88" s="85"/>
      <c r="AS88" s="84">
        <v>0</v>
      </c>
      <c r="AT88" s="81"/>
      <c r="AU88" s="84">
        <v>0</v>
      </c>
      <c r="AV88" s="85"/>
      <c r="AW88" s="84">
        <v>0</v>
      </c>
      <c r="AX88" s="85"/>
      <c r="AY88" s="84">
        <v>0</v>
      </c>
      <c r="AZ88" s="85"/>
      <c r="BA88" s="84"/>
      <c r="BB88" s="85"/>
      <c r="BC88" s="84">
        <v>0</v>
      </c>
      <c r="BD88" s="85"/>
      <c r="BE88" s="84">
        <v>0</v>
      </c>
      <c r="BF88" s="85"/>
      <c r="BG88" s="230">
        <f>BH88</f>
        <v>7348.63</v>
      </c>
      <c r="BH88" s="195">
        <f>1792.09+3933.78+1622.76</f>
        <v>7348.63</v>
      </c>
      <c r="BI88" s="214">
        <f t="shared" si="392"/>
        <v>9665.989999999998</v>
      </c>
      <c r="BJ88"/>
      <c r="BK88"/>
      <c r="BL88"/>
    </row>
    <row r="89" spans="1:64" x14ac:dyDescent="0.35">
      <c r="A89" s="187" t="s">
        <v>585</v>
      </c>
      <c r="B89" s="180"/>
      <c r="C89" s="83">
        <v>6213</v>
      </c>
      <c r="D89" s="107">
        <v>0</v>
      </c>
      <c r="E89" s="304">
        <v>6213</v>
      </c>
      <c r="F89" s="289"/>
      <c r="G89" s="363">
        <f t="shared" si="382"/>
        <v>0</v>
      </c>
      <c r="H89" s="287"/>
      <c r="I89" s="313">
        <f t="shared" si="383"/>
        <v>0</v>
      </c>
      <c r="J89" s="287"/>
      <c r="K89" s="288">
        <f t="shared" ref="K89:K167" si="434">J89/E89</f>
        <v>0</v>
      </c>
      <c r="L89" s="289"/>
      <c r="M89" s="290">
        <f t="shared" ref="M89:M167" si="435">L89/E89</f>
        <v>0</v>
      </c>
      <c r="N89" s="287"/>
      <c r="O89" s="288">
        <f t="shared" ref="O89:O167" si="436">N89/E89</f>
        <v>0</v>
      </c>
      <c r="P89" s="289"/>
      <c r="Q89" s="290">
        <f t="shared" ref="Q89:Q167" si="437">P89/E89</f>
        <v>0</v>
      </c>
      <c r="R89" s="287"/>
      <c r="S89" s="288">
        <f t="shared" si="43"/>
        <v>0</v>
      </c>
      <c r="T89" s="287"/>
      <c r="U89" s="288">
        <f t="shared" ref="U89:U167" si="438">T89/E89</f>
        <v>0</v>
      </c>
      <c r="V89" s="289"/>
      <c r="W89" s="290">
        <f t="shared" ref="W89:W167" si="439">V89/E89</f>
        <v>0</v>
      </c>
      <c r="X89" s="287"/>
      <c r="Y89" s="313">
        <f t="shared" ref="Y89:Y167" si="440">X89/E89</f>
        <v>0</v>
      </c>
      <c r="Z89" s="289"/>
      <c r="AA89" s="363">
        <f t="shared" si="390"/>
        <v>0</v>
      </c>
      <c r="AB89" s="287">
        <v>6213</v>
      </c>
      <c r="AC89" s="313">
        <f t="shared" si="391"/>
        <v>1</v>
      </c>
      <c r="AD89" s="289"/>
      <c r="AE89" s="363">
        <f t="shared" si="39"/>
        <v>0</v>
      </c>
      <c r="AF89" s="287">
        <v>0</v>
      </c>
      <c r="AG89" s="313">
        <f t="shared" si="40"/>
        <v>0</v>
      </c>
      <c r="AH89" s="289"/>
      <c r="AI89" s="363">
        <f t="shared" si="411"/>
        <v>0</v>
      </c>
      <c r="AJ89" s="323">
        <f t="shared" si="41"/>
        <v>1</v>
      </c>
      <c r="AK89" s="81">
        <v>0</v>
      </c>
      <c r="AL89" s="81"/>
      <c r="AM89" s="84">
        <v>0</v>
      </c>
      <c r="AN89" s="85"/>
      <c r="AO89" s="84">
        <v>0</v>
      </c>
      <c r="AP89" s="81"/>
      <c r="AQ89" s="84"/>
      <c r="AR89" s="85"/>
      <c r="AS89" s="84">
        <v>0</v>
      </c>
      <c r="AT89" s="81"/>
      <c r="AU89" s="84">
        <v>0</v>
      </c>
      <c r="AV89" s="85"/>
      <c r="AW89" s="84">
        <v>0</v>
      </c>
      <c r="AX89" s="85"/>
      <c r="AY89" s="84">
        <f t="shared" si="374"/>
        <v>0</v>
      </c>
      <c r="AZ89" s="85"/>
      <c r="BA89" s="84">
        <f t="shared" si="375"/>
        <v>0</v>
      </c>
      <c r="BB89" s="85"/>
      <c r="BC89" s="84">
        <f t="shared" si="376"/>
        <v>0</v>
      </c>
      <c r="BD89" s="85"/>
      <c r="BE89" s="84">
        <f t="shared" si="377"/>
        <v>0</v>
      </c>
      <c r="BF89" s="85"/>
      <c r="BG89" s="84">
        <f t="shared" si="378"/>
        <v>0</v>
      </c>
      <c r="BH89" s="81"/>
      <c r="BI89" s="214">
        <f t="shared" si="392"/>
        <v>0</v>
      </c>
    </row>
    <row r="90" spans="1:64" x14ac:dyDescent="0.35">
      <c r="A90" s="353"/>
      <c r="B90" s="180"/>
      <c r="C90" s="83"/>
      <c r="D90" s="142"/>
      <c r="E90" s="304"/>
      <c r="F90" s="289"/>
      <c r="G90" s="363" t="e">
        <f t="shared" si="382"/>
        <v>#DIV/0!</v>
      </c>
      <c r="H90" s="287"/>
      <c r="I90" s="313" t="e">
        <f t="shared" si="383"/>
        <v>#DIV/0!</v>
      </c>
      <c r="J90" s="287"/>
      <c r="K90" s="288" t="e">
        <f t="shared" si="434"/>
        <v>#DIV/0!</v>
      </c>
      <c r="L90" s="289"/>
      <c r="M90" s="290" t="e">
        <f t="shared" si="435"/>
        <v>#DIV/0!</v>
      </c>
      <c r="N90" s="287"/>
      <c r="O90" s="288" t="e">
        <f t="shared" si="436"/>
        <v>#DIV/0!</v>
      </c>
      <c r="P90" s="289"/>
      <c r="Q90" s="290" t="e">
        <f t="shared" si="437"/>
        <v>#DIV/0!</v>
      </c>
      <c r="R90" s="287"/>
      <c r="S90" s="288" t="e">
        <f t="shared" si="43"/>
        <v>#DIV/0!</v>
      </c>
      <c r="T90" s="287"/>
      <c r="U90" s="288" t="e">
        <f t="shared" si="438"/>
        <v>#DIV/0!</v>
      </c>
      <c r="V90" s="289"/>
      <c r="W90" s="290" t="e">
        <f t="shared" si="439"/>
        <v>#DIV/0!</v>
      </c>
      <c r="X90" s="287"/>
      <c r="Y90" s="313" t="e">
        <f t="shared" si="440"/>
        <v>#DIV/0!</v>
      </c>
      <c r="Z90" s="289"/>
      <c r="AA90" s="363" t="e">
        <f t="shared" si="390"/>
        <v>#DIV/0!</v>
      </c>
      <c r="AB90" s="287"/>
      <c r="AC90" s="313" t="e">
        <f t="shared" si="391"/>
        <v>#DIV/0!</v>
      </c>
      <c r="AD90" s="289"/>
      <c r="AE90" s="363" t="e">
        <f t="shared" si="39"/>
        <v>#DIV/0!</v>
      </c>
      <c r="AF90" s="287"/>
      <c r="AG90" s="313" t="e">
        <f t="shared" si="40"/>
        <v>#DIV/0!</v>
      </c>
      <c r="AH90" s="289"/>
      <c r="AI90" s="363" t="e">
        <f t="shared" si="411"/>
        <v>#DIV/0!</v>
      </c>
      <c r="AJ90" s="323" t="e">
        <f t="shared" si="41"/>
        <v>#DIV/0!</v>
      </c>
      <c r="AK90" s="81">
        <v>0</v>
      </c>
      <c r="AL90" s="81"/>
      <c r="AM90" s="84">
        <v>0</v>
      </c>
      <c r="AN90" s="85"/>
      <c r="AO90" s="84">
        <f t="shared" si="380"/>
        <v>0</v>
      </c>
      <c r="AP90" s="81"/>
      <c r="AQ90" s="84">
        <f t="shared" si="381"/>
        <v>0</v>
      </c>
      <c r="AR90" s="85"/>
      <c r="AS90" s="84">
        <f t="shared" si="371"/>
        <v>0</v>
      </c>
      <c r="AT90" s="81"/>
      <c r="AU90" s="84">
        <f t="shared" si="372"/>
        <v>0</v>
      </c>
      <c r="AV90" s="85"/>
      <c r="AW90" s="84">
        <f t="shared" si="373"/>
        <v>0</v>
      </c>
      <c r="AX90" s="85"/>
      <c r="AY90" s="84">
        <f t="shared" si="374"/>
        <v>0</v>
      </c>
      <c r="AZ90" s="85"/>
      <c r="BA90" s="84">
        <f t="shared" si="375"/>
        <v>0</v>
      </c>
      <c r="BB90" s="85"/>
      <c r="BC90" s="84">
        <f t="shared" si="376"/>
        <v>0</v>
      </c>
      <c r="BD90" s="85"/>
      <c r="BE90" s="84">
        <f t="shared" si="377"/>
        <v>0</v>
      </c>
      <c r="BF90" s="85"/>
      <c r="BG90" s="84">
        <f t="shared" si="378"/>
        <v>0</v>
      </c>
      <c r="BH90" s="81"/>
      <c r="BI90" s="214">
        <f t="shared" si="392"/>
        <v>0</v>
      </c>
    </row>
    <row r="91" spans="1:64" ht="13.9" x14ac:dyDescent="0.4">
      <c r="A91" s="368" t="s">
        <v>525</v>
      </c>
      <c r="B91" s="369"/>
      <c r="C91" s="370"/>
      <c r="D91" s="371"/>
      <c r="E91" s="304"/>
      <c r="F91" s="289"/>
      <c r="G91" s="363" t="e">
        <f t="shared" si="382"/>
        <v>#DIV/0!</v>
      </c>
      <c r="H91" s="287"/>
      <c r="I91" s="313" t="e">
        <f t="shared" si="383"/>
        <v>#DIV/0!</v>
      </c>
      <c r="J91" s="287"/>
      <c r="K91" s="288" t="e">
        <f t="shared" si="434"/>
        <v>#DIV/0!</v>
      </c>
      <c r="L91" s="289"/>
      <c r="M91" s="290" t="e">
        <f t="shared" si="435"/>
        <v>#DIV/0!</v>
      </c>
      <c r="N91" s="287"/>
      <c r="O91" s="288"/>
      <c r="P91" s="289"/>
      <c r="Q91" s="290"/>
      <c r="R91" s="287"/>
      <c r="S91" s="288"/>
      <c r="T91" s="287"/>
      <c r="U91" s="288"/>
      <c r="V91" s="289"/>
      <c r="W91" s="290"/>
      <c r="X91" s="287"/>
      <c r="Y91" s="313"/>
      <c r="Z91" s="289"/>
      <c r="AA91" s="363"/>
      <c r="AB91" s="287"/>
      <c r="AC91" s="313"/>
      <c r="AD91" s="289"/>
      <c r="AE91" s="363" t="e">
        <f t="shared" si="39"/>
        <v>#DIV/0!</v>
      </c>
      <c r="AF91" s="287"/>
      <c r="AG91" s="313" t="e">
        <f t="shared" si="40"/>
        <v>#DIV/0!</v>
      </c>
      <c r="AH91" s="289"/>
      <c r="AI91" s="363"/>
      <c r="AJ91" s="323"/>
      <c r="AK91" s="81">
        <v>0</v>
      </c>
      <c r="AL91" s="81"/>
      <c r="AM91" s="84">
        <f t="shared" si="379"/>
        <v>0</v>
      </c>
      <c r="AN91" s="85"/>
      <c r="AO91" s="84">
        <f t="shared" si="380"/>
        <v>0</v>
      </c>
      <c r="AP91" s="81"/>
      <c r="AQ91" s="84">
        <f t="shared" si="381"/>
        <v>0</v>
      </c>
      <c r="AR91" s="85"/>
      <c r="AS91" s="84">
        <f t="shared" si="371"/>
        <v>0</v>
      </c>
      <c r="AT91" s="81"/>
      <c r="AU91" s="84">
        <f t="shared" si="372"/>
        <v>0</v>
      </c>
      <c r="AV91" s="85"/>
      <c r="AW91" s="84">
        <f t="shared" si="373"/>
        <v>0</v>
      </c>
      <c r="AX91" s="85"/>
      <c r="AY91" s="84">
        <f t="shared" si="374"/>
        <v>0</v>
      </c>
      <c r="AZ91" s="85"/>
      <c r="BA91" s="84">
        <f t="shared" si="375"/>
        <v>0</v>
      </c>
      <c r="BB91" s="85"/>
      <c r="BC91" s="84">
        <f t="shared" si="376"/>
        <v>0</v>
      </c>
      <c r="BD91" s="85"/>
      <c r="BE91" s="84">
        <f t="shared" si="377"/>
        <v>0</v>
      </c>
      <c r="BF91" s="85"/>
      <c r="BG91" s="84">
        <f t="shared" si="378"/>
        <v>0</v>
      </c>
      <c r="BH91" s="81"/>
      <c r="BI91" s="214">
        <f t="shared" si="392"/>
        <v>0</v>
      </c>
    </row>
    <row r="92" spans="1:64" x14ac:dyDescent="0.35">
      <c r="A92" s="159"/>
      <c r="B92" s="180"/>
      <c r="C92" s="83"/>
      <c r="D92" s="142"/>
      <c r="E92" s="304"/>
      <c r="F92" s="289"/>
      <c r="G92" s="363" t="e">
        <f t="shared" ref="G92:G103" si="441">F92/E92</f>
        <v>#DIV/0!</v>
      </c>
      <c r="H92" s="287"/>
      <c r="I92" s="313" t="e">
        <f t="shared" ref="I92:I103" si="442">H92/E92</f>
        <v>#DIV/0!</v>
      </c>
      <c r="J92" s="287"/>
      <c r="K92" s="288" t="e">
        <f t="shared" ref="K92:K103" si="443">J92/E92</f>
        <v>#DIV/0!</v>
      </c>
      <c r="L92" s="289"/>
      <c r="M92" s="290" t="e">
        <f t="shared" ref="M92:M103" si="444">L92/E92</f>
        <v>#DIV/0!</v>
      </c>
      <c r="N92" s="287"/>
      <c r="O92" s="288" t="e">
        <f t="shared" ref="O92:O103" si="445">N92/E92</f>
        <v>#DIV/0!</v>
      </c>
      <c r="P92" s="289"/>
      <c r="Q92" s="290" t="e">
        <f t="shared" ref="Q92:Q103" si="446">P92/E92</f>
        <v>#DIV/0!</v>
      </c>
      <c r="R92" s="287"/>
      <c r="S92" s="288" t="e">
        <f t="shared" ref="S92:S103" si="447">R92/E92</f>
        <v>#DIV/0!</v>
      </c>
      <c r="T92" s="287"/>
      <c r="U92" s="288" t="e">
        <f t="shared" ref="U92:U103" si="448">T92/E92</f>
        <v>#DIV/0!</v>
      </c>
      <c r="V92" s="289"/>
      <c r="W92" s="290" t="e">
        <f t="shared" ref="W92:W103" si="449">V92/E92</f>
        <v>#DIV/0!</v>
      </c>
      <c r="X92" s="287"/>
      <c r="Y92" s="313" t="e">
        <f t="shared" ref="Y92:Y103" si="450">X92/E92</f>
        <v>#DIV/0!</v>
      </c>
      <c r="Z92" s="289"/>
      <c r="AA92" s="363" t="e">
        <f t="shared" ref="AA92:AA103" si="451">Z92/E92</f>
        <v>#DIV/0!</v>
      </c>
      <c r="AB92" s="287"/>
      <c r="AC92" s="313" t="e">
        <f t="shared" ref="AC92:AC103" si="452">AB92/E92</f>
        <v>#DIV/0!</v>
      </c>
      <c r="AD92" s="289"/>
      <c r="AE92" s="363" t="e">
        <f t="shared" ref="AE92:AE103" si="453">AD92/E92</f>
        <v>#DIV/0!</v>
      </c>
      <c r="AF92" s="287"/>
      <c r="AG92" s="313" t="e">
        <f t="shared" ref="AG92:AG103" si="454">AF92/E92</f>
        <v>#DIV/0!</v>
      </c>
      <c r="AH92" s="289"/>
      <c r="AI92" s="363" t="e">
        <f t="shared" ref="AI92:AI103" si="455">AH92/E92</f>
        <v>#DIV/0!</v>
      </c>
      <c r="AJ92" s="323" t="e">
        <f t="shared" ref="AJ92:AJ103" si="456">K92+M92+O92+Q92+S92+U92+W92+Y92+AA92+AC92+G92+I92+AI92+AE92+AG92</f>
        <v>#DIV/0!</v>
      </c>
      <c r="AK92" s="81">
        <v>0</v>
      </c>
      <c r="AL92" s="81"/>
      <c r="AM92" s="84">
        <f t="shared" ref="AM92" si="457">E92-AK92</f>
        <v>0</v>
      </c>
      <c r="AN92" s="85"/>
      <c r="AO92" s="84">
        <f t="shared" ref="AO92" si="458">D92-AK92-AM92</f>
        <v>0</v>
      </c>
      <c r="AP92" s="81"/>
      <c r="AQ92" s="84">
        <f t="shared" ref="AQ92" si="459">D92-AK92-AM92-AO92</f>
        <v>0</v>
      </c>
      <c r="AR92" s="85"/>
      <c r="AS92" s="84">
        <f t="shared" ref="AS92" si="460">D92-AK92-AM92-AO92-AQ92</f>
        <v>0</v>
      </c>
      <c r="AT92" s="81"/>
      <c r="AU92" s="84">
        <f t="shared" ref="AU92" si="461">D92-AK92-AM92-AO92-AQ92-AS92</f>
        <v>0</v>
      </c>
      <c r="AV92" s="85"/>
      <c r="AW92" s="84">
        <f t="shared" ref="AW92" si="462">D92-AK92-AM92-AO92-AQ92-AS92-AU92</f>
        <v>0</v>
      </c>
      <c r="AX92" s="85"/>
      <c r="AY92" s="84">
        <f t="shared" ref="AY92" si="463">D92-AK92-AM92-AO92-AQ92-AS92-AU92-AW92</f>
        <v>0</v>
      </c>
      <c r="AZ92" s="85"/>
      <c r="BA92" s="84">
        <f t="shared" ref="BA92" si="464">D92-AK92-AM92-AO92-AQ92-AS92-AU92-AW92-AY92</f>
        <v>0</v>
      </c>
      <c r="BB92" s="85"/>
      <c r="BC92" s="84">
        <f t="shared" ref="BC92" si="465">D92-AK92-AM92-AO92-AQ92-AS92-AU92-AW92-AY92-BA92</f>
        <v>0</v>
      </c>
      <c r="BD92" s="85"/>
      <c r="BE92" s="84">
        <f t="shared" ref="BE92" si="466">D92-AK92-AM92-AO92-AQ92-AS92-AU92-AW92-AY92-BA92-BC92</f>
        <v>0</v>
      </c>
      <c r="BF92" s="85"/>
      <c r="BG92" s="84">
        <f t="shared" ref="BG92" si="467">D92-AK92-AM92-AO92-AQ92-AS92-AU92-AW92-AY92-BA92-BC92-BE92</f>
        <v>0</v>
      </c>
      <c r="BH92" s="81"/>
      <c r="BI92" s="214">
        <f t="shared" ref="BI92:BI103" si="468">D92-AK92-AM92-AO92-AQ92-AS92-AU92-AW92-AY92-BA92-BC92-BE92-BG92</f>
        <v>0</v>
      </c>
    </row>
    <row r="93" spans="1:64" x14ac:dyDescent="0.35">
      <c r="A93" s="211" t="s">
        <v>567</v>
      </c>
      <c r="B93" s="180"/>
      <c r="C93" s="83">
        <v>3428.96</v>
      </c>
      <c r="D93" s="105">
        <f>C93</f>
        <v>3428.96</v>
      </c>
      <c r="E93" s="304">
        <f>D93</f>
        <v>3428.96</v>
      </c>
      <c r="F93" s="289"/>
      <c r="G93" s="363">
        <f t="shared" ref="G93" si="469">F93/E93</f>
        <v>0</v>
      </c>
      <c r="H93" s="287"/>
      <c r="I93" s="313">
        <f t="shared" ref="I93" si="470">H93/E93</f>
        <v>0</v>
      </c>
      <c r="J93" s="287"/>
      <c r="K93" s="288">
        <f t="shared" ref="K93" si="471">J93/E93</f>
        <v>0</v>
      </c>
      <c r="L93" s="289"/>
      <c r="M93" s="290">
        <f t="shared" ref="M93" si="472">L93/E93</f>
        <v>0</v>
      </c>
      <c r="N93" s="287">
        <v>3428.96</v>
      </c>
      <c r="O93" s="288">
        <f t="shared" ref="O93" si="473">N93/E93</f>
        <v>1</v>
      </c>
      <c r="P93" s="289"/>
      <c r="Q93" s="290">
        <f t="shared" ref="Q93" si="474">P93/E93</f>
        <v>0</v>
      </c>
      <c r="R93" s="287"/>
      <c r="S93" s="288">
        <f t="shared" ref="S93" si="475">R93/E93</f>
        <v>0</v>
      </c>
      <c r="T93" s="287"/>
      <c r="U93" s="288">
        <f t="shared" ref="U93" si="476">T93/E93</f>
        <v>0</v>
      </c>
      <c r="V93" s="289"/>
      <c r="W93" s="290">
        <f t="shared" ref="W93" si="477">V93/E93</f>
        <v>0</v>
      </c>
      <c r="X93" s="287"/>
      <c r="Y93" s="313">
        <f t="shared" ref="Y93" si="478">X93/E93</f>
        <v>0</v>
      </c>
      <c r="Z93" s="289"/>
      <c r="AA93" s="363">
        <f t="shared" ref="AA93" si="479">Z93/E93</f>
        <v>0</v>
      </c>
      <c r="AB93" s="287"/>
      <c r="AC93" s="313">
        <f t="shared" ref="AC93" si="480">AB93/E93</f>
        <v>0</v>
      </c>
      <c r="AD93" s="289"/>
      <c r="AE93" s="363">
        <f t="shared" ref="AE93" si="481">AD93/E93</f>
        <v>0</v>
      </c>
      <c r="AF93" s="287"/>
      <c r="AG93" s="313">
        <f t="shared" ref="AG93" si="482">AF93/E93</f>
        <v>0</v>
      </c>
      <c r="AH93" s="289"/>
      <c r="AI93" s="363">
        <f t="shared" ref="AI93" si="483">AH93/E93</f>
        <v>0</v>
      </c>
      <c r="AJ93" s="323">
        <f t="shared" ref="AJ93" si="484">K93+M93+O93+Q93+S93+U93+W93+Y93+AA93+AC93+G93+I93+AI93+AE93+AG93</f>
        <v>1</v>
      </c>
      <c r="AK93" s="81">
        <v>0</v>
      </c>
      <c r="AL93" s="81"/>
      <c r="AM93" s="84">
        <v>0</v>
      </c>
      <c r="AN93" s="85"/>
      <c r="AO93" s="84">
        <v>0</v>
      </c>
      <c r="AP93" s="81"/>
      <c r="AQ93" s="84">
        <v>0</v>
      </c>
      <c r="AR93" s="85"/>
      <c r="AS93" s="84">
        <v>0</v>
      </c>
      <c r="AT93" s="81"/>
      <c r="AU93" s="84">
        <v>0</v>
      </c>
      <c r="AV93" s="85"/>
      <c r="AW93" s="84">
        <v>0</v>
      </c>
      <c r="AX93" s="85"/>
      <c r="AY93" s="84">
        <v>0</v>
      </c>
      <c r="AZ93" s="85"/>
      <c r="BA93" s="84">
        <v>0</v>
      </c>
      <c r="BB93" s="85"/>
      <c r="BC93" s="84">
        <v>0</v>
      </c>
      <c r="BD93" s="85"/>
      <c r="BE93" s="84">
        <v>0</v>
      </c>
      <c r="BF93" s="85"/>
      <c r="BG93" s="230">
        <f t="shared" ref="BG93" si="485">D93-AK93-AM93-AO93-AQ93-AS93-AU93-AW93-AY93-BA93-BC93-BE93</f>
        <v>3428.96</v>
      </c>
      <c r="BH93" s="195">
        <v>3428.96</v>
      </c>
      <c r="BI93" s="214">
        <f t="shared" ref="BI93" si="486">D93-AK93-AM93-AO93-AQ93-AS93-AU93-AW93-AY93-BA93-BC93-BE93-BG93</f>
        <v>0</v>
      </c>
    </row>
    <row r="94" spans="1:64" x14ac:dyDescent="0.35">
      <c r="A94" s="211" t="s">
        <v>804</v>
      </c>
      <c r="B94" s="180"/>
      <c r="C94" s="83">
        <v>223.8</v>
      </c>
      <c r="D94" s="105">
        <v>223.8</v>
      </c>
      <c r="E94" s="304">
        <f>D94</f>
        <v>223.8</v>
      </c>
      <c r="F94" s="289"/>
      <c r="G94" s="363">
        <f t="shared" ref="G94" si="487">F94/E94</f>
        <v>0</v>
      </c>
      <c r="H94" s="287"/>
      <c r="I94" s="313">
        <f t="shared" ref="I94" si="488">H94/E94</f>
        <v>0</v>
      </c>
      <c r="J94" s="287"/>
      <c r="K94" s="288">
        <f t="shared" ref="K94" si="489">J94/E94</f>
        <v>0</v>
      </c>
      <c r="L94" s="289"/>
      <c r="M94" s="290">
        <f t="shared" ref="M94" si="490">L94/E94</f>
        <v>0</v>
      </c>
      <c r="N94" s="287"/>
      <c r="O94" s="288">
        <f t="shared" ref="O94" si="491">N94/E94</f>
        <v>0</v>
      </c>
      <c r="P94" s="289"/>
      <c r="Q94" s="290">
        <f t="shared" ref="Q94" si="492">P94/E94</f>
        <v>0</v>
      </c>
      <c r="R94" s="287"/>
      <c r="S94" s="288">
        <f t="shared" ref="S94" si="493">R94/E94</f>
        <v>0</v>
      </c>
      <c r="T94" s="287"/>
      <c r="U94" s="288">
        <f t="shared" ref="U94" si="494">T94/E94</f>
        <v>0</v>
      </c>
      <c r="V94" s="289"/>
      <c r="W94" s="290">
        <f t="shared" ref="W94" si="495">V94/E94</f>
        <v>0</v>
      </c>
      <c r="X94" s="287"/>
      <c r="Y94" s="313">
        <f t="shared" ref="Y94" si="496">X94/E94</f>
        <v>0</v>
      </c>
      <c r="Z94" s="289"/>
      <c r="AA94" s="363">
        <f t="shared" ref="AA94" si="497">Z94/E94</f>
        <v>0</v>
      </c>
      <c r="AB94" s="287">
        <v>223.8</v>
      </c>
      <c r="AC94" s="313">
        <f t="shared" ref="AC94" si="498">AB94/E94</f>
        <v>1</v>
      </c>
      <c r="AD94" s="289"/>
      <c r="AE94" s="363">
        <f t="shared" ref="AE94" si="499">AD94/E94</f>
        <v>0</v>
      </c>
      <c r="AF94" s="287"/>
      <c r="AG94" s="313">
        <f t="shared" ref="AG94" si="500">AF94/E94</f>
        <v>0</v>
      </c>
      <c r="AH94" s="289"/>
      <c r="AI94" s="363">
        <f t="shared" ref="AI94" si="501">AH94/E94</f>
        <v>0</v>
      </c>
      <c r="AJ94" s="323">
        <f t="shared" ref="AJ94" si="502">K94+M94+O94+Q94+S94+U94+W94+Y94+AA94+AC94+G94+I94+AI94+AE94+AG94</f>
        <v>1</v>
      </c>
      <c r="AK94" s="81">
        <v>0</v>
      </c>
      <c r="AL94" s="81"/>
      <c r="AM94" s="84">
        <v>0</v>
      </c>
      <c r="AN94" s="85"/>
      <c r="AO94" s="84">
        <v>0</v>
      </c>
      <c r="AP94" s="81"/>
      <c r="AQ94" s="84">
        <v>0</v>
      </c>
      <c r="AR94" s="85"/>
      <c r="AS94" s="84">
        <v>0</v>
      </c>
      <c r="AT94" s="81"/>
      <c r="AU94" s="84">
        <v>0</v>
      </c>
      <c r="AV94" s="85"/>
      <c r="AW94" s="84">
        <v>0</v>
      </c>
      <c r="AX94" s="85"/>
      <c r="AY94" s="84">
        <v>0</v>
      </c>
      <c r="AZ94" s="85"/>
      <c r="BA94" s="84">
        <v>0</v>
      </c>
      <c r="BB94" s="85"/>
      <c r="BC94" s="84">
        <v>0</v>
      </c>
      <c r="BD94" s="85"/>
      <c r="BE94" s="84">
        <v>0</v>
      </c>
      <c r="BF94" s="85"/>
      <c r="BG94" s="230">
        <f t="shared" ref="BG94" si="503">D94-AK94-AM94-AO94-AQ94-AS94-AU94-AW94-AY94-BA94-BC94-BE94</f>
        <v>223.8</v>
      </c>
      <c r="BH94" s="195">
        <v>223.8</v>
      </c>
      <c r="BI94" s="214">
        <f t="shared" ref="BI94" si="504">D94-AK94-AM94-AO94-AQ94-AS94-AU94-AW94-AY94-BA94-BC94-BE94-BG94</f>
        <v>0</v>
      </c>
    </row>
    <row r="95" spans="1:64" x14ac:dyDescent="0.35">
      <c r="A95" s="151" t="s">
        <v>531</v>
      </c>
      <c r="B95" s="180"/>
      <c r="C95" s="83">
        <v>2118.44</v>
      </c>
      <c r="D95" s="142">
        <f>C95</f>
        <v>2118.44</v>
      </c>
      <c r="E95" s="304"/>
      <c r="F95" s="289"/>
      <c r="G95" s="363" t="e">
        <f t="shared" ref="G95" si="505">F95/E95</f>
        <v>#DIV/0!</v>
      </c>
      <c r="H95" s="287"/>
      <c r="I95" s="313" t="e">
        <f t="shared" ref="I95" si="506">H95/E95</f>
        <v>#DIV/0!</v>
      </c>
      <c r="J95" s="287"/>
      <c r="K95" s="288" t="e">
        <f t="shared" ref="K95" si="507">J95/E95</f>
        <v>#DIV/0!</v>
      </c>
      <c r="L95" s="289"/>
      <c r="M95" s="290" t="e">
        <f t="shared" ref="M95" si="508">L95/E95</f>
        <v>#DIV/0!</v>
      </c>
      <c r="N95" s="287"/>
      <c r="O95" s="288" t="e">
        <f t="shared" ref="O95" si="509">N95/E95</f>
        <v>#DIV/0!</v>
      </c>
      <c r="P95" s="289"/>
      <c r="Q95" s="290" t="e">
        <f t="shared" ref="Q95" si="510">P95/E95</f>
        <v>#DIV/0!</v>
      </c>
      <c r="R95" s="287"/>
      <c r="S95" s="288" t="e">
        <f t="shared" ref="S95" si="511">R95/E95</f>
        <v>#DIV/0!</v>
      </c>
      <c r="T95" s="287"/>
      <c r="U95" s="288" t="e">
        <f t="shared" ref="U95" si="512">T95/E95</f>
        <v>#DIV/0!</v>
      </c>
      <c r="V95" s="289"/>
      <c r="W95" s="290" t="e">
        <f t="shared" ref="W95" si="513">V95/E95</f>
        <v>#DIV/0!</v>
      </c>
      <c r="X95" s="287"/>
      <c r="Y95" s="313" t="e">
        <f t="shared" ref="Y95" si="514">X95/E95</f>
        <v>#DIV/0!</v>
      </c>
      <c r="Z95" s="289"/>
      <c r="AA95" s="363" t="e">
        <f t="shared" ref="AA95" si="515">Z95/E95</f>
        <v>#DIV/0!</v>
      </c>
      <c r="AB95" s="287"/>
      <c r="AC95" s="313" t="e">
        <f t="shared" ref="AC95" si="516">AB95/E95</f>
        <v>#DIV/0!</v>
      </c>
      <c r="AD95" s="289"/>
      <c r="AE95" s="363" t="e">
        <f t="shared" ref="AE95" si="517">AD95/E95</f>
        <v>#DIV/0!</v>
      </c>
      <c r="AF95" s="287"/>
      <c r="AG95" s="313" t="e">
        <f t="shared" ref="AG95" si="518">AF95/E95</f>
        <v>#DIV/0!</v>
      </c>
      <c r="AH95" s="289"/>
      <c r="AI95" s="363" t="e">
        <f t="shared" ref="AI95" si="519">AH95/E95</f>
        <v>#DIV/0!</v>
      </c>
      <c r="AJ95" s="323" t="e">
        <f t="shared" ref="AJ95" si="520">K95+M95+O95+Q95+S95+U95+W95+Y95+AA95+AC95+G95+I95+AI95+AE95+AG95</f>
        <v>#DIV/0!</v>
      </c>
      <c r="AK95" s="81">
        <v>0</v>
      </c>
      <c r="AL95" s="81"/>
      <c r="AM95" s="84">
        <f t="shared" ref="AM95" si="521">E95-AK95</f>
        <v>0</v>
      </c>
      <c r="AN95" s="85"/>
      <c r="AO95" s="84">
        <v>0</v>
      </c>
      <c r="AP95" s="81"/>
      <c r="AQ95" s="84">
        <v>0</v>
      </c>
      <c r="AR95" s="85"/>
      <c r="AS95" s="84">
        <v>0</v>
      </c>
      <c r="AT95" s="81"/>
      <c r="AU95" s="84">
        <v>0</v>
      </c>
      <c r="AV95" s="85"/>
      <c r="AW95" s="84">
        <v>0</v>
      </c>
      <c r="AX95" s="85"/>
      <c r="AY95" s="84">
        <v>0</v>
      </c>
      <c r="AZ95" s="85"/>
      <c r="BA95" s="84">
        <v>0</v>
      </c>
      <c r="BB95" s="85"/>
      <c r="BC95" s="84">
        <v>0</v>
      </c>
      <c r="BD95" s="85"/>
      <c r="BE95" s="84">
        <v>0</v>
      </c>
      <c r="BF95" s="85"/>
      <c r="BG95" s="84">
        <v>0</v>
      </c>
      <c r="BH95" s="81"/>
      <c r="BI95" s="214">
        <f t="shared" ref="BI95" si="522">D95-AK95-AM95-AO95-AQ95-AS95-AU95-AW95-AY95-BA95-BC95-BE95-BG95</f>
        <v>2118.44</v>
      </c>
    </row>
    <row r="96" spans="1:64" x14ac:dyDescent="0.35">
      <c r="A96" s="151" t="s">
        <v>803</v>
      </c>
      <c r="B96" s="180"/>
      <c r="C96" s="83">
        <v>4678.91</v>
      </c>
      <c r="D96" s="107">
        <f>C96</f>
        <v>4678.91</v>
      </c>
      <c r="E96" s="304">
        <f>D96</f>
        <v>4678.91</v>
      </c>
      <c r="F96" s="289"/>
      <c r="G96" s="363">
        <f t="shared" ref="G96" si="523">F96/E96</f>
        <v>0</v>
      </c>
      <c r="H96" s="287"/>
      <c r="I96" s="313">
        <f t="shared" ref="I96" si="524">H96/E96</f>
        <v>0</v>
      </c>
      <c r="J96" s="287"/>
      <c r="K96" s="288">
        <f t="shared" ref="K96" si="525">J96/E96</f>
        <v>0</v>
      </c>
      <c r="L96" s="289"/>
      <c r="M96" s="290">
        <f t="shared" ref="M96" si="526">L96/E96</f>
        <v>0</v>
      </c>
      <c r="N96" s="287"/>
      <c r="O96" s="288">
        <f t="shared" ref="O96" si="527">N96/E96</f>
        <v>0</v>
      </c>
      <c r="P96" s="289"/>
      <c r="Q96" s="290">
        <f t="shared" ref="Q96" si="528">P96/E96</f>
        <v>0</v>
      </c>
      <c r="R96" s="287"/>
      <c r="S96" s="288">
        <f t="shared" ref="S96" si="529">R96/E96</f>
        <v>0</v>
      </c>
      <c r="T96" s="287"/>
      <c r="U96" s="288">
        <f t="shared" ref="U96" si="530">T96/E96</f>
        <v>0</v>
      </c>
      <c r="V96" s="289"/>
      <c r="W96" s="290">
        <f t="shared" ref="W96" si="531">V96/E96</f>
        <v>0</v>
      </c>
      <c r="X96" s="287"/>
      <c r="Y96" s="313">
        <f t="shared" ref="Y96" si="532">X96/E96</f>
        <v>0</v>
      </c>
      <c r="Z96" s="289"/>
      <c r="AA96" s="363">
        <f t="shared" ref="AA96" si="533">Z96/E96</f>
        <v>0</v>
      </c>
      <c r="AB96" s="287"/>
      <c r="AC96" s="313">
        <f t="shared" ref="AC96" si="534">AB96/E96</f>
        <v>0</v>
      </c>
      <c r="AD96" s="289"/>
      <c r="AE96" s="363">
        <f t="shared" ref="AE96" si="535">AD96/E96</f>
        <v>0</v>
      </c>
      <c r="AF96" s="287"/>
      <c r="AG96" s="313">
        <f t="shared" ref="AG96" si="536">AF96/E96</f>
        <v>0</v>
      </c>
      <c r="AH96" s="289"/>
      <c r="AI96" s="363">
        <f t="shared" ref="AI96" si="537">AH96/E96</f>
        <v>0</v>
      </c>
      <c r="AJ96" s="323">
        <f t="shared" ref="AJ96" si="538">K96+M96+O96+Q96+S96+U96+W96+Y96+AA96+AC96+G96+I96+AI96+AE96+AG96</f>
        <v>0</v>
      </c>
      <c r="AK96" s="81">
        <v>0</v>
      </c>
      <c r="AL96" s="81"/>
      <c r="AM96" s="84">
        <v>0</v>
      </c>
      <c r="AN96" s="85"/>
      <c r="AO96" s="84">
        <v>0</v>
      </c>
      <c r="AP96" s="81"/>
      <c r="AQ96" s="84">
        <v>0</v>
      </c>
      <c r="AR96" s="85"/>
      <c r="AS96" s="84">
        <v>0</v>
      </c>
      <c r="AT96" s="81"/>
      <c r="AU96" s="84">
        <v>0</v>
      </c>
      <c r="AV96" s="85"/>
      <c r="AW96" s="84">
        <v>0</v>
      </c>
      <c r="AX96" s="85"/>
      <c r="AY96" s="84">
        <v>0</v>
      </c>
      <c r="AZ96" s="85"/>
      <c r="BA96" s="84">
        <v>0</v>
      </c>
      <c r="BB96" s="85"/>
      <c r="BC96" s="84">
        <v>0</v>
      </c>
      <c r="BD96" s="85"/>
      <c r="BE96" s="84">
        <v>0</v>
      </c>
      <c r="BF96" s="85"/>
      <c r="BG96" s="84">
        <v>0</v>
      </c>
      <c r="BH96" s="81"/>
      <c r="BI96" s="214">
        <f t="shared" ref="BI96" si="539">D96-AK96-AM96-AO96-AQ96-AS96-AU96-AW96-AY96-BA96-BC96-BE96-BG96</f>
        <v>4678.91</v>
      </c>
      <c r="BJ96" s="69">
        <v>4679</v>
      </c>
    </row>
    <row r="97" spans="1:62" x14ac:dyDescent="0.35">
      <c r="A97" s="151" t="s">
        <v>801</v>
      </c>
      <c r="B97" s="180"/>
      <c r="C97" s="83">
        <v>6942.64</v>
      </c>
      <c r="D97" s="107">
        <f>C97</f>
        <v>6942.64</v>
      </c>
      <c r="E97" s="304">
        <v>6942.64</v>
      </c>
      <c r="F97" s="289"/>
      <c r="G97" s="363">
        <f t="shared" ref="G97" si="540">F97/E97</f>
        <v>0</v>
      </c>
      <c r="H97" s="287"/>
      <c r="I97" s="313">
        <f t="shared" ref="I97" si="541">H97/E97</f>
        <v>0</v>
      </c>
      <c r="J97" s="287"/>
      <c r="K97" s="288">
        <f t="shared" ref="K97" si="542">J97/E97</f>
        <v>0</v>
      </c>
      <c r="L97" s="289"/>
      <c r="M97" s="290">
        <f t="shared" ref="M97" si="543">L97/E97</f>
        <v>0</v>
      </c>
      <c r="N97" s="287"/>
      <c r="O97" s="288">
        <f t="shared" ref="O97" si="544">N97/E97</f>
        <v>0</v>
      </c>
      <c r="P97" s="289">
        <f>3183.22+684</f>
        <v>3867.22</v>
      </c>
      <c r="Q97" s="290">
        <f t="shared" ref="Q97" si="545">P97/E97</f>
        <v>0.55702441722457163</v>
      </c>
      <c r="R97" s="287"/>
      <c r="S97" s="288">
        <f t="shared" ref="S97" si="546">R97/E97</f>
        <v>0</v>
      </c>
      <c r="T97" s="287"/>
      <c r="U97" s="288">
        <f t="shared" ref="U97" si="547">T97/E97</f>
        <v>0</v>
      </c>
      <c r="V97" s="289"/>
      <c r="W97" s="290">
        <f t="shared" ref="W97" si="548">V97/E97</f>
        <v>0</v>
      </c>
      <c r="X97" s="287"/>
      <c r="Y97" s="313">
        <f t="shared" ref="Y97" si="549">X97/E97</f>
        <v>0</v>
      </c>
      <c r="Z97" s="289"/>
      <c r="AA97" s="363">
        <f t="shared" ref="AA97" si="550">Z97/E97</f>
        <v>0</v>
      </c>
      <c r="AB97" s="287"/>
      <c r="AC97" s="313">
        <f t="shared" ref="AC97" si="551">AB97/E97</f>
        <v>0</v>
      </c>
      <c r="AD97" s="289"/>
      <c r="AE97" s="363">
        <f t="shared" ref="AE97" si="552">AD97/E97</f>
        <v>0</v>
      </c>
      <c r="AF97" s="287"/>
      <c r="AG97" s="313">
        <f t="shared" ref="AG97" si="553">AF97/E97</f>
        <v>0</v>
      </c>
      <c r="AH97" s="289">
        <f>2612.22+463.2</f>
        <v>3075.4199999999996</v>
      </c>
      <c r="AI97" s="363">
        <f t="shared" ref="AI97" si="554">AH97/E97</f>
        <v>0.44297558277542831</v>
      </c>
      <c r="AJ97" s="323">
        <f t="shared" ref="AJ97" si="555">K97+M97+O97+Q97+S97+U97+W97+Y97+AA97+AC97+G97+I97+AI97+AE97+AG97</f>
        <v>1</v>
      </c>
      <c r="AK97" s="81">
        <v>0</v>
      </c>
      <c r="AL97" s="81"/>
      <c r="AM97" s="84">
        <v>0</v>
      </c>
      <c r="AN97" s="85"/>
      <c r="AO97" s="84">
        <v>0</v>
      </c>
      <c r="AP97" s="81"/>
      <c r="AQ97" s="84">
        <v>0</v>
      </c>
      <c r="AR97" s="85"/>
      <c r="AS97" s="84">
        <v>0</v>
      </c>
      <c r="AT97" s="81"/>
      <c r="AU97" s="84">
        <v>0</v>
      </c>
      <c r="AV97" s="85"/>
      <c r="AW97" s="84">
        <v>0</v>
      </c>
      <c r="AX97" s="85"/>
      <c r="AY97" s="84">
        <v>0</v>
      </c>
      <c r="AZ97" s="85"/>
      <c r="BA97" s="84">
        <v>0</v>
      </c>
      <c r="BB97" s="85"/>
      <c r="BC97" s="84">
        <v>0</v>
      </c>
      <c r="BD97" s="85"/>
      <c r="BE97" s="84">
        <v>0</v>
      </c>
      <c r="BF97" s="85"/>
      <c r="BG97" s="84">
        <v>0</v>
      </c>
      <c r="BH97" s="81"/>
      <c r="BI97" s="214">
        <f t="shared" ref="BI97" si="556">D97-AK97-AM97-AO97-AQ97-AS97-AU97-AW97-AY97-BA97-BC97-BE97-BG97</f>
        <v>6942.64</v>
      </c>
      <c r="BJ97" s="69">
        <v>6943</v>
      </c>
    </row>
    <row r="98" spans="1:62" x14ac:dyDescent="0.35">
      <c r="A98" s="151" t="s">
        <v>799</v>
      </c>
      <c r="B98" s="180"/>
      <c r="C98" s="83">
        <v>17001.88</v>
      </c>
      <c r="D98" s="142"/>
      <c r="E98" s="304"/>
      <c r="F98" s="289"/>
      <c r="G98" s="363" t="e">
        <f t="shared" ref="G98" si="557">F98/E98</f>
        <v>#DIV/0!</v>
      </c>
      <c r="H98" s="287"/>
      <c r="I98" s="313" t="e">
        <f t="shared" ref="I98" si="558">H98/E98</f>
        <v>#DIV/0!</v>
      </c>
      <c r="J98" s="287"/>
      <c r="K98" s="288" t="e">
        <f t="shared" ref="K98" si="559">J98/E98</f>
        <v>#DIV/0!</v>
      </c>
      <c r="L98" s="289"/>
      <c r="M98" s="290" t="e">
        <f t="shared" ref="M98" si="560">L98/E98</f>
        <v>#DIV/0!</v>
      </c>
      <c r="N98" s="287"/>
      <c r="O98" s="288" t="e">
        <f t="shared" ref="O98" si="561">N98/E98</f>
        <v>#DIV/0!</v>
      </c>
      <c r="P98" s="289"/>
      <c r="Q98" s="290" t="e">
        <f t="shared" ref="Q98" si="562">P98/E98</f>
        <v>#DIV/0!</v>
      </c>
      <c r="R98" s="287"/>
      <c r="S98" s="288" t="e">
        <f t="shared" ref="S98" si="563">R98/E98</f>
        <v>#DIV/0!</v>
      </c>
      <c r="T98" s="287"/>
      <c r="U98" s="288" t="e">
        <f t="shared" ref="U98" si="564">T98/E98</f>
        <v>#DIV/0!</v>
      </c>
      <c r="V98" s="289"/>
      <c r="W98" s="290" t="e">
        <f t="shared" ref="W98" si="565">V98/E98</f>
        <v>#DIV/0!</v>
      </c>
      <c r="X98" s="287"/>
      <c r="Y98" s="313" t="e">
        <f t="shared" ref="Y98" si="566">X98/E98</f>
        <v>#DIV/0!</v>
      </c>
      <c r="Z98" s="289"/>
      <c r="AA98" s="363" t="e">
        <f t="shared" ref="AA98" si="567">Z98/E98</f>
        <v>#DIV/0!</v>
      </c>
      <c r="AB98" s="287"/>
      <c r="AC98" s="313" t="e">
        <f t="shared" ref="AC98" si="568">AB98/E98</f>
        <v>#DIV/0!</v>
      </c>
      <c r="AD98" s="289"/>
      <c r="AE98" s="363" t="e">
        <f t="shared" ref="AE98" si="569">AD98/E98</f>
        <v>#DIV/0!</v>
      </c>
      <c r="AF98" s="287"/>
      <c r="AG98" s="313" t="e">
        <f t="shared" ref="AG98" si="570">AF98/E98</f>
        <v>#DIV/0!</v>
      </c>
      <c r="AH98" s="289"/>
      <c r="AI98" s="363" t="e">
        <f t="shared" ref="AI98" si="571">AH98/E98</f>
        <v>#DIV/0!</v>
      </c>
      <c r="AJ98" s="323" t="e">
        <f t="shared" ref="AJ98" si="572">K98+M98+O98+Q98+S98+U98+W98+Y98+AA98+AC98+G98+I98+AI98+AE98+AG98</f>
        <v>#DIV/0!</v>
      </c>
      <c r="AK98" s="81">
        <v>0</v>
      </c>
      <c r="AL98" s="81"/>
      <c r="AM98" s="84">
        <f t="shared" ref="AM98" si="573">E98-AK98</f>
        <v>0</v>
      </c>
      <c r="AN98" s="85"/>
      <c r="AO98" s="84">
        <f t="shared" ref="AO98" si="574">D98-AK98-AM98</f>
        <v>0</v>
      </c>
      <c r="AP98" s="81"/>
      <c r="AQ98" s="84">
        <f t="shared" ref="AQ98" si="575">D98-AK98-AM98-AO98</f>
        <v>0</v>
      </c>
      <c r="AR98" s="85"/>
      <c r="AS98" s="84">
        <f t="shared" ref="AS98" si="576">D98-AK98-AM98-AO98-AQ98</f>
        <v>0</v>
      </c>
      <c r="AT98" s="81"/>
      <c r="AU98" s="84">
        <f t="shared" ref="AU98" si="577">D98-AK98-AM98-AO98-AQ98-AS98</f>
        <v>0</v>
      </c>
      <c r="AV98" s="85"/>
      <c r="AW98" s="84">
        <f t="shared" ref="AW98" si="578">D98-AK98-AM98-AO98-AQ98-AS98-AU98</f>
        <v>0</v>
      </c>
      <c r="AX98" s="85"/>
      <c r="AY98" s="84">
        <f t="shared" ref="AY98" si="579">D98-AK98-AM98-AO98-AQ98-AS98-AU98-AW98</f>
        <v>0</v>
      </c>
      <c r="AZ98" s="85"/>
      <c r="BA98" s="84">
        <f t="shared" ref="BA98" si="580">D98-AK98-AM98-AO98-AQ98-AS98-AU98-AW98-AY98</f>
        <v>0</v>
      </c>
      <c r="BB98" s="85"/>
      <c r="BC98" s="84">
        <f t="shared" ref="BC98" si="581">D98-AK98-AM98-AO98-AQ98-AS98-AU98-AW98-AY98-BA98</f>
        <v>0</v>
      </c>
      <c r="BD98" s="85"/>
      <c r="BE98" s="84">
        <f t="shared" ref="BE98" si="582">D98-AK98-AM98-AO98-AQ98-AS98-AU98-AW98-AY98-BA98-BC98</f>
        <v>0</v>
      </c>
      <c r="BF98" s="85"/>
      <c r="BG98" s="84">
        <f t="shared" ref="BG98" si="583">D98-AK98-AM98-AO98-AQ98-AS98-AU98-AW98-AY98-BA98-BC98-BE98</f>
        <v>0</v>
      </c>
      <c r="BH98" s="81"/>
      <c r="BI98" s="214">
        <f t="shared" ref="BI98" si="584">D98-AK98-AM98-AO98-AQ98-AS98-AU98-AW98-AY98-BA98-BC98-BE98-BG98</f>
        <v>0</v>
      </c>
    </row>
    <row r="99" spans="1:62" x14ac:dyDescent="0.35">
      <c r="A99" s="151" t="s">
        <v>796</v>
      </c>
      <c r="B99" s="180"/>
      <c r="C99" s="83">
        <v>8355.4699999999993</v>
      </c>
      <c r="D99" s="107">
        <f>C99</f>
        <v>8355.4699999999993</v>
      </c>
      <c r="E99" s="304">
        <f>D99</f>
        <v>8355.4699999999993</v>
      </c>
      <c r="F99" s="289">
        <v>432</v>
      </c>
      <c r="G99" s="363">
        <f t="shared" ref="G99" si="585">F99/E99</f>
        <v>5.1702657061781086E-2</v>
      </c>
      <c r="H99" s="287"/>
      <c r="I99" s="313">
        <f t="shared" ref="I99" si="586">H99/E99</f>
        <v>0</v>
      </c>
      <c r="J99" s="287">
        <f>5561.114-517.09</f>
        <v>5044.0239999999994</v>
      </c>
      <c r="K99" s="288">
        <f t="shared" ref="K99" si="587">J99/E99</f>
        <v>0.60367926639674363</v>
      </c>
      <c r="L99" s="289">
        <v>517.09</v>
      </c>
      <c r="M99" s="290">
        <f t="shared" ref="M99" si="588">L99/E99</f>
        <v>6.1886404953880522E-2</v>
      </c>
      <c r="N99" s="287"/>
      <c r="O99" s="288">
        <f t="shared" ref="O99" si="589">N99/E99</f>
        <v>0</v>
      </c>
      <c r="P99" s="289"/>
      <c r="Q99" s="290">
        <f t="shared" ref="Q99" si="590">P99/E99</f>
        <v>0</v>
      </c>
      <c r="R99" s="287"/>
      <c r="S99" s="288">
        <f t="shared" ref="S99" si="591">R99/E99</f>
        <v>0</v>
      </c>
      <c r="T99" s="287">
        <v>1597.23</v>
      </c>
      <c r="U99" s="288">
        <f t="shared" ref="U99" si="592">T99/E99</f>
        <v>0.1911598030990477</v>
      </c>
      <c r="V99" s="289">
        <v>731.54</v>
      </c>
      <c r="W99" s="290">
        <f t="shared" ref="W99" si="593">V99/E99</f>
        <v>8.7552226266146616E-2</v>
      </c>
      <c r="X99" s="287"/>
      <c r="Y99" s="313">
        <f t="shared" ref="Y99" si="594">X99/E99</f>
        <v>0</v>
      </c>
      <c r="Z99" s="289"/>
      <c r="AA99" s="363">
        <f t="shared" ref="AA99" si="595">Z99/E99</f>
        <v>0</v>
      </c>
      <c r="AB99" s="287">
        <v>33.56</v>
      </c>
      <c r="AC99" s="313">
        <f t="shared" ref="AC99" si="596">AB99/E99</f>
        <v>4.0165304884105871E-3</v>
      </c>
      <c r="AD99" s="289"/>
      <c r="AE99" s="363">
        <f t="shared" ref="AE99" si="597">AD99/E99</f>
        <v>0</v>
      </c>
      <c r="AF99" s="287"/>
      <c r="AG99" s="313">
        <f t="shared" ref="AG99" si="598">AF99/E99</f>
        <v>0</v>
      </c>
      <c r="AH99" s="289"/>
      <c r="AI99" s="363">
        <f t="shared" ref="AI99" si="599">AH99/E99</f>
        <v>0</v>
      </c>
      <c r="AJ99" s="323">
        <f t="shared" ref="AJ99" si="600">K99+M99+O99+Q99+S99+U99+W99+Y99+AA99+AC99+G99+I99+AI99+AE99+AG99</f>
        <v>0.99999688826601019</v>
      </c>
      <c r="AK99" s="81">
        <v>0</v>
      </c>
      <c r="AL99" s="81"/>
      <c r="AM99" s="84">
        <v>0</v>
      </c>
      <c r="AN99" s="85"/>
      <c r="AO99" s="84">
        <v>0</v>
      </c>
      <c r="AP99" s="81"/>
      <c r="AQ99" s="84">
        <v>0</v>
      </c>
      <c r="AR99" s="85"/>
      <c r="AS99" s="84">
        <v>0</v>
      </c>
      <c r="AT99" s="81"/>
      <c r="AU99" s="84">
        <v>0</v>
      </c>
      <c r="AV99" s="85"/>
      <c r="AW99" s="84">
        <v>0</v>
      </c>
      <c r="AX99" s="85"/>
      <c r="AY99" s="84">
        <v>0</v>
      </c>
      <c r="AZ99" s="85"/>
      <c r="BA99" s="84">
        <v>0</v>
      </c>
      <c r="BB99" s="85"/>
      <c r="BC99" s="84">
        <v>0</v>
      </c>
      <c r="BD99" s="85"/>
      <c r="BE99" s="84">
        <v>0</v>
      </c>
      <c r="BF99" s="85"/>
      <c r="BG99" s="230">
        <f t="shared" ref="BG99" si="601">D99-AK99-AM99-AO99-AQ99-AS99-AU99-AW99-AY99-BA99-BC99-BE99</f>
        <v>8355.4699999999993</v>
      </c>
      <c r="BH99" s="195">
        <v>8355.4699999999993</v>
      </c>
      <c r="BI99" s="214">
        <f t="shared" ref="BI99" si="602">D99-AK99-AM99-AO99-AQ99-AS99-AU99-AW99-AY99-BA99-BC99-BE99-BG99</f>
        <v>0</v>
      </c>
    </row>
    <row r="100" spans="1:62" x14ac:dyDescent="0.35">
      <c r="A100" s="151" t="s">
        <v>789</v>
      </c>
      <c r="B100" s="180"/>
      <c r="C100" s="83">
        <v>9546.64</v>
      </c>
      <c r="D100" s="142">
        <f>C100</f>
        <v>9546.64</v>
      </c>
      <c r="E100" s="304"/>
      <c r="F100" s="289"/>
      <c r="G100" s="363" t="e">
        <f t="shared" ref="G100" si="603">F100/E100</f>
        <v>#DIV/0!</v>
      </c>
      <c r="H100" s="287"/>
      <c r="I100" s="313" t="e">
        <f t="shared" ref="I100" si="604">H100/E100</f>
        <v>#DIV/0!</v>
      </c>
      <c r="J100" s="287">
        <v>5561.14</v>
      </c>
      <c r="K100" s="288" t="e">
        <f t="shared" ref="K100" si="605">J100/E100</f>
        <v>#DIV/0!</v>
      </c>
      <c r="L100" s="289"/>
      <c r="M100" s="290" t="e">
        <f t="shared" ref="M100" si="606">L100/E100</f>
        <v>#DIV/0!</v>
      </c>
      <c r="N100" s="287"/>
      <c r="O100" s="288" t="e">
        <f t="shared" ref="O100" si="607">N100/E100</f>
        <v>#DIV/0!</v>
      </c>
      <c r="P100" s="289"/>
      <c r="Q100" s="290" t="e">
        <f t="shared" ref="Q100" si="608">P100/E100</f>
        <v>#DIV/0!</v>
      </c>
      <c r="R100" s="287"/>
      <c r="S100" s="288" t="e">
        <f t="shared" ref="S100" si="609">R100/E100</f>
        <v>#DIV/0!</v>
      </c>
      <c r="T100" s="287"/>
      <c r="U100" s="288" t="e">
        <f t="shared" ref="U100" si="610">T100/E100</f>
        <v>#DIV/0!</v>
      </c>
      <c r="V100" s="289"/>
      <c r="W100" s="290" t="e">
        <f t="shared" ref="W100" si="611">V100/E100</f>
        <v>#DIV/0!</v>
      </c>
      <c r="X100" s="287"/>
      <c r="Y100" s="313" t="e">
        <f t="shared" ref="Y100" si="612">X100/E100</f>
        <v>#DIV/0!</v>
      </c>
      <c r="Z100" s="289"/>
      <c r="AA100" s="363" t="e">
        <f t="shared" ref="AA100" si="613">Z100/E100</f>
        <v>#DIV/0!</v>
      </c>
      <c r="AB100" s="287"/>
      <c r="AC100" s="313" t="e">
        <f t="shared" ref="AC100" si="614">AB100/E100</f>
        <v>#DIV/0!</v>
      </c>
      <c r="AD100" s="289"/>
      <c r="AE100" s="363" t="e">
        <f t="shared" ref="AE100" si="615">AD100/E100</f>
        <v>#DIV/0!</v>
      </c>
      <c r="AF100" s="287"/>
      <c r="AG100" s="313" t="e">
        <f t="shared" ref="AG100" si="616">AF100/E100</f>
        <v>#DIV/0!</v>
      </c>
      <c r="AH100" s="289"/>
      <c r="AI100" s="363" t="e">
        <f t="shared" ref="AI100" si="617">AH100/E100</f>
        <v>#DIV/0!</v>
      </c>
      <c r="AJ100" s="323" t="e">
        <f t="shared" ref="AJ100" si="618">K100+M100+O100+Q100+S100+U100+W100+Y100+AA100+AC100+G100+I100+AI100+AE100+AG100</f>
        <v>#DIV/0!</v>
      </c>
      <c r="AK100" s="81">
        <v>0</v>
      </c>
      <c r="AL100" s="81"/>
      <c r="AM100" s="84">
        <f t="shared" ref="AM100" si="619">E100-AK100</f>
        <v>0</v>
      </c>
      <c r="AN100" s="85"/>
      <c r="AO100" s="84"/>
      <c r="AP100" s="81"/>
      <c r="AQ100" s="84"/>
      <c r="AR100" s="85"/>
      <c r="AS100" s="84"/>
      <c r="AT100" s="81"/>
      <c r="AU100" s="84"/>
      <c r="AV100" s="85"/>
      <c r="AW100" s="84"/>
      <c r="AX100" s="85"/>
      <c r="AY100" s="84"/>
      <c r="AZ100" s="85"/>
      <c r="BA100" s="84"/>
      <c r="BB100" s="85"/>
      <c r="BC100" s="84"/>
      <c r="BD100" s="85"/>
      <c r="BE100" s="84"/>
      <c r="BF100" s="85"/>
      <c r="BG100" s="84">
        <v>0</v>
      </c>
      <c r="BH100" s="81"/>
      <c r="BI100" s="214">
        <f t="shared" ref="BI100" si="620">D100-AK100-AM100-AO100-AQ100-AS100-AU100-AW100-AY100-BA100-BC100-BE100-BG100</f>
        <v>9546.64</v>
      </c>
      <c r="BJ100" s="69">
        <v>9547</v>
      </c>
    </row>
    <row r="101" spans="1:62" x14ac:dyDescent="0.35">
      <c r="A101" s="151" t="s">
        <v>790</v>
      </c>
      <c r="B101" s="180"/>
      <c r="C101" s="83">
        <v>30734.03</v>
      </c>
      <c r="D101" s="107">
        <f>C101</f>
        <v>30734.03</v>
      </c>
      <c r="E101" s="304">
        <f>D101</f>
        <v>30734.03</v>
      </c>
      <c r="F101" s="289">
        <v>360</v>
      </c>
      <c r="G101" s="363">
        <f t="shared" ref="G101" si="621">F101/E101</f>
        <v>1.1713400422918831E-2</v>
      </c>
      <c r="H101" s="287"/>
      <c r="I101" s="313">
        <f t="shared" ref="I101" si="622">H101/E101</f>
        <v>0</v>
      </c>
      <c r="J101" s="287"/>
      <c r="K101" s="288">
        <f t="shared" ref="K101" si="623">J101/E101</f>
        <v>0</v>
      </c>
      <c r="L101" s="289">
        <v>1696.77</v>
      </c>
      <c r="M101" s="290">
        <f t="shared" ref="M101" si="624">L101/E101</f>
        <v>5.5208184543322172E-2</v>
      </c>
      <c r="N101" s="287">
        <f>1490.4</f>
        <v>1490.4</v>
      </c>
      <c r="O101" s="288">
        <f t="shared" ref="O101" si="625">N101/E101</f>
        <v>4.8493477750883959E-2</v>
      </c>
      <c r="P101" s="289"/>
      <c r="Q101" s="290">
        <f t="shared" ref="Q101" si="626">P101/E101</f>
        <v>0</v>
      </c>
      <c r="R101" s="287">
        <v>6924.77</v>
      </c>
      <c r="S101" s="288">
        <f t="shared" ref="S101" si="627">R101/E101</f>
        <v>0.22531278846282121</v>
      </c>
      <c r="T101" s="287"/>
      <c r="U101" s="288">
        <f t="shared" ref="U101" si="628">T101/E101</f>
        <v>0</v>
      </c>
      <c r="V101" s="289"/>
      <c r="W101" s="290">
        <f t="shared" ref="W101" si="629">V101/E101</f>
        <v>0</v>
      </c>
      <c r="X101" s="287"/>
      <c r="Y101" s="313">
        <f t="shared" ref="Y101" si="630">X101/E101</f>
        <v>0</v>
      </c>
      <c r="Z101" s="289"/>
      <c r="AA101" s="363">
        <f t="shared" ref="AA101" si="631">Z101/E101</f>
        <v>0</v>
      </c>
      <c r="AB101" s="287">
        <v>7603.2</v>
      </c>
      <c r="AC101" s="313">
        <f t="shared" ref="AC101" si="632">AB101/E101</f>
        <v>0.24738701693204568</v>
      </c>
      <c r="AD101" s="289">
        <v>3168.48</v>
      </c>
      <c r="AE101" s="363">
        <f t="shared" ref="AE101" si="633">AD101/E101</f>
        <v>0.10309354158891626</v>
      </c>
      <c r="AF101" s="287">
        <v>117.22</v>
      </c>
      <c r="AG101" s="313">
        <f t="shared" ref="AG101" si="634">AF101/E101</f>
        <v>3.8140133265959593E-3</v>
      </c>
      <c r="AH101" s="289">
        <f>2508.69+6864.5</f>
        <v>9373.19</v>
      </c>
      <c r="AI101" s="363">
        <f t="shared" ref="AI101" si="635">AH101/E101</f>
        <v>0.304977576972496</v>
      </c>
      <c r="AJ101" s="323">
        <f t="shared" ref="AJ101" si="636">K101+M101+O101+Q101+S101+U101+W101+Y101+AA101+AC101+G101+I101+AI101+AE101+AG101</f>
        <v>0.99999999999999989</v>
      </c>
      <c r="AK101" s="81">
        <v>0</v>
      </c>
      <c r="AL101" s="81"/>
      <c r="AM101" s="84">
        <v>0</v>
      </c>
      <c r="AN101" s="85"/>
      <c r="AO101" s="84"/>
      <c r="AP101" s="81"/>
      <c r="AQ101" s="84">
        <v>0</v>
      </c>
      <c r="AR101" s="85"/>
      <c r="AS101" s="84">
        <v>0</v>
      </c>
      <c r="AT101" s="81"/>
      <c r="AU101" s="84">
        <v>0</v>
      </c>
      <c r="AV101" s="85"/>
      <c r="AW101" s="84">
        <v>0</v>
      </c>
      <c r="AX101" s="85"/>
      <c r="AY101" s="84">
        <v>0</v>
      </c>
      <c r="AZ101" s="85"/>
      <c r="BA101" s="84">
        <v>0</v>
      </c>
      <c r="BB101" s="85"/>
      <c r="BC101" s="84">
        <v>0</v>
      </c>
      <c r="BD101" s="85"/>
      <c r="BE101" s="84">
        <v>0</v>
      </c>
      <c r="BF101" s="85"/>
      <c r="BG101" s="230">
        <f>BH101</f>
        <v>13674.19</v>
      </c>
      <c r="BH101" s="195">
        <v>13674.19</v>
      </c>
      <c r="BI101" s="214">
        <f t="shared" ref="BI101" si="637">D101-AK101-AM101-AO101-AQ101-AS101-AU101-AW101-AY101-BA101-BC101-BE101-BG101</f>
        <v>17059.839999999997</v>
      </c>
      <c r="BJ101" s="69">
        <v>17060</v>
      </c>
    </row>
    <row r="102" spans="1:62" x14ac:dyDescent="0.35">
      <c r="A102" s="151" t="s">
        <v>779</v>
      </c>
      <c r="B102" s="180"/>
      <c r="C102" s="83">
        <f>16010.46+13878.18</f>
        <v>29888.639999999999</v>
      </c>
      <c r="D102" s="107">
        <f>C102</f>
        <v>29888.639999999999</v>
      </c>
      <c r="E102" s="304"/>
      <c r="F102" s="289"/>
      <c r="G102" s="363" t="e">
        <f t="shared" ref="G102" si="638">F102/E102</f>
        <v>#DIV/0!</v>
      </c>
      <c r="H102" s="287"/>
      <c r="I102" s="313" t="e">
        <f t="shared" ref="I102" si="639">H102/E102</f>
        <v>#DIV/0!</v>
      </c>
      <c r="J102" s="287"/>
      <c r="K102" s="288" t="e">
        <f t="shared" ref="K102" si="640">J102/E102</f>
        <v>#DIV/0!</v>
      </c>
      <c r="L102" s="289"/>
      <c r="M102" s="290" t="e">
        <f t="shared" ref="M102" si="641">L102/E102</f>
        <v>#DIV/0!</v>
      </c>
      <c r="N102" s="287"/>
      <c r="O102" s="288" t="e">
        <f t="shared" ref="O102" si="642">N102/E102</f>
        <v>#DIV/0!</v>
      </c>
      <c r="P102" s="289"/>
      <c r="Q102" s="290" t="e">
        <f t="shared" ref="Q102" si="643">P102/E102</f>
        <v>#DIV/0!</v>
      </c>
      <c r="R102" s="287"/>
      <c r="S102" s="288" t="e">
        <f t="shared" ref="S102" si="644">R102/E102</f>
        <v>#DIV/0!</v>
      </c>
      <c r="T102" s="287"/>
      <c r="U102" s="288" t="e">
        <f t="shared" ref="U102" si="645">T102/E102</f>
        <v>#DIV/0!</v>
      </c>
      <c r="V102" s="289"/>
      <c r="W102" s="290" t="e">
        <f t="shared" ref="W102" si="646">V102/E102</f>
        <v>#DIV/0!</v>
      </c>
      <c r="X102" s="287"/>
      <c r="Y102" s="313" t="e">
        <f t="shared" ref="Y102" si="647">X102/E102</f>
        <v>#DIV/0!</v>
      </c>
      <c r="Z102" s="289"/>
      <c r="AA102" s="363" t="e">
        <f t="shared" ref="AA102" si="648">Z102/E102</f>
        <v>#DIV/0!</v>
      </c>
      <c r="AB102" s="287"/>
      <c r="AC102" s="313" t="e">
        <f t="shared" ref="AC102" si="649">AB102/E102</f>
        <v>#DIV/0!</v>
      </c>
      <c r="AD102" s="289"/>
      <c r="AE102" s="363" t="e">
        <f t="shared" ref="AE102" si="650">AD102/E102</f>
        <v>#DIV/0!</v>
      </c>
      <c r="AF102" s="287"/>
      <c r="AG102" s="313" t="e">
        <f t="shared" ref="AG102" si="651">AF102/E102</f>
        <v>#DIV/0!</v>
      </c>
      <c r="AH102" s="289"/>
      <c r="AI102" s="363" t="e">
        <f t="shared" ref="AI102" si="652">AH102/E102</f>
        <v>#DIV/0!</v>
      </c>
      <c r="AJ102" s="323" t="e">
        <f t="shared" ref="AJ102" si="653">K102+M102+O102+Q102+S102+U102+W102+Y102+AA102+AC102+G102+I102+AI102+AE102+AG102</f>
        <v>#DIV/0!</v>
      </c>
      <c r="AK102" s="81">
        <v>0</v>
      </c>
      <c r="AL102" s="81"/>
      <c r="AM102" s="84">
        <f t="shared" ref="AM102" si="654">E102-AK102</f>
        <v>0</v>
      </c>
      <c r="AN102" s="85"/>
      <c r="AO102" s="84">
        <v>0</v>
      </c>
      <c r="AP102" s="81"/>
      <c r="AQ102" s="84">
        <v>0</v>
      </c>
      <c r="AR102" s="85"/>
      <c r="AS102" s="84">
        <v>0</v>
      </c>
      <c r="AT102" s="81"/>
      <c r="AU102" s="84">
        <v>0</v>
      </c>
      <c r="AV102" s="85"/>
      <c r="AW102" s="84">
        <v>0</v>
      </c>
      <c r="AX102" s="85"/>
      <c r="AY102" s="84">
        <v>0</v>
      </c>
      <c r="AZ102" s="85"/>
      <c r="BA102" s="84">
        <v>0</v>
      </c>
      <c r="BB102" s="85"/>
      <c r="BC102" s="84">
        <v>0</v>
      </c>
      <c r="BD102" s="85"/>
      <c r="BE102" s="84">
        <v>0</v>
      </c>
      <c r="BF102" s="85"/>
      <c r="BG102" s="230">
        <f>BH102</f>
        <v>23969.64</v>
      </c>
      <c r="BH102" s="195">
        <f>13307.82+10661.82</f>
        <v>23969.64</v>
      </c>
      <c r="BI102" s="214">
        <f t="shared" ref="BI102" si="655">D102-AK102-AM102-AO102-AQ102-AS102-AU102-AW102-AY102-BA102-BC102-BE102-BG102</f>
        <v>5919</v>
      </c>
      <c r="BJ102" s="69">
        <v>5919</v>
      </c>
    </row>
    <row r="103" spans="1:62" x14ac:dyDescent="0.35">
      <c r="A103" s="151" t="s">
        <v>776</v>
      </c>
      <c r="B103" s="180"/>
      <c r="C103" s="83">
        <v>19543.849999999999</v>
      </c>
      <c r="D103" s="107">
        <f t="shared" ref="D103" si="656">C103</f>
        <v>19543.849999999999</v>
      </c>
      <c r="E103" s="304">
        <f>D103</f>
        <v>19543.849999999999</v>
      </c>
      <c r="F103" s="289"/>
      <c r="G103" s="363">
        <f t="shared" si="441"/>
        <v>0</v>
      </c>
      <c r="H103" s="287"/>
      <c r="I103" s="313">
        <f t="shared" si="442"/>
        <v>0</v>
      </c>
      <c r="J103" s="287"/>
      <c r="K103" s="288">
        <f t="shared" si="443"/>
        <v>0</v>
      </c>
      <c r="L103" s="289"/>
      <c r="M103" s="290">
        <f t="shared" si="444"/>
        <v>0</v>
      </c>
      <c r="N103" s="287"/>
      <c r="O103" s="288">
        <f t="shared" si="445"/>
        <v>0</v>
      </c>
      <c r="P103" s="289"/>
      <c r="Q103" s="290">
        <f t="shared" si="446"/>
        <v>0</v>
      </c>
      <c r="R103" s="287"/>
      <c r="S103" s="288">
        <f t="shared" si="447"/>
        <v>0</v>
      </c>
      <c r="T103" s="287"/>
      <c r="U103" s="288">
        <f t="shared" si="448"/>
        <v>0</v>
      </c>
      <c r="V103" s="289"/>
      <c r="W103" s="290">
        <f t="shared" si="449"/>
        <v>0</v>
      </c>
      <c r="X103" s="287">
        <v>19544</v>
      </c>
      <c r="Y103" s="313">
        <f t="shared" si="450"/>
        <v>1.0000076750486726</v>
      </c>
      <c r="Z103" s="289"/>
      <c r="AA103" s="363">
        <f t="shared" si="451"/>
        <v>0</v>
      </c>
      <c r="AB103" s="287"/>
      <c r="AC103" s="313">
        <f t="shared" si="452"/>
        <v>0</v>
      </c>
      <c r="AD103" s="289"/>
      <c r="AE103" s="363">
        <f t="shared" si="453"/>
        <v>0</v>
      </c>
      <c r="AF103" s="287"/>
      <c r="AG103" s="313">
        <f t="shared" si="454"/>
        <v>0</v>
      </c>
      <c r="AH103" s="289"/>
      <c r="AI103" s="363">
        <f t="shared" si="455"/>
        <v>0</v>
      </c>
      <c r="AJ103" s="323">
        <f t="shared" si="456"/>
        <v>1.0000076750486726</v>
      </c>
      <c r="AK103" s="81">
        <v>0</v>
      </c>
      <c r="AL103" s="81"/>
      <c r="AM103" s="84">
        <v>0</v>
      </c>
      <c r="AN103" s="85"/>
      <c r="AO103" s="84">
        <v>0</v>
      </c>
      <c r="AP103" s="81"/>
      <c r="AQ103" s="84">
        <v>0</v>
      </c>
      <c r="AR103" s="85"/>
      <c r="AS103" s="84">
        <v>0</v>
      </c>
      <c r="AT103" s="81"/>
      <c r="AU103" s="84">
        <v>0</v>
      </c>
      <c r="AV103" s="85"/>
      <c r="AW103" s="84">
        <v>0</v>
      </c>
      <c r="AX103" s="85"/>
      <c r="AY103" s="84">
        <v>0</v>
      </c>
      <c r="AZ103" s="85"/>
      <c r="BA103" s="230">
        <f>BB103</f>
        <v>18385.669999999998</v>
      </c>
      <c r="BB103" s="231">
        <v>18385.669999999998</v>
      </c>
      <c r="BC103" s="84">
        <v>0</v>
      </c>
      <c r="BD103" s="85"/>
      <c r="BE103" s="230">
        <f>D103-AK103-AM103-AO103-AQ103-AS103-AU103-AW103-AY103-BA103-BC103</f>
        <v>1158.1800000000003</v>
      </c>
      <c r="BF103" s="231">
        <v>1158</v>
      </c>
      <c r="BG103" s="84">
        <f>D103-AK103-AM103-AO103-AQ103-AS103-AU103-AW103-AY103-BA103-BC103-BE103</f>
        <v>0</v>
      </c>
      <c r="BH103" s="81"/>
      <c r="BI103" s="214">
        <f t="shared" si="468"/>
        <v>0</v>
      </c>
    </row>
    <row r="104" spans="1:62" x14ac:dyDescent="0.35">
      <c r="A104" s="151" t="s">
        <v>773</v>
      </c>
      <c r="B104" s="180"/>
      <c r="C104" s="83">
        <v>743</v>
      </c>
      <c r="D104" s="107">
        <f t="shared" ref="D104" si="657">C104</f>
        <v>743</v>
      </c>
      <c r="E104" s="304">
        <f>D104</f>
        <v>743</v>
      </c>
      <c r="F104" s="289"/>
      <c r="G104" s="363">
        <f t="shared" ref="G104" si="658">F104/E104</f>
        <v>0</v>
      </c>
      <c r="H104" s="287"/>
      <c r="I104" s="313">
        <f t="shared" ref="I104" si="659">H104/E104</f>
        <v>0</v>
      </c>
      <c r="J104" s="287"/>
      <c r="K104" s="288">
        <f t="shared" ref="K104" si="660">J104/E104</f>
        <v>0</v>
      </c>
      <c r="L104" s="289"/>
      <c r="M104" s="290">
        <f t="shared" ref="M104" si="661">L104/E104</f>
        <v>0</v>
      </c>
      <c r="N104" s="287"/>
      <c r="O104" s="288">
        <f t="shared" ref="O104" si="662">N104/E104</f>
        <v>0</v>
      </c>
      <c r="P104" s="289"/>
      <c r="Q104" s="290">
        <f t="shared" ref="Q104" si="663">P104/E104</f>
        <v>0</v>
      </c>
      <c r="R104" s="287"/>
      <c r="S104" s="288">
        <f t="shared" ref="S104" si="664">R104/E104</f>
        <v>0</v>
      </c>
      <c r="T104" s="287"/>
      <c r="U104" s="288">
        <f t="shared" ref="U104" si="665">T104/E104</f>
        <v>0</v>
      </c>
      <c r="V104" s="289"/>
      <c r="W104" s="290">
        <f t="shared" ref="W104" si="666">V104/E104</f>
        <v>0</v>
      </c>
      <c r="X104" s="287"/>
      <c r="Y104" s="313">
        <f t="shared" ref="Y104" si="667">X104/E104</f>
        <v>0</v>
      </c>
      <c r="Z104" s="289"/>
      <c r="AA104" s="363">
        <f t="shared" ref="AA104" si="668">Z104/E104</f>
        <v>0</v>
      </c>
      <c r="AB104" s="287">
        <v>743.4</v>
      </c>
      <c r="AC104" s="313">
        <f t="shared" ref="AC104" si="669">AB104/E104</f>
        <v>1.0005383580080753</v>
      </c>
      <c r="AD104" s="289"/>
      <c r="AE104" s="363">
        <f t="shared" ref="AE104" si="670">AD104/E104</f>
        <v>0</v>
      </c>
      <c r="AF104" s="287"/>
      <c r="AG104" s="313">
        <f t="shared" ref="AG104" si="671">AF104/E104</f>
        <v>0</v>
      </c>
      <c r="AH104" s="289"/>
      <c r="AI104" s="363">
        <f t="shared" ref="AI104" si="672">AH104/E104</f>
        <v>0</v>
      </c>
      <c r="AJ104" s="323">
        <f t="shared" ref="AJ104" si="673">K104+M104+O104+Q104+S104+U104+W104+Y104+AA104+AC104+G104+I104+AI104+AE104+AG104</f>
        <v>1.0005383580080753</v>
      </c>
      <c r="AK104" s="81">
        <v>0</v>
      </c>
      <c r="AL104" s="81"/>
      <c r="AM104" s="84">
        <v>0</v>
      </c>
      <c r="AN104" s="85">
        <v>0</v>
      </c>
      <c r="AO104" s="84">
        <v>0</v>
      </c>
      <c r="AP104" s="81">
        <v>0</v>
      </c>
      <c r="AQ104" s="84">
        <v>0</v>
      </c>
      <c r="AR104" s="85">
        <v>0</v>
      </c>
      <c r="AS104" s="84">
        <v>0</v>
      </c>
      <c r="AT104" s="81"/>
      <c r="AU104" s="84">
        <v>0</v>
      </c>
      <c r="AV104" s="85"/>
      <c r="AW104" s="84">
        <v>0</v>
      </c>
      <c r="AX104" s="85"/>
      <c r="AY104" s="230">
        <f>D104-AK104-AM104-AO104-AQ104-AS104-AU104-AW104</f>
        <v>743</v>
      </c>
      <c r="AZ104" s="231">
        <v>743</v>
      </c>
      <c r="BA104" s="84">
        <f>D104-AK104-AM104-AO104-AQ104-AS104-AU104-AW104-AY104</f>
        <v>0</v>
      </c>
      <c r="BB104" s="85"/>
      <c r="BC104" s="84">
        <f>D104-AK104-AM104-AO104-AQ104-AS104-AU104-AW104-AY104-BA104</f>
        <v>0</v>
      </c>
      <c r="BD104" s="85"/>
      <c r="BE104" s="84">
        <f>D104-AK104-AM104-AO104-AQ104-AS104-AU104-AW104-AY104-BA104-BC104</f>
        <v>0</v>
      </c>
      <c r="BF104" s="85"/>
      <c r="BG104" s="84">
        <f>D104-AK104-AM104-AO104-AQ104-AS104-AU104-AW104-AY104-BA104-BC104-BE104</f>
        <v>0</v>
      </c>
      <c r="BH104" s="81"/>
      <c r="BI104" s="214">
        <f t="shared" ref="BI104" si="674">D104-AK104-AM104-AO104-AQ104-AS104-AU104-AW104-AY104-BA104-BC104-BE104-BG104</f>
        <v>0</v>
      </c>
    </row>
    <row r="105" spans="1:62" x14ac:dyDescent="0.35">
      <c r="A105" s="151" t="s">
        <v>772</v>
      </c>
      <c r="B105" s="180"/>
      <c r="C105" s="83">
        <v>3294.91</v>
      </c>
      <c r="D105" s="107">
        <v>3294.91</v>
      </c>
      <c r="E105" s="304">
        <f>D105</f>
        <v>3294.91</v>
      </c>
      <c r="F105" s="289">
        <v>0</v>
      </c>
      <c r="G105" s="363"/>
      <c r="H105" s="287">
        <v>0</v>
      </c>
      <c r="I105" s="313"/>
      <c r="J105" s="287"/>
      <c r="K105" s="288"/>
      <c r="L105" s="289">
        <v>1713.35</v>
      </c>
      <c r="M105" s="290">
        <f>L105/E105</f>
        <v>0.51999902880503568</v>
      </c>
      <c r="N105" s="287"/>
      <c r="O105" s="288"/>
      <c r="P105" s="289">
        <v>1099.96</v>
      </c>
      <c r="Q105" s="290">
        <f>P105/E105</f>
        <v>0.33383612905967086</v>
      </c>
      <c r="R105" s="287"/>
      <c r="S105" s="288"/>
      <c r="T105" s="287"/>
      <c r="U105" s="288"/>
      <c r="V105" s="289"/>
      <c r="W105" s="290"/>
      <c r="X105" s="287"/>
      <c r="Y105" s="313"/>
      <c r="Z105" s="289"/>
      <c r="AA105" s="363"/>
      <c r="AB105" s="287"/>
      <c r="AC105" s="313"/>
      <c r="AD105" s="289"/>
      <c r="AE105" s="363"/>
      <c r="AF105" s="287"/>
      <c r="AG105" s="313"/>
      <c r="AH105" s="289">
        <v>481.6</v>
      </c>
      <c r="AI105" s="363">
        <f>AH105/E105</f>
        <v>0.14616484213529354</v>
      </c>
      <c r="AJ105" s="323">
        <f t="shared" ref="AJ105:AJ106" si="675">K105+M105+O105+Q105+S105+U105+W105+Y105+AA105+AC105+G105+I105+AI105+AE105+AG105</f>
        <v>1</v>
      </c>
      <c r="AK105" s="81">
        <v>0</v>
      </c>
      <c r="AL105" s="81"/>
      <c r="AM105" s="84">
        <v>0</v>
      </c>
      <c r="AN105" s="85">
        <v>0</v>
      </c>
      <c r="AO105" s="84">
        <v>0</v>
      </c>
      <c r="AP105" s="81"/>
      <c r="AQ105" s="84">
        <v>0</v>
      </c>
      <c r="AR105" s="85"/>
      <c r="AS105" s="84">
        <v>0</v>
      </c>
      <c r="AT105" s="81"/>
      <c r="AU105" s="84">
        <v>0</v>
      </c>
      <c r="AV105" s="85"/>
      <c r="AW105" s="84">
        <v>0</v>
      </c>
      <c r="AX105" s="85"/>
      <c r="AY105" s="84">
        <v>0</v>
      </c>
      <c r="AZ105" s="85"/>
      <c r="BA105" s="84">
        <v>0</v>
      </c>
      <c r="BB105" s="85"/>
      <c r="BC105" s="84">
        <v>0</v>
      </c>
      <c r="BD105" s="85"/>
      <c r="BE105" s="84">
        <v>0</v>
      </c>
      <c r="BF105" s="85"/>
      <c r="BG105" s="230">
        <f>D105-AK105-AM105-AO105-AQ105-AS105-AU105-AW105-AY105-BA105-BC105-BE105</f>
        <v>3294.91</v>
      </c>
      <c r="BH105" s="195">
        <v>3295</v>
      </c>
      <c r="BI105" s="214">
        <f t="shared" ref="BI105" si="676">D105-AK105-AM105-AO105-AQ105-AS105-AU105-AW105-AY105-BA105-BC105-BE105-BG105</f>
        <v>0</v>
      </c>
    </row>
    <row r="106" spans="1:62" x14ac:dyDescent="0.35">
      <c r="A106" s="151" t="s">
        <v>771</v>
      </c>
      <c r="B106" s="180"/>
      <c r="C106" s="83">
        <v>3084.53</v>
      </c>
      <c r="D106" s="107">
        <f t="shared" ref="D106" si="677">C106</f>
        <v>3084.53</v>
      </c>
      <c r="E106" s="304">
        <f>D106</f>
        <v>3084.53</v>
      </c>
      <c r="F106" s="289"/>
      <c r="G106" s="363">
        <f t="shared" ref="G106" si="678">F106/E106</f>
        <v>0</v>
      </c>
      <c r="H106" s="287"/>
      <c r="I106" s="313">
        <f t="shared" ref="I106" si="679">H106/E106</f>
        <v>0</v>
      </c>
      <c r="J106" s="287"/>
      <c r="K106" s="288">
        <f t="shared" ref="K106" si="680">J106/E106</f>
        <v>0</v>
      </c>
      <c r="L106" s="289"/>
      <c r="M106" s="290">
        <f t="shared" ref="M106" si="681">L106/E106</f>
        <v>0</v>
      </c>
      <c r="N106" s="287"/>
      <c r="O106" s="288">
        <f t="shared" ref="O106" si="682">N106/E106</f>
        <v>0</v>
      </c>
      <c r="P106" s="289"/>
      <c r="Q106" s="290">
        <f t="shared" ref="Q106" si="683">P106/E106</f>
        <v>0</v>
      </c>
      <c r="R106" s="287"/>
      <c r="S106" s="288">
        <f t="shared" ref="S106" si="684">R106/E106</f>
        <v>0</v>
      </c>
      <c r="T106" s="287"/>
      <c r="U106" s="288">
        <f t="shared" ref="U106" si="685">T106/E106</f>
        <v>0</v>
      </c>
      <c r="V106" s="289"/>
      <c r="W106" s="290">
        <f t="shared" ref="W106" si="686">V106/E106</f>
        <v>0</v>
      </c>
      <c r="X106" s="287">
        <v>3084.53</v>
      </c>
      <c r="Y106" s="313">
        <f t="shared" ref="Y106" si="687">X106/E106</f>
        <v>1</v>
      </c>
      <c r="Z106" s="289"/>
      <c r="AA106" s="363">
        <f t="shared" ref="AA106" si="688">Z106/E106</f>
        <v>0</v>
      </c>
      <c r="AB106" s="287"/>
      <c r="AC106" s="313">
        <f t="shared" ref="AC106" si="689">AB106/E106</f>
        <v>0</v>
      </c>
      <c r="AD106" s="289"/>
      <c r="AE106" s="363">
        <f t="shared" ref="AE106" si="690">AD106/E106</f>
        <v>0</v>
      </c>
      <c r="AF106" s="287"/>
      <c r="AG106" s="313">
        <f t="shared" ref="AG106" si="691">AF106/E106</f>
        <v>0</v>
      </c>
      <c r="AH106" s="289"/>
      <c r="AI106" s="363">
        <f t="shared" ref="AI106" si="692">AH106/E106</f>
        <v>0</v>
      </c>
      <c r="AJ106" s="323">
        <f t="shared" si="675"/>
        <v>1</v>
      </c>
      <c r="AK106" s="81">
        <v>0</v>
      </c>
      <c r="AL106" s="81"/>
      <c r="AM106" s="84">
        <v>0</v>
      </c>
      <c r="AN106" s="85">
        <v>0</v>
      </c>
      <c r="AO106" s="84">
        <v>0</v>
      </c>
      <c r="AP106" s="81">
        <v>0</v>
      </c>
      <c r="AQ106" s="84">
        <v>0</v>
      </c>
      <c r="AR106" s="85"/>
      <c r="AS106" s="84">
        <v>0</v>
      </c>
      <c r="AT106" s="81"/>
      <c r="AU106" s="84">
        <v>0</v>
      </c>
      <c r="AV106" s="85"/>
      <c r="AW106" s="84">
        <v>0</v>
      </c>
      <c r="AX106" s="85"/>
      <c r="AY106" s="64">
        <f>AZ106</f>
        <v>3084.53</v>
      </c>
      <c r="AZ106" s="231">
        <v>3084.53</v>
      </c>
      <c r="BA106" s="84">
        <f t="shared" ref="BA106" si="693">D106-AK106-AM106-AO106-AQ106-AS106-AU106-AW106-AY106</f>
        <v>0</v>
      </c>
      <c r="BB106" s="85"/>
      <c r="BC106" s="84">
        <f t="shared" ref="BC106" si="694">D106-AK106-AM106-AO106-AQ106-AS106-AU106-AW106-AY106-BA106</f>
        <v>0</v>
      </c>
      <c r="BD106" s="85"/>
      <c r="BE106" s="84">
        <f t="shared" ref="BE106" si="695">D106-AK106-AM106-AO106-AQ106-AS106-AU106-AW106-AY106-BA106-BC106</f>
        <v>0</v>
      </c>
      <c r="BF106" s="85"/>
      <c r="BG106" s="84">
        <f t="shared" ref="BG106:BG107" si="696">D106-AK106-AM106-AO106-AQ106-AS106-AU106-AW106-AY106-BA106-BC106-BE106</f>
        <v>0</v>
      </c>
      <c r="BH106" s="81"/>
      <c r="BI106" s="214">
        <f t="shared" ref="BI106" si="697">D106-AK106-AM106-AO106-AQ106-AS106-AU106-AW106-AY106-BA106-BC106-BE106-BG106</f>
        <v>0</v>
      </c>
    </row>
    <row r="107" spans="1:62" x14ac:dyDescent="0.35">
      <c r="A107" s="151" t="s">
        <v>769</v>
      </c>
      <c r="B107" s="180"/>
      <c r="C107" s="83">
        <v>21016.240000000002</v>
      </c>
      <c r="D107" s="107">
        <v>21016.240000000002</v>
      </c>
      <c r="E107" s="304">
        <v>21016.240000000002</v>
      </c>
      <c r="F107" s="289">
        <v>720</v>
      </c>
      <c r="G107" s="363">
        <f t="shared" ref="G107:G109" si="698">F107/E107</f>
        <v>3.4259220488536482E-2</v>
      </c>
      <c r="H107" s="287"/>
      <c r="I107" s="313">
        <f t="shared" ref="I107:I109" si="699">H107/E107</f>
        <v>0</v>
      </c>
      <c r="J107" s="287"/>
      <c r="K107" s="288"/>
      <c r="L107" s="289"/>
      <c r="M107" s="290"/>
      <c r="N107" s="287"/>
      <c r="O107" s="288"/>
      <c r="P107" s="289"/>
      <c r="Q107" s="290"/>
      <c r="R107" s="287"/>
      <c r="S107" s="288"/>
      <c r="T107" s="287">
        <v>0</v>
      </c>
      <c r="U107" s="288">
        <f>T107/E107</f>
        <v>0</v>
      </c>
      <c r="V107" s="289">
        <f>8154.28+7947.16+1234.8</f>
        <v>17336.239999999998</v>
      </c>
      <c r="W107" s="290">
        <f t="shared" ref="W107:W109" si="700">V107/E107</f>
        <v>0.82489731750303563</v>
      </c>
      <c r="X107" s="287"/>
      <c r="Y107" s="313"/>
      <c r="Z107" s="289"/>
      <c r="AA107" s="363"/>
      <c r="AB107" s="287"/>
      <c r="AC107" s="313"/>
      <c r="AD107" s="289">
        <v>2760</v>
      </c>
      <c r="AE107" s="363">
        <f t="shared" ref="AE107:AE109" si="701">AD107/E107</f>
        <v>0.13132701187272319</v>
      </c>
      <c r="AF107" s="287">
        <v>200</v>
      </c>
      <c r="AG107" s="313">
        <f t="shared" ref="AG107:AG109" si="702">AF107/E107</f>
        <v>9.5164501357045787E-3</v>
      </c>
      <c r="AH107" s="289"/>
      <c r="AI107" s="363"/>
      <c r="AJ107" s="323">
        <f t="shared" ref="AJ107:AJ109" si="703">K107+M107+O107+Q107+S107+U107+W107+Y107+AA107+AC107+G107+I107+AI107+AE107+AG107</f>
        <v>0.99999999999999989</v>
      </c>
      <c r="AK107" s="81">
        <v>0</v>
      </c>
      <c r="AL107" s="81">
        <v>0</v>
      </c>
      <c r="AM107" s="84">
        <v>0</v>
      </c>
      <c r="AN107" s="85">
        <v>0</v>
      </c>
      <c r="AO107" s="84">
        <v>0</v>
      </c>
      <c r="AP107" s="81">
        <v>0</v>
      </c>
      <c r="AQ107" s="84">
        <v>0</v>
      </c>
      <c r="AR107" s="85">
        <v>0</v>
      </c>
      <c r="AS107" s="84">
        <v>0</v>
      </c>
      <c r="AT107" s="81">
        <v>0</v>
      </c>
      <c r="AU107" s="84">
        <v>0</v>
      </c>
      <c r="AV107" s="85"/>
      <c r="AW107" s="84">
        <v>0</v>
      </c>
      <c r="AX107" s="85"/>
      <c r="AY107" s="64">
        <v>2945.06</v>
      </c>
      <c r="AZ107" s="231">
        <v>2945.06</v>
      </c>
      <c r="BA107" s="230">
        <f>BB107</f>
        <v>12191.01</v>
      </c>
      <c r="BB107" s="231">
        <v>12191.01</v>
      </c>
      <c r="BC107" s="230">
        <f>BD107</f>
        <v>4640.8599999999997</v>
      </c>
      <c r="BD107" s="231">
        <v>4640.8599999999997</v>
      </c>
      <c r="BE107" s="84">
        <v>0</v>
      </c>
      <c r="BF107" s="85"/>
      <c r="BG107" s="84">
        <f t="shared" si="696"/>
        <v>1239.3100000000004</v>
      </c>
      <c r="BH107" s="81"/>
      <c r="BI107" s="214"/>
    </row>
    <row r="108" spans="1:62" x14ac:dyDescent="0.35">
      <c r="A108" s="384" t="s">
        <v>763</v>
      </c>
      <c r="B108" s="180"/>
      <c r="C108" s="83">
        <v>15000</v>
      </c>
      <c r="D108" s="107">
        <v>15000</v>
      </c>
      <c r="E108" s="304">
        <v>15000</v>
      </c>
      <c r="F108" s="289"/>
      <c r="G108" s="363"/>
      <c r="H108" s="287"/>
      <c r="I108" s="313"/>
      <c r="J108" s="287"/>
      <c r="K108" s="288"/>
      <c r="L108" s="289"/>
      <c r="M108" s="290"/>
      <c r="N108" s="287"/>
      <c r="O108" s="288"/>
      <c r="P108" s="289"/>
      <c r="Q108" s="290"/>
      <c r="R108" s="287"/>
      <c r="S108" s="288"/>
      <c r="T108" s="287"/>
      <c r="U108" s="288"/>
      <c r="V108" s="289"/>
      <c r="W108" s="290"/>
      <c r="X108" s="287"/>
      <c r="Y108" s="313"/>
      <c r="Z108" s="289"/>
      <c r="AA108" s="363"/>
      <c r="AB108" s="287">
        <v>15000</v>
      </c>
      <c r="AC108" s="313">
        <v>1</v>
      </c>
      <c r="AD108" s="289"/>
      <c r="AE108" s="363"/>
      <c r="AF108" s="287"/>
      <c r="AG108" s="313"/>
      <c r="AH108" s="289"/>
      <c r="AI108" s="363"/>
      <c r="AJ108" s="323">
        <f t="shared" si="703"/>
        <v>1</v>
      </c>
      <c r="AK108" s="81">
        <v>0</v>
      </c>
      <c r="AL108" s="81">
        <v>0</v>
      </c>
      <c r="AM108" s="84">
        <v>0</v>
      </c>
      <c r="AN108" s="85">
        <v>0</v>
      </c>
      <c r="AO108" s="84">
        <v>0</v>
      </c>
      <c r="AP108" s="81">
        <v>0</v>
      </c>
      <c r="AQ108" s="84">
        <v>0</v>
      </c>
      <c r="AR108" s="85">
        <v>0</v>
      </c>
      <c r="AS108" s="84">
        <v>0</v>
      </c>
      <c r="AT108" s="81">
        <v>0</v>
      </c>
      <c r="AU108" s="230">
        <v>15000</v>
      </c>
      <c r="AV108" s="231">
        <v>15000</v>
      </c>
      <c r="AW108" s="84"/>
      <c r="AX108" s="85"/>
      <c r="AY108" s="84"/>
      <c r="AZ108" s="85"/>
      <c r="BA108" s="84"/>
      <c r="BB108" s="85"/>
      <c r="BC108" s="84"/>
      <c r="BD108" s="85"/>
      <c r="BE108" s="84"/>
      <c r="BF108" s="85"/>
      <c r="BG108" s="84"/>
      <c r="BH108" s="81"/>
      <c r="BI108" s="214"/>
    </row>
    <row r="109" spans="1:62" x14ac:dyDescent="0.35">
      <c r="A109" s="151" t="s">
        <v>762</v>
      </c>
      <c r="B109" s="180"/>
      <c r="C109" s="83">
        <v>1596.15</v>
      </c>
      <c r="D109" s="107">
        <v>1596.15</v>
      </c>
      <c r="E109" s="304">
        <v>1596.15</v>
      </c>
      <c r="F109" s="289"/>
      <c r="G109" s="363">
        <f t="shared" si="698"/>
        <v>0</v>
      </c>
      <c r="H109" s="287"/>
      <c r="I109" s="313">
        <f t="shared" si="699"/>
        <v>0</v>
      </c>
      <c r="J109" s="287"/>
      <c r="K109" s="288">
        <f t="shared" ref="K109" si="704">J109/E109</f>
        <v>0</v>
      </c>
      <c r="L109" s="289"/>
      <c r="M109" s="290">
        <f t="shared" ref="M109" si="705">L109/E109</f>
        <v>0</v>
      </c>
      <c r="N109" s="287"/>
      <c r="O109" s="288">
        <f t="shared" ref="O109" si="706">N109/E109</f>
        <v>0</v>
      </c>
      <c r="P109" s="289"/>
      <c r="Q109" s="290">
        <f t="shared" ref="Q109" si="707">P109/E109</f>
        <v>0</v>
      </c>
      <c r="R109" s="287"/>
      <c r="S109" s="288">
        <f>R109/E109</f>
        <v>0</v>
      </c>
      <c r="T109" s="287"/>
      <c r="U109" s="288">
        <f t="shared" ref="U109" si="708">T109/E109</f>
        <v>0</v>
      </c>
      <c r="V109" s="289"/>
      <c r="W109" s="290">
        <f t="shared" si="700"/>
        <v>0</v>
      </c>
      <c r="X109" s="287">
        <v>1596.15</v>
      </c>
      <c r="Y109" s="313">
        <f t="shared" ref="Y109" si="709">X109/E109</f>
        <v>1</v>
      </c>
      <c r="Z109" s="289"/>
      <c r="AA109" s="363">
        <f t="shared" ref="AA109" si="710">Z109/E109</f>
        <v>0</v>
      </c>
      <c r="AB109" s="287"/>
      <c r="AC109" s="313">
        <f t="shared" ref="AC109" si="711">AB109/E109</f>
        <v>0</v>
      </c>
      <c r="AD109" s="289"/>
      <c r="AE109" s="363">
        <f t="shared" si="701"/>
        <v>0</v>
      </c>
      <c r="AF109" s="287"/>
      <c r="AG109" s="313">
        <f t="shared" si="702"/>
        <v>0</v>
      </c>
      <c r="AH109" s="289"/>
      <c r="AI109" s="363">
        <f t="shared" ref="AI109" si="712">AH109/E109</f>
        <v>0</v>
      </c>
      <c r="AJ109" s="323">
        <f t="shared" si="703"/>
        <v>1</v>
      </c>
      <c r="AK109" s="81">
        <v>0</v>
      </c>
      <c r="AL109" s="81"/>
      <c r="AM109" s="84">
        <v>0</v>
      </c>
      <c r="AN109" s="85"/>
      <c r="AO109" s="84">
        <v>0</v>
      </c>
      <c r="AP109" s="81"/>
      <c r="AQ109" s="84">
        <v>0</v>
      </c>
      <c r="AR109" s="85"/>
      <c r="AS109" s="230">
        <f t="shared" ref="AS109" si="713">D109-AK109-AM109-AO109-AQ109</f>
        <v>1596.15</v>
      </c>
      <c r="AT109" s="195">
        <v>1596.15</v>
      </c>
      <c r="AU109" s="84">
        <f t="shared" ref="AU109" si="714">D109-AK109-AM109-AO109-AQ109-AS109</f>
        <v>0</v>
      </c>
      <c r="AV109" s="85"/>
      <c r="AW109" s="84">
        <f t="shared" ref="AW109" si="715">D109-AK109-AM109-AO109-AQ109-AS109-AU109</f>
        <v>0</v>
      </c>
      <c r="AX109" s="85"/>
      <c r="AY109" s="84">
        <f t="shared" ref="AY109" si="716">D109-AK109-AM109-AO109-AQ109-AS109-AU109-AW109</f>
        <v>0</v>
      </c>
      <c r="AZ109" s="85"/>
      <c r="BA109" s="84">
        <f t="shared" ref="BA109" si="717">D109-AK109-AM109-AO109-AQ109-AS109-AU109-AW109-AY109</f>
        <v>0</v>
      </c>
      <c r="BB109" s="85"/>
      <c r="BC109" s="84">
        <f t="shared" ref="BC109" si="718">D109-AK109-AM109-AO109-AQ109-AS109-AU109-AW109-AY109-BA109</f>
        <v>0</v>
      </c>
      <c r="BD109" s="85"/>
      <c r="BE109" s="84">
        <f t="shared" ref="BE109" si="719">D109-AK109-AM109-AO109-AQ109-AS109-AU109-AW109-AY109-BA109-BC109</f>
        <v>0</v>
      </c>
      <c r="BF109" s="85"/>
      <c r="BG109" s="84">
        <f t="shared" ref="BG109" si="720">D109-AK109-AM109-AO109-AQ109-AS109-AU109-AW109-AY109-BA109-BC109-BE109</f>
        <v>0</v>
      </c>
      <c r="BH109" s="81"/>
      <c r="BI109" s="214">
        <f t="shared" ref="BI109" si="721">D109-AK109-AM109-AO109-AQ109-AS109-AU109-AW109-AY109-BA109-BC109-BE109-BG109</f>
        <v>0</v>
      </c>
    </row>
    <row r="110" spans="1:62" x14ac:dyDescent="0.35">
      <c r="A110" s="151" t="s">
        <v>759</v>
      </c>
      <c r="B110" s="180"/>
      <c r="C110" s="83">
        <f>3971.62+2809.04+876.19+1836.92</f>
        <v>9493.77</v>
      </c>
      <c r="D110" s="107">
        <f>C110</f>
        <v>9493.77</v>
      </c>
      <c r="E110" s="304">
        <f>D110</f>
        <v>9493.77</v>
      </c>
      <c r="F110" s="289"/>
      <c r="G110" s="363">
        <f t="shared" ref="G110" si="722">F110/E110</f>
        <v>0</v>
      </c>
      <c r="H110" s="287"/>
      <c r="I110" s="313">
        <f t="shared" ref="I110" si="723">H110/E110</f>
        <v>0</v>
      </c>
      <c r="J110" s="287"/>
      <c r="K110" s="288">
        <f t="shared" ref="K110" si="724">J110/E110</f>
        <v>0</v>
      </c>
      <c r="L110" s="289"/>
      <c r="M110" s="290">
        <f t="shared" ref="M110" si="725">L110/E110</f>
        <v>0</v>
      </c>
      <c r="N110" s="287">
        <v>0</v>
      </c>
      <c r="O110" s="288">
        <f t="shared" ref="O110" si="726">N110/E110</f>
        <v>0</v>
      </c>
      <c r="P110" s="289"/>
      <c r="Q110" s="290">
        <f t="shared" ref="Q110" si="727">P110/E110</f>
        <v>0</v>
      </c>
      <c r="R110" s="287"/>
      <c r="S110" s="288">
        <f t="shared" ref="S110" si="728">R110/E110</f>
        <v>0</v>
      </c>
      <c r="T110" s="287"/>
      <c r="U110" s="288">
        <f t="shared" ref="U110" si="729">T110/E110</f>
        <v>0</v>
      </c>
      <c r="V110" s="289">
        <v>876.19</v>
      </c>
      <c r="W110" s="290">
        <f t="shared" ref="W110" si="730">V110/E110</f>
        <v>9.2291049814773263E-2</v>
      </c>
      <c r="X110" s="287"/>
      <c r="Y110" s="313">
        <f t="shared" ref="Y110" si="731">X110/E110</f>
        <v>0</v>
      </c>
      <c r="Z110" s="289"/>
      <c r="AA110" s="363">
        <f t="shared" ref="AA110" si="732">Z110/E110</f>
        <v>0</v>
      </c>
      <c r="AB110" s="287">
        <f>3931.62+2776.04</f>
        <v>6707.66</v>
      </c>
      <c r="AC110" s="313">
        <f t="shared" ref="AC110" si="733">AB110/E110</f>
        <v>0.70653281046412542</v>
      </c>
      <c r="AD110" s="289"/>
      <c r="AE110" s="363">
        <f t="shared" ref="AE110" si="734">AD110/E110</f>
        <v>0</v>
      </c>
      <c r="AF110" s="287">
        <f>40+33</f>
        <v>73</v>
      </c>
      <c r="AG110" s="313">
        <f t="shared" ref="AG110" si="735">AF110/E110</f>
        <v>7.689253057531412E-3</v>
      </c>
      <c r="AH110" s="289"/>
      <c r="AI110" s="363">
        <f t="shared" ref="AI110" si="736">AH110/E110</f>
        <v>0</v>
      </c>
      <c r="AJ110" s="323">
        <f t="shared" ref="AJ110" si="737">K110+M110+O110+Q110+S110+U110+W110+Y110+AA110+AC110+G110+I110+AI110+AE110+AG110</f>
        <v>0.80651311333643005</v>
      </c>
      <c r="AK110" s="81">
        <v>0</v>
      </c>
      <c r="AL110" s="81"/>
      <c r="AM110" s="84">
        <v>0</v>
      </c>
      <c r="AN110" s="85"/>
      <c r="AO110" s="84">
        <v>0</v>
      </c>
      <c r="AP110" s="81"/>
      <c r="AQ110" s="84">
        <v>0</v>
      </c>
      <c r="AR110" s="85"/>
      <c r="AS110" s="230">
        <v>3971.62</v>
      </c>
      <c r="AT110" s="195">
        <v>3972</v>
      </c>
      <c r="AU110" s="84">
        <v>0</v>
      </c>
      <c r="AV110" s="85"/>
      <c r="AW110" s="84">
        <v>0</v>
      </c>
      <c r="AX110" s="85">
        <v>0</v>
      </c>
      <c r="AY110" s="230">
        <f>2809.04+1836.92</f>
        <v>4645.96</v>
      </c>
      <c r="AZ110" s="231">
        <f>AY110</f>
        <v>4645.96</v>
      </c>
      <c r="BA110" s="84">
        <v>0</v>
      </c>
      <c r="BB110" s="85"/>
      <c r="BC110" s="84">
        <v>0</v>
      </c>
      <c r="BD110" s="85"/>
      <c r="BE110" s="84">
        <v>0</v>
      </c>
      <c r="BF110" s="85"/>
      <c r="BG110" s="84"/>
      <c r="BH110" s="81"/>
      <c r="BI110" s="214"/>
    </row>
    <row r="111" spans="1:62" x14ac:dyDescent="0.35">
      <c r="A111" s="151" t="s">
        <v>791</v>
      </c>
      <c r="B111" s="180"/>
      <c r="C111" s="83">
        <v>10883.59</v>
      </c>
      <c r="D111" s="107">
        <v>10883.59</v>
      </c>
      <c r="E111" s="304">
        <f>D111</f>
        <v>10883.59</v>
      </c>
      <c r="F111" s="289">
        <v>720</v>
      </c>
      <c r="G111" s="363">
        <f t="shared" ref="G111:G112" si="738">F111/E111</f>
        <v>6.6154641988535032E-2</v>
      </c>
      <c r="H111" s="287"/>
      <c r="I111" s="313">
        <f t="shared" ref="I111:I112" si="739">H111/E111</f>
        <v>0</v>
      </c>
      <c r="J111" s="287">
        <v>4950.26</v>
      </c>
      <c r="K111" s="288">
        <f t="shared" ref="K111:K112" si="740">J111/E111</f>
        <v>0.45483705284745202</v>
      </c>
      <c r="L111" s="289"/>
      <c r="M111" s="290">
        <f t="shared" ref="M111:M112" si="741">L111/E111</f>
        <v>0</v>
      </c>
      <c r="N111" s="287">
        <v>0</v>
      </c>
      <c r="O111" s="288">
        <f t="shared" ref="O111:O112" si="742">N111/E111</f>
        <v>0</v>
      </c>
      <c r="P111" s="289">
        <v>2726.85</v>
      </c>
      <c r="Q111" s="290">
        <f t="shared" ref="Q111:Q112" si="743">P111/E111</f>
        <v>0.25054692431449549</v>
      </c>
      <c r="R111" s="287"/>
      <c r="S111" s="288">
        <f t="shared" ref="S111:S112" si="744">R111/E111</f>
        <v>0</v>
      </c>
      <c r="T111" s="287"/>
      <c r="U111" s="288">
        <f t="shared" ref="U111:U112" si="745">T111/E111</f>
        <v>0</v>
      </c>
      <c r="V111" s="289"/>
      <c r="W111" s="290">
        <f t="shared" ref="W111:W112" si="746">V111/E111</f>
        <v>0</v>
      </c>
      <c r="X111" s="287"/>
      <c r="Y111" s="313">
        <f t="shared" ref="Y111:Y112" si="747">X111/E111</f>
        <v>0</v>
      </c>
      <c r="Z111" s="289"/>
      <c r="AA111" s="363">
        <f t="shared" ref="AA111:AA112" si="748">Z111/E111</f>
        <v>0</v>
      </c>
      <c r="AB111" s="287"/>
      <c r="AC111" s="313">
        <f t="shared" ref="AC111:AC112" si="749">AB111/E111</f>
        <v>0</v>
      </c>
      <c r="AD111" s="289"/>
      <c r="AE111" s="363">
        <f t="shared" ref="AE111:AE112" si="750">AD111/E111</f>
        <v>0</v>
      </c>
      <c r="AF111" s="287"/>
      <c r="AG111" s="313">
        <f t="shared" ref="AG111:AG112" si="751">AF111/E111</f>
        <v>0</v>
      </c>
      <c r="AH111" s="289">
        <v>2486.48</v>
      </c>
      <c r="AI111" s="363">
        <f t="shared" ref="AI111:AI112" si="752">AH111/E111</f>
        <v>0.22846138084951748</v>
      </c>
      <c r="AJ111" s="323">
        <f t="shared" ref="AJ111:AJ112" si="753">K111+M111+O111+Q111+S111+U111+W111+Y111+AA111+AC111+G111+I111+AI111+AE111+AG111</f>
        <v>1</v>
      </c>
      <c r="AK111" s="81">
        <v>0</v>
      </c>
      <c r="AL111" s="81"/>
      <c r="AM111" s="84">
        <v>0</v>
      </c>
      <c r="AN111" s="85"/>
      <c r="AO111" s="84">
        <v>0</v>
      </c>
      <c r="AP111" s="81"/>
      <c r="AQ111" s="84">
        <v>0</v>
      </c>
      <c r="AR111" s="85"/>
      <c r="AS111" s="84">
        <v>0</v>
      </c>
      <c r="AT111" s="81"/>
      <c r="AU111" s="84">
        <v>0</v>
      </c>
      <c r="AV111" s="85"/>
      <c r="AW111" s="84">
        <v>0</v>
      </c>
      <c r="AX111" s="85"/>
      <c r="AY111" s="84">
        <v>0</v>
      </c>
      <c r="AZ111" s="85"/>
      <c r="BA111" s="84">
        <v>0</v>
      </c>
      <c r="BB111" s="85"/>
      <c r="BC111" s="230">
        <f t="shared" ref="BC111:BC112" si="754">D111-AK111-AM111-AO111-AQ111-AS111-AU111-AW111-AY111-BA111</f>
        <v>10883.59</v>
      </c>
      <c r="BD111" s="231">
        <v>10883.59</v>
      </c>
      <c r="BE111" s="84">
        <f t="shared" ref="BE111:BE112" si="755">D111-AK111-AM111-AO111-AQ111-AS111-AU111-AW111-AY111-BA111-BC111</f>
        <v>0</v>
      </c>
      <c r="BF111" s="85"/>
      <c r="BG111" s="84">
        <f t="shared" ref="BG111:BG112" si="756">D111-AK111-AM111-AO111-AQ111-AS111-AU111-AW111-AY111-BA111-BC111-BE111</f>
        <v>0</v>
      </c>
      <c r="BH111" s="81"/>
      <c r="BI111" s="214">
        <f t="shared" ref="BI111:BI112" si="757">D111-AK111-AM111-AO111-AQ111-AS111-AU111-AW111-AY111-BA111-BC111-BE111-BG111</f>
        <v>0</v>
      </c>
    </row>
    <row r="112" spans="1:62" x14ac:dyDescent="0.35">
      <c r="A112" s="151" t="s">
        <v>593</v>
      </c>
      <c r="B112" s="180"/>
      <c r="C112" s="83">
        <v>198.72</v>
      </c>
      <c r="D112" s="107">
        <v>198.72</v>
      </c>
      <c r="E112" s="304">
        <f>D112</f>
        <v>198.72</v>
      </c>
      <c r="F112" s="289"/>
      <c r="G112" s="363">
        <f t="shared" si="738"/>
        <v>0</v>
      </c>
      <c r="H112" s="287"/>
      <c r="I112" s="313">
        <f t="shared" si="739"/>
        <v>0</v>
      </c>
      <c r="J112" s="287"/>
      <c r="K112" s="288">
        <f t="shared" si="740"/>
        <v>0</v>
      </c>
      <c r="L112" s="289"/>
      <c r="M112" s="290">
        <f t="shared" si="741"/>
        <v>0</v>
      </c>
      <c r="N112" s="287">
        <v>0</v>
      </c>
      <c r="O112" s="288">
        <f t="shared" si="742"/>
        <v>0</v>
      </c>
      <c r="P112" s="289"/>
      <c r="Q112" s="290">
        <f t="shared" si="743"/>
        <v>0</v>
      </c>
      <c r="R112" s="287"/>
      <c r="S112" s="288">
        <f t="shared" si="744"/>
        <v>0</v>
      </c>
      <c r="T112" s="287"/>
      <c r="U112" s="288">
        <f t="shared" si="745"/>
        <v>0</v>
      </c>
      <c r="V112" s="289">
        <v>198.72</v>
      </c>
      <c r="W112" s="290">
        <f t="shared" si="746"/>
        <v>1</v>
      </c>
      <c r="X112" s="287"/>
      <c r="Y112" s="313">
        <f t="shared" si="747"/>
        <v>0</v>
      </c>
      <c r="Z112" s="289"/>
      <c r="AA112" s="363">
        <f t="shared" si="748"/>
        <v>0</v>
      </c>
      <c r="AB112" s="287"/>
      <c r="AC112" s="313">
        <f t="shared" si="749"/>
        <v>0</v>
      </c>
      <c r="AD112" s="289"/>
      <c r="AE112" s="363">
        <f t="shared" si="750"/>
        <v>0</v>
      </c>
      <c r="AF112" s="287"/>
      <c r="AG112" s="313">
        <f t="shared" si="751"/>
        <v>0</v>
      </c>
      <c r="AH112" s="289"/>
      <c r="AI112" s="363">
        <f t="shared" si="752"/>
        <v>0</v>
      </c>
      <c r="AJ112" s="323">
        <f t="shared" si="753"/>
        <v>1</v>
      </c>
      <c r="AK112" s="81">
        <v>0</v>
      </c>
      <c r="AL112" s="81"/>
      <c r="AM112" s="84">
        <v>0</v>
      </c>
      <c r="AN112" s="85"/>
      <c r="AO112" s="84">
        <v>0</v>
      </c>
      <c r="AP112" s="81"/>
      <c r="AQ112" s="84">
        <v>0</v>
      </c>
      <c r="AR112" s="85"/>
      <c r="AS112" s="230">
        <f t="shared" ref="AS112" si="758">D112-AK112-AM112-AO112-AQ112</f>
        <v>198.72</v>
      </c>
      <c r="AT112" s="195">
        <v>199</v>
      </c>
      <c r="AU112" s="84">
        <f t="shared" ref="AU112" si="759">D112-AK112-AM112-AO112-AQ112-AS112</f>
        <v>0</v>
      </c>
      <c r="AV112" s="85"/>
      <c r="AW112" s="84">
        <f t="shared" ref="AW112" si="760">D112-AK112-AM112-AO112-AQ112-AS112-AU112</f>
        <v>0</v>
      </c>
      <c r="AX112" s="85"/>
      <c r="AY112" s="84">
        <f t="shared" ref="AY112" si="761">D112-AK112-AM112-AO112-AQ112-AS112-AU112-AW112</f>
        <v>0</v>
      </c>
      <c r="AZ112" s="85"/>
      <c r="BA112" s="84">
        <f t="shared" ref="BA112" si="762">D112-AK112-AM112-AO112-AQ112-AS112-AU112-AW112-AY112</f>
        <v>0</v>
      </c>
      <c r="BB112" s="85"/>
      <c r="BC112" s="84">
        <f t="shared" si="754"/>
        <v>0</v>
      </c>
      <c r="BD112" s="85"/>
      <c r="BE112" s="84">
        <f t="shared" si="755"/>
        <v>0</v>
      </c>
      <c r="BF112" s="85"/>
      <c r="BG112" s="84">
        <f t="shared" si="756"/>
        <v>0</v>
      </c>
      <c r="BH112" s="81"/>
      <c r="BI112" s="214">
        <f t="shared" si="757"/>
        <v>0</v>
      </c>
    </row>
    <row r="113" spans="1:61" x14ac:dyDescent="0.35">
      <c r="A113" s="151" t="s">
        <v>585</v>
      </c>
      <c r="B113" s="180"/>
      <c r="C113" s="83">
        <f>D113</f>
        <v>3619.0699999999997</v>
      </c>
      <c r="D113" s="107">
        <f>E113</f>
        <v>3619.0699999999997</v>
      </c>
      <c r="E113" s="304">
        <f>325.97+3293.1</f>
        <v>3619.0699999999997</v>
      </c>
      <c r="F113" s="289"/>
      <c r="G113" s="363">
        <f t="shared" ref="G113:G114" si="763">F113/E113</f>
        <v>0</v>
      </c>
      <c r="H113" s="287"/>
      <c r="I113" s="313">
        <f t="shared" ref="I113:I114" si="764">H113/E113</f>
        <v>0</v>
      </c>
      <c r="J113" s="287"/>
      <c r="K113" s="288">
        <f t="shared" si="434"/>
        <v>0</v>
      </c>
      <c r="L113" s="289"/>
      <c r="M113" s="290">
        <f t="shared" si="435"/>
        <v>0</v>
      </c>
      <c r="N113" s="287">
        <v>325.97000000000003</v>
      </c>
      <c r="O113" s="288">
        <f t="shared" ref="O113:O114" si="765">N113/E113</f>
        <v>9.0070100882270868E-2</v>
      </c>
      <c r="P113" s="289"/>
      <c r="Q113" s="290">
        <f t="shared" ref="Q113:Q114" si="766">P113/E113</f>
        <v>0</v>
      </c>
      <c r="R113" s="287"/>
      <c r="S113" s="288">
        <f t="shared" ref="S113:S114" si="767">R113/E113</f>
        <v>0</v>
      </c>
      <c r="T113" s="287"/>
      <c r="U113" s="288">
        <f t="shared" ref="U113:U114" si="768">T113/E113</f>
        <v>0</v>
      </c>
      <c r="V113" s="289"/>
      <c r="W113" s="290">
        <f t="shared" ref="W113:W114" si="769">V113/E113</f>
        <v>0</v>
      </c>
      <c r="X113" s="287"/>
      <c r="Y113" s="313">
        <f t="shared" ref="Y113:Y114" si="770">X113/E113</f>
        <v>0</v>
      </c>
      <c r="Z113" s="289"/>
      <c r="AA113" s="363">
        <f t="shared" ref="AA113:AA114" si="771">Z113/E113</f>
        <v>0</v>
      </c>
      <c r="AB113" s="287"/>
      <c r="AC113" s="313">
        <f t="shared" ref="AC113:AC114" si="772">AB113/E113</f>
        <v>0</v>
      </c>
      <c r="AD113" s="289"/>
      <c r="AE113" s="363">
        <f t="shared" ref="AE113:AE114" si="773">AD113/E113</f>
        <v>0</v>
      </c>
      <c r="AF113" s="287"/>
      <c r="AG113" s="313">
        <f t="shared" ref="AG113:AG114" si="774">AF113/E113</f>
        <v>0</v>
      </c>
      <c r="AH113" s="289"/>
      <c r="AI113" s="363">
        <f>AH113/E113</f>
        <v>0</v>
      </c>
      <c r="AJ113" s="323">
        <f t="shared" ref="AJ113:AJ114" si="775">K113+M113+O113+Q113+S113+U113+W113+Y113+AA113+AC113+G113+I113+AI113+AE113+AG113</f>
        <v>9.0070100882270868E-2</v>
      </c>
      <c r="AK113" s="81">
        <v>0</v>
      </c>
      <c r="AL113" s="81"/>
      <c r="AM113" s="84">
        <v>0</v>
      </c>
      <c r="AN113" s="85"/>
      <c r="AO113" s="84">
        <v>0</v>
      </c>
      <c r="AP113" s="81"/>
      <c r="AQ113" s="84">
        <v>0</v>
      </c>
      <c r="AR113" s="85"/>
      <c r="AS113" s="84">
        <v>0</v>
      </c>
      <c r="AT113" s="81"/>
      <c r="AU113" s="84">
        <v>0</v>
      </c>
      <c r="AV113" s="85"/>
      <c r="AW113" s="84">
        <v>0</v>
      </c>
      <c r="AX113" s="85"/>
      <c r="AY113" s="84">
        <v>0</v>
      </c>
      <c r="AZ113" s="85"/>
      <c r="BA113" s="84">
        <v>0</v>
      </c>
      <c r="BB113" s="85"/>
      <c r="BC113" s="230">
        <f t="shared" ref="BC113:BC114" si="776">D113-AK113-AM113-AO113-AQ113-AS113-AU113-AW113-AY113-BA113</f>
        <v>3619.0699999999997</v>
      </c>
      <c r="BD113" s="231">
        <f>3619</f>
        <v>3619</v>
      </c>
      <c r="BE113" s="84">
        <f t="shared" ref="BE113:BE114" si="777">D113-AK113-AM113-AO113-AQ113-AS113-AU113-AW113-AY113-BA113-BC113</f>
        <v>0</v>
      </c>
      <c r="BF113" s="85"/>
      <c r="BG113" s="84">
        <f t="shared" ref="BG113:BG114" si="778">D113-AK113-AM113-AO113-AQ113-AS113-AU113-AW113-AY113-BA113-BC113-BE113</f>
        <v>0</v>
      </c>
      <c r="BH113" s="81"/>
      <c r="BI113" s="214">
        <f t="shared" si="392"/>
        <v>0</v>
      </c>
    </row>
    <row r="114" spans="1:61" x14ac:dyDescent="0.35">
      <c r="A114" s="151" t="s">
        <v>754</v>
      </c>
      <c r="B114" s="180"/>
      <c r="C114" s="83">
        <v>1291.44</v>
      </c>
      <c r="D114" s="107">
        <v>1291.44</v>
      </c>
      <c r="E114" s="304">
        <v>1291.44</v>
      </c>
      <c r="F114" s="289"/>
      <c r="G114" s="363">
        <f t="shared" si="763"/>
        <v>0</v>
      </c>
      <c r="H114" s="287"/>
      <c r="I114" s="313">
        <f t="shared" si="764"/>
        <v>0</v>
      </c>
      <c r="J114" s="287"/>
      <c r="K114" s="288">
        <f t="shared" si="434"/>
        <v>0</v>
      </c>
      <c r="L114" s="289"/>
      <c r="M114" s="290">
        <f t="shared" si="435"/>
        <v>0</v>
      </c>
      <c r="N114" s="287">
        <v>1291.44</v>
      </c>
      <c r="O114" s="288">
        <f t="shared" si="765"/>
        <v>1</v>
      </c>
      <c r="P114" s="289"/>
      <c r="Q114" s="290">
        <f t="shared" si="766"/>
        <v>0</v>
      </c>
      <c r="R114" s="287"/>
      <c r="S114" s="288">
        <f t="shared" si="767"/>
        <v>0</v>
      </c>
      <c r="T114" s="287"/>
      <c r="U114" s="288">
        <f t="shared" si="768"/>
        <v>0</v>
      </c>
      <c r="V114" s="289"/>
      <c r="W114" s="290">
        <f t="shared" si="769"/>
        <v>0</v>
      </c>
      <c r="X114" s="287"/>
      <c r="Y114" s="313">
        <f t="shared" si="770"/>
        <v>0</v>
      </c>
      <c r="Z114" s="289"/>
      <c r="AA114" s="363">
        <f t="shared" si="771"/>
        <v>0</v>
      </c>
      <c r="AB114" s="287"/>
      <c r="AC114" s="313">
        <f t="shared" si="772"/>
        <v>0</v>
      </c>
      <c r="AD114" s="289"/>
      <c r="AE114" s="363">
        <f t="shared" si="773"/>
        <v>0</v>
      </c>
      <c r="AF114" s="287"/>
      <c r="AG114" s="313">
        <f t="shared" si="774"/>
        <v>0</v>
      </c>
      <c r="AH114" s="289"/>
      <c r="AI114" s="363">
        <f>AH114/E114</f>
        <v>0</v>
      </c>
      <c r="AJ114" s="323">
        <f t="shared" si="775"/>
        <v>1</v>
      </c>
      <c r="AK114" s="81">
        <v>0</v>
      </c>
      <c r="AL114" s="81"/>
      <c r="AM114" s="84">
        <v>0</v>
      </c>
      <c r="AN114" s="85"/>
      <c r="AO114" s="84">
        <v>0</v>
      </c>
      <c r="AP114" s="81"/>
      <c r="AQ114" s="84">
        <v>0</v>
      </c>
      <c r="AR114" s="85"/>
      <c r="AS114" s="230">
        <v>1291</v>
      </c>
      <c r="AT114" s="195">
        <v>1291.44</v>
      </c>
      <c r="AU114" s="84">
        <v>0</v>
      </c>
      <c r="AV114" s="85"/>
      <c r="AW114" s="84">
        <f t="shared" ref="AW114" si="779">D114-AK114-AM114-AO114-AQ114-AS114-AU114</f>
        <v>0.44000000000005457</v>
      </c>
      <c r="AX114" s="85"/>
      <c r="AY114" s="84">
        <f t="shared" ref="AY114" si="780">D114-AK114-AM114-AO114-AQ114-AS114-AU114-AW114</f>
        <v>0</v>
      </c>
      <c r="AZ114" s="85"/>
      <c r="BA114" s="84">
        <f t="shared" ref="BA114" si="781">D114-AK114-AM114-AO114-AQ114-AS114-AU114-AW114-AY114</f>
        <v>0</v>
      </c>
      <c r="BB114" s="85"/>
      <c r="BC114" s="84">
        <f t="shared" si="776"/>
        <v>0</v>
      </c>
      <c r="BD114" s="85"/>
      <c r="BE114" s="84">
        <f t="shared" si="777"/>
        <v>0</v>
      </c>
      <c r="BF114" s="85"/>
      <c r="BG114" s="84">
        <f t="shared" si="778"/>
        <v>0</v>
      </c>
      <c r="BH114" s="81"/>
      <c r="BI114" s="214">
        <f t="shared" si="392"/>
        <v>0</v>
      </c>
    </row>
    <row r="115" spans="1:61" x14ac:dyDescent="0.35">
      <c r="A115" s="151" t="s">
        <v>753</v>
      </c>
      <c r="B115" s="180"/>
      <c r="C115" s="83">
        <f>110.4+1623.84</f>
        <v>1734.24</v>
      </c>
      <c r="D115" s="107">
        <f>110.4+1623.84</f>
        <v>1734.24</v>
      </c>
      <c r="E115" s="304">
        <f>110.4+1623.84</f>
        <v>1734.24</v>
      </c>
      <c r="F115" s="289"/>
      <c r="G115" s="363"/>
      <c r="H115" s="287"/>
      <c r="I115" s="313"/>
      <c r="J115" s="287"/>
      <c r="K115" s="288"/>
      <c r="L115" s="289"/>
      <c r="M115" s="290"/>
      <c r="N115" s="287"/>
      <c r="O115" s="288"/>
      <c r="P115" s="289"/>
      <c r="Q115" s="290"/>
      <c r="R115" s="287"/>
      <c r="S115" s="288"/>
      <c r="T115" s="287"/>
      <c r="U115" s="288"/>
      <c r="V115" s="289"/>
      <c r="W115" s="290"/>
      <c r="X115" s="287"/>
      <c r="Y115" s="313"/>
      <c r="Z115" s="289"/>
      <c r="AA115" s="363"/>
      <c r="AB115" s="287">
        <f>110.4+1623.84</f>
        <v>1734.24</v>
      </c>
      <c r="AC115" s="313">
        <f t="shared" ref="AC115:AC116" si="782">AB115/E115</f>
        <v>1</v>
      </c>
      <c r="AD115" s="289"/>
      <c r="AE115" s="363"/>
      <c r="AF115" s="287"/>
      <c r="AG115" s="313"/>
      <c r="AH115" s="289"/>
      <c r="AI115" s="363"/>
      <c r="AJ115" s="323">
        <f t="shared" ref="AJ115:AJ116" si="783">K115+M115+O115+Q115+S115+U115+W115+Y115+AA115+AC115+G115+I115+AI115+AE115+AG115</f>
        <v>1</v>
      </c>
      <c r="AK115" s="81"/>
      <c r="AL115" s="81"/>
      <c r="AM115" s="84"/>
      <c r="AN115" s="85"/>
      <c r="AO115" s="84"/>
      <c r="AP115" s="81"/>
      <c r="AQ115" s="230">
        <f>AR115</f>
        <v>1623.84</v>
      </c>
      <c r="AR115" s="231">
        <v>1623.84</v>
      </c>
      <c r="AS115" s="84">
        <v>0</v>
      </c>
      <c r="AT115" s="81"/>
      <c r="AU115" s="84"/>
      <c r="AV115" s="85"/>
      <c r="AW115" s="84">
        <v>0</v>
      </c>
      <c r="AX115" s="85"/>
      <c r="AY115" s="84">
        <v>0</v>
      </c>
      <c r="AZ115" s="85"/>
      <c r="BA115" s="84"/>
      <c r="BB115" s="85"/>
      <c r="BC115" s="84"/>
      <c r="BD115" s="85"/>
      <c r="BE115" s="84"/>
      <c r="BF115" s="85"/>
      <c r="BG115" s="84"/>
      <c r="BH115" s="81"/>
      <c r="BI115" s="214"/>
    </row>
    <row r="116" spans="1:61" x14ac:dyDescent="0.35">
      <c r="A116" s="151" t="s">
        <v>752</v>
      </c>
      <c r="B116" s="180"/>
      <c r="C116" s="83">
        <v>446</v>
      </c>
      <c r="D116" s="107">
        <v>446</v>
      </c>
      <c r="E116" s="304">
        <f>D116</f>
        <v>446</v>
      </c>
      <c r="F116" s="289"/>
      <c r="G116" s="363">
        <f t="shared" ref="G116" si="784">F116/E116</f>
        <v>0</v>
      </c>
      <c r="H116" s="287"/>
      <c r="I116" s="313">
        <f t="shared" ref="I116" si="785">H116/E116</f>
        <v>0</v>
      </c>
      <c r="J116" s="287"/>
      <c r="K116" s="288">
        <f t="shared" si="434"/>
        <v>0</v>
      </c>
      <c r="L116" s="289"/>
      <c r="M116" s="290">
        <f t="shared" si="435"/>
        <v>0</v>
      </c>
      <c r="N116" s="287"/>
      <c r="O116" s="288">
        <f t="shared" ref="O116" si="786">N116/E116</f>
        <v>0</v>
      </c>
      <c r="P116" s="289"/>
      <c r="Q116" s="290">
        <f t="shared" ref="Q116" si="787">P116/E116</f>
        <v>0</v>
      </c>
      <c r="R116" s="287"/>
      <c r="S116" s="288">
        <f>R116/E116</f>
        <v>0</v>
      </c>
      <c r="T116" s="287"/>
      <c r="U116" s="288">
        <f t="shared" ref="U116" si="788">T116/E116</f>
        <v>0</v>
      </c>
      <c r="V116" s="289"/>
      <c r="W116" s="290">
        <f t="shared" ref="W116" si="789">V116/E116</f>
        <v>0</v>
      </c>
      <c r="X116" s="287"/>
      <c r="Y116" s="313">
        <f t="shared" ref="Y116" si="790">X116/E116</f>
        <v>0</v>
      </c>
      <c r="Z116" s="289"/>
      <c r="AA116" s="363">
        <f t="shared" ref="AA116" si="791">Z116/E116</f>
        <v>0</v>
      </c>
      <c r="AB116" s="287">
        <v>446</v>
      </c>
      <c r="AC116" s="313">
        <f t="shared" si="782"/>
        <v>1</v>
      </c>
      <c r="AD116" s="289"/>
      <c r="AE116" s="363">
        <f t="shared" ref="AE116" si="792">AD116/E116</f>
        <v>0</v>
      </c>
      <c r="AF116" s="287"/>
      <c r="AG116" s="313">
        <f t="shared" ref="AG116" si="793">AF116/E116</f>
        <v>0</v>
      </c>
      <c r="AH116" s="289"/>
      <c r="AI116" s="363">
        <f t="shared" ref="AI116" si="794">AH116/E116</f>
        <v>0</v>
      </c>
      <c r="AJ116" s="323">
        <f t="shared" si="783"/>
        <v>1</v>
      </c>
      <c r="AK116" s="81">
        <v>0</v>
      </c>
      <c r="AL116" s="81"/>
      <c r="AM116" s="84">
        <v>0</v>
      </c>
      <c r="AN116" s="85">
        <v>0</v>
      </c>
      <c r="AO116" s="84">
        <v>0</v>
      </c>
      <c r="AP116" s="81"/>
      <c r="AQ116" s="230">
        <f t="shared" si="381"/>
        <v>446</v>
      </c>
      <c r="AR116" s="231">
        <v>446</v>
      </c>
      <c r="AS116" s="84">
        <v>0</v>
      </c>
      <c r="AT116" s="81"/>
      <c r="AU116" s="84">
        <f t="shared" si="372"/>
        <v>0</v>
      </c>
      <c r="AV116" s="85"/>
      <c r="AW116" s="84">
        <f t="shared" ref="AW116" si="795">D116-AK116-AM116-AO116-AQ116-AS116-AU116</f>
        <v>0</v>
      </c>
      <c r="AX116" s="85"/>
      <c r="AY116" s="84">
        <f t="shared" ref="AY116" si="796">D116-AK116-AM116-AO116-AQ116-AS116-AU116-AW116</f>
        <v>0</v>
      </c>
      <c r="AZ116" s="85"/>
      <c r="BA116" s="84">
        <f t="shared" ref="BA116" si="797">D116-AK116-AM116-AO116-AQ116-AS116-AU116-AW116-AY116</f>
        <v>0</v>
      </c>
      <c r="BB116" s="85"/>
      <c r="BC116" s="84">
        <f t="shared" ref="BC116" si="798">D116-AK116-AM116-AO116-AQ116-AS116-AU116-AW116-AY116-BA116</f>
        <v>0</v>
      </c>
      <c r="BD116" s="85"/>
      <c r="BE116" s="84">
        <f t="shared" ref="BE116" si="799">D116-AK116-AM116-AO116-AQ116-AS116-AU116-AW116-AY116-BA116-BC116</f>
        <v>0</v>
      </c>
      <c r="BF116" s="85"/>
      <c r="BG116" s="84">
        <f t="shared" ref="BG116" si="800">D116-AK116-AM116-AO116-AQ116-AS116-AU116-AW116-AY116-BA116-BC116-BE116</f>
        <v>0</v>
      </c>
      <c r="BH116" s="81"/>
      <c r="BI116" s="214">
        <f t="shared" ref="BI116" si="801">D116-AK116-AM116-AO116-AQ116-AS116-AU116-AW116-AY116-BA116-BC116-BE116-BG116</f>
        <v>0</v>
      </c>
    </row>
    <row r="117" spans="1:61" x14ac:dyDescent="0.35">
      <c r="A117" s="151" t="s">
        <v>750</v>
      </c>
      <c r="B117" s="180"/>
      <c r="C117" s="83">
        <v>8743.8700000000008</v>
      </c>
      <c r="D117" s="107">
        <v>8743.8700000000008</v>
      </c>
      <c r="E117" s="304">
        <v>8743.8700000000008</v>
      </c>
      <c r="F117" s="289"/>
      <c r="G117" s="363"/>
      <c r="H117" s="287"/>
      <c r="I117" s="313"/>
      <c r="J117" s="287"/>
      <c r="K117" s="288"/>
      <c r="L117" s="289"/>
      <c r="M117" s="290"/>
      <c r="N117" s="287"/>
      <c r="O117" s="288"/>
      <c r="P117" s="289"/>
      <c r="Q117" s="290"/>
      <c r="R117" s="287"/>
      <c r="S117" s="288"/>
      <c r="T117" s="287"/>
      <c r="U117" s="288"/>
      <c r="V117" s="289"/>
      <c r="W117" s="290"/>
      <c r="X117" s="287">
        <f>7532.2+1033.48</f>
        <v>8565.68</v>
      </c>
      <c r="Y117" s="313">
        <f>X117/E117</f>
        <v>0.97962115173258513</v>
      </c>
      <c r="Z117" s="289"/>
      <c r="AA117" s="363"/>
      <c r="AB117" s="287">
        <v>178.19</v>
      </c>
      <c r="AC117" s="313">
        <f>AB117/E117</f>
        <v>2.0378848267414769E-2</v>
      </c>
      <c r="AD117" s="289"/>
      <c r="AE117" s="363"/>
      <c r="AF117" s="287"/>
      <c r="AG117" s="313"/>
      <c r="AH117" s="289"/>
      <c r="AI117" s="363"/>
      <c r="AJ117" s="323">
        <f>SUM(G117+I117+K117+M117+O117+Q117+S117+U117+W117+Y117+AA117+AC117+AE117+AG117+AI117)</f>
        <v>0.99999999999999989</v>
      </c>
      <c r="AK117" s="81"/>
      <c r="AL117" s="81"/>
      <c r="AM117" s="84"/>
      <c r="AN117" s="85"/>
      <c r="AO117" s="84"/>
      <c r="AP117" s="81"/>
      <c r="AQ117" s="230">
        <v>8744</v>
      </c>
      <c r="AR117" s="231">
        <v>8743.8700000000008</v>
      </c>
      <c r="AS117" s="84"/>
      <c r="AT117" s="81"/>
      <c r="AU117" s="84"/>
      <c r="AV117" s="85"/>
      <c r="AW117" s="84"/>
      <c r="AX117" s="85"/>
      <c r="AY117" s="84"/>
      <c r="AZ117" s="85"/>
      <c r="BA117" s="84"/>
      <c r="BB117" s="85"/>
      <c r="BC117" s="84"/>
      <c r="BD117" s="85"/>
      <c r="BE117" s="84"/>
      <c r="BF117" s="85"/>
      <c r="BG117" s="84"/>
      <c r="BH117" s="81"/>
      <c r="BI117" s="214"/>
    </row>
    <row r="118" spans="1:61" x14ac:dyDescent="0.35">
      <c r="A118" s="151" t="s">
        <v>747</v>
      </c>
      <c r="B118" s="180"/>
      <c r="C118" s="83">
        <v>6819.92</v>
      </c>
      <c r="D118" s="107">
        <v>6819.92</v>
      </c>
      <c r="E118" s="304">
        <f>D118</f>
        <v>6819.92</v>
      </c>
      <c r="F118" s="289"/>
      <c r="G118" s="363"/>
      <c r="H118" s="287"/>
      <c r="I118" s="313"/>
      <c r="J118" s="287"/>
      <c r="K118" s="288"/>
      <c r="L118" s="289"/>
      <c r="M118" s="290"/>
      <c r="N118" s="287"/>
      <c r="O118" s="288"/>
      <c r="P118" s="289"/>
      <c r="Q118" s="290"/>
      <c r="R118" s="287"/>
      <c r="S118" s="288"/>
      <c r="T118" s="287"/>
      <c r="U118" s="288"/>
      <c r="V118" s="289"/>
      <c r="W118" s="290"/>
      <c r="X118" s="287">
        <v>6819.92</v>
      </c>
      <c r="Y118" s="313">
        <f>X118/E118</f>
        <v>1</v>
      </c>
      <c r="Z118" s="289"/>
      <c r="AA118" s="363"/>
      <c r="AB118" s="287"/>
      <c r="AC118" s="313"/>
      <c r="AD118" s="289"/>
      <c r="AE118" s="363"/>
      <c r="AF118" s="287"/>
      <c r="AG118" s="313"/>
      <c r="AH118" s="289"/>
      <c r="AI118" s="363"/>
      <c r="AJ118" s="323">
        <f>SUM(G118+I118+K118+M118+O118+Q118+S118+U118+W118+Y118+AA118+AC118+AE118+AG118+AI118)</f>
        <v>1</v>
      </c>
      <c r="AK118" s="81">
        <v>0</v>
      </c>
      <c r="AL118" s="81"/>
      <c r="AM118" s="84">
        <v>0</v>
      </c>
      <c r="AN118" s="85"/>
      <c r="AO118" s="84">
        <v>0</v>
      </c>
      <c r="AP118" s="81"/>
      <c r="AQ118" s="84">
        <v>0</v>
      </c>
      <c r="AR118" s="85"/>
      <c r="AS118" s="84">
        <v>0</v>
      </c>
      <c r="AT118" s="81"/>
      <c r="AU118" s="84">
        <v>0</v>
      </c>
      <c r="AV118" s="85"/>
      <c r="AW118" s="84">
        <v>0</v>
      </c>
      <c r="AX118" s="85"/>
      <c r="AY118" s="230">
        <v>6819.92</v>
      </c>
      <c r="AZ118" s="231">
        <f>AY118</f>
        <v>6819.92</v>
      </c>
      <c r="BA118" s="84"/>
      <c r="BB118" s="85"/>
      <c r="BC118" s="84"/>
      <c r="BD118" s="85"/>
      <c r="BE118" s="84"/>
      <c r="BF118" s="85"/>
      <c r="BG118" s="84"/>
      <c r="BH118" s="81"/>
      <c r="BI118" s="214"/>
    </row>
    <row r="119" spans="1:61" x14ac:dyDescent="0.35">
      <c r="A119" s="151" t="s">
        <v>745</v>
      </c>
      <c r="B119" s="180"/>
      <c r="C119" s="83">
        <v>12133.4</v>
      </c>
      <c r="D119" s="107">
        <v>12133.4</v>
      </c>
      <c r="E119" s="304">
        <v>12133.4</v>
      </c>
      <c r="F119" s="289"/>
      <c r="G119" s="363">
        <f t="shared" ref="G119" si="802">F119/E119</f>
        <v>0</v>
      </c>
      <c r="H119" s="287"/>
      <c r="I119" s="313">
        <f t="shared" ref="I119" si="803">H119/E119</f>
        <v>0</v>
      </c>
      <c r="J119" s="287">
        <v>12133.4</v>
      </c>
      <c r="K119" s="288">
        <f t="shared" ref="K119" si="804">J119/E119</f>
        <v>1</v>
      </c>
      <c r="L119" s="289"/>
      <c r="M119" s="290">
        <f t="shared" ref="M119" si="805">L119/E119</f>
        <v>0</v>
      </c>
      <c r="N119" s="287"/>
      <c r="O119" s="288">
        <f t="shared" ref="O119" si="806">N119/E119</f>
        <v>0</v>
      </c>
      <c r="P119" s="289"/>
      <c r="Q119" s="290">
        <f t="shared" ref="Q119" si="807">P119/E119</f>
        <v>0</v>
      </c>
      <c r="R119" s="287"/>
      <c r="S119" s="288">
        <f t="shared" ref="S119" si="808">R119/E119</f>
        <v>0</v>
      </c>
      <c r="T119" s="287"/>
      <c r="U119" s="288">
        <f t="shared" ref="U119" si="809">T119/E119</f>
        <v>0</v>
      </c>
      <c r="V119" s="289"/>
      <c r="W119" s="290">
        <f t="shared" ref="W119" si="810">V119/E119</f>
        <v>0</v>
      </c>
      <c r="X119" s="287"/>
      <c r="Y119" s="313">
        <f t="shared" ref="Y119" si="811">X119/E119</f>
        <v>0</v>
      </c>
      <c r="Z119" s="289"/>
      <c r="AA119" s="363">
        <f t="shared" ref="AA119" si="812">Z119/E119</f>
        <v>0</v>
      </c>
      <c r="AB119" s="287"/>
      <c r="AC119" s="313">
        <f t="shared" ref="AC119" si="813">AB119/E119</f>
        <v>0</v>
      </c>
      <c r="AD119" s="289"/>
      <c r="AE119" s="363">
        <f t="shared" ref="AE119" si="814">AD119/E119</f>
        <v>0</v>
      </c>
      <c r="AF119" s="287"/>
      <c r="AG119" s="313">
        <f t="shared" ref="AG119" si="815">AF119/E119</f>
        <v>0</v>
      </c>
      <c r="AH119" s="289"/>
      <c r="AI119" s="363">
        <f>AH119/E119</f>
        <v>0</v>
      </c>
      <c r="AJ119" s="323">
        <f t="shared" ref="AJ119" si="816">K119+M119+O119+Q119+S119+U119+W119+Y119+AA119+AC119+G119+I119+AI119+AE119+AG119</f>
        <v>1</v>
      </c>
      <c r="AK119" s="81">
        <v>0</v>
      </c>
      <c r="AL119" s="81"/>
      <c r="AM119" s="84">
        <v>0</v>
      </c>
      <c r="AN119" s="85"/>
      <c r="AO119" s="230">
        <f>AP119</f>
        <v>4246.6899999999996</v>
      </c>
      <c r="AP119" s="195">
        <v>4246.6899999999996</v>
      </c>
      <c r="AQ119" s="230">
        <f t="shared" ref="AQ119" si="817">D119-AK119-AM119-AO119</f>
        <v>7886.71</v>
      </c>
      <c r="AR119" s="231">
        <v>7886.71</v>
      </c>
      <c r="AS119" s="84">
        <f t="shared" ref="AS119" si="818">D119-AK119-AM119-AO119-AQ119</f>
        <v>0</v>
      </c>
      <c r="AT119" s="81"/>
      <c r="AU119" s="84">
        <f t="shared" ref="AU119" si="819">D119-AK119-AM119-AO119-AQ119-AS119</f>
        <v>0</v>
      </c>
      <c r="AV119" s="85"/>
      <c r="AW119" s="84">
        <f t="shared" ref="AW119" si="820">D119-AK119-AM119-AO119-AQ119-AS119-AU119</f>
        <v>0</v>
      </c>
      <c r="AX119" s="85"/>
      <c r="AY119" s="84">
        <f t="shared" ref="AY119" si="821">D119-AK119-AM119-AO119-AQ119-AS119-AU119-AW119</f>
        <v>0</v>
      </c>
      <c r="AZ119" s="85"/>
      <c r="BA119" s="84">
        <f t="shared" ref="BA119" si="822">D119-AK119-AM119-AO119-AQ119-AS119-AU119-AW119-AY119</f>
        <v>0</v>
      </c>
      <c r="BB119" s="85"/>
      <c r="BC119" s="84">
        <f t="shared" ref="BC119" si="823">D119-AK119-AM119-AO119-AQ119-AS119-AU119-AW119-AY119-BA119</f>
        <v>0</v>
      </c>
      <c r="BD119" s="85"/>
      <c r="BE119" s="84">
        <f t="shared" ref="BE119" si="824">D119-AK119-AM119-AO119-AQ119-AS119-AU119-AW119-AY119-BA119-BC119</f>
        <v>0</v>
      </c>
      <c r="BF119" s="85"/>
      <c r="BG119" s="84">
        <f t="shared" ref="BG119" si="825">D119-AK119-AM119-AO119-AQ119-AS119-AU119-AW119-AY119-BA119-BC119-BE119</f>
        <v>0</v>
      </c>
      <c r="BH119" s="81"/>
      <c r="BI119" s="214">
        <f t="shared" ref="BI119" si="826">D119-AK119-AM119-AO119-AQ119-AS119-AU119-AW119-AY119-BA119-BC119-BE119-BG119</f>
        <v>0</v>
      </c>
    </row>
    <row r="120" spans="1:61" x14ac:dyDescent="0.35">
      <c r="A120" s="151" t="s">
        <v>746</v>
      </c>
      <c r="B120" s="180"/>
      <c r="C120" s="83">
        <v>2008</v>
      </c>
      <c r="D120" s="105">
        <v>2008</v>
      </c>
      <c r="E120" s="304">
        <v>2008</v>
      </c>
      <c r="F120" s="289"/>
      <c r="G120" s="363"/>
      <c r="H120" s="287"/>
      <c r="I120" s="313"/>
      <c r="J120" s="287"/>
      <c r="K120" s="288"/>
      <c r="L120" s="289"/>
      <c r="M120" s="290"/>
      <c r="N120" s="287"/>
      <c r="O120" s="288"/>
      <c r="P120" s="289">
        <v>2008</v>
      </c>
      <c r="Q120" s="290">
        <f>P120/E120</f>
        <v>1</v>
      </c>
      <c r="R120" s="287"/>
      <c r="S120" s="288"/>
      <c r="T120" s="287"/>
      <c r="U120" s="288"/>
      <c r="V120" s="289"/>
      <c r="W120" s="290"/>
      <c r="X120" s="287"/>
      <c r="Y120" s="313"/>
      <c r="Z120" s="289"/>
      <c r="AA120" s="363"/>
      <c r="AB120" s="287"/>
      <c r="AC120" s="313"/>
      <c r="AD120" s="289"/>
      <c r="AE120" s="363"/>
      <c r="AF120" s="287"/>
      <c r="AG120" s="313"/>
      <c r="AH120" s="289"/>
      <c r="AI120" s="363"/>
      <c r="AJ120" s="323">
        <f>SUM(G120+I120+K120+M120+O120+Q120+S120+U120+W120+Y120+AA120+AC120+AE120+AG120+AI120)</f>
        <v>1</v>
      </c>
      <c r="AK120" s="81"/>
      <c r="AL120" s="81"/>
      <c r="AM120" s="84"/>
      <c r="AN120" s="85"/>
      <c r="AO120" s="230">
        <v>2008</v>
      </c>
      <c r="AP120" s="195">
        <v>2008</v>
      </c>
      <c r="AQ120" s="84"/>
      <c r="AR120" s="85"/>
      <c r="AS120" s="84"/>
      <c r="AT120" s="81"/>
      <c r="AU120" s="84"/>
      <c r="AV120" s="85"/>
      <c r="AW120" s="84"/>
      <c r="AX120" s="85"/>
      <c r="AY120" s="84"/>
      <c r="AZ120" s="85"/>
      <c r="BA120" s="84"/>
      <c r="BB120" s="85"/>
      <c r="BC120" s="84"/>
      <c r="BD120" s="85"/>
      <c r="BE120" s="84"/>
      <c r="BF120" s="85"/>
      <c r="BG120" s="84"/>
      <c r="BH120" s="81"/>
      <c r="BI120" s="214"/>
    </row>
    <row r="121" spans="1:61" x14ac:dyDescent="0.35">
      <c r="A121" s="151" t="s">
        <v>744</v>
      </c>
      <c r="B121" s="180"/>
      <c r="C121" s="83">
        <v>0</v>
      </c>
      <c r="D121" s="142">
        <v>0</v>
      </c>
      <c r="E121" s="304"/>
      <c r="F121" s="289"/>
      <c r="G121" s="363"/>
      <c r="H121" s="287"/>
      <c r="I121" s="313"/>
      <c r="J121" s="287"/>
      <c r="K121" s="288"/>
      <c r="L121" s="289"/>
      <c r="M121" s="290"/>
      <c r="N121" s="287"/>
      <c r="O121" s="288"/>
      <c r="P121" s="289"/>
      <c r="Q121" s="290"/>
      <c r="R121" s="287"/>
      <c r="S121" s="288"/>
      <c r="T121" s="287"/>
      <c r="U121" s="288"/>
      <c r="V121" s="289"/>
      <c r="W121" s="290"/>
      <c r="X121" s="287"/>
      <c r="Y121" s="313"/>
      <c r="Z121" s="289"/>
      <c r="AA121" s="363"/>
      <c r="AB121" s="287"/>
      <c r="AC121" s="313"/>
      <c r="AD121" s="289"/>
      <c r="AE121" s="363"/>
      <c r="AF121" s="287"/>
      <c r="AG121" s="313"/>
      <c r="AH121" s="289"/>
      <c r="AI121" s="363"/>
      <c r="AJ121" s="323"/>
      <c r="AK121" s="81"/>
      <c r="AL121" s="81"/>
      <c r="AM121" s="84"/>
      <c r="AN121" s="85"/>
      <c r="AO121" s="84"/>
      <c r="AP121" s="81"/>
      <c r="AQ121" s="84"/>
      <c r="AR121" s="85"/>
      <c r="AS121" s="84"/>
      <c r="AT121" s="81"/>
      <c r="AU121" s="84"/>
      <c r="AV121" s="85"/>
      <c r="AW121" s="84"/>
      <c r="AX121" s="85"/>
      <c r="AY121" s="84"/>
      <c r="AZ121" s="85"/>
      <c r="BA121" s="84"/>
      <c r="BB121" s="85"/>
      <c r="BC121" s="84"/>
      <c r="BD121" s="85"/>
      <c r="BE121" s="84"/>
      <c r="BF121" s="85"/>
      <c r="BG121" s="84"/>
      <c r="BH121" s="81"/>
      <c r="BI121" s="214"/>
    </row>
    <row r="122" spans="1:61" x14ac:dyDescent="0.35">
      <c r="A122" s="385" t="s">
        <v>741</v>
      </c>
      <c r="B122" s="180"/>
      <c r="C122" s="83">
        <v>24782.19</v>
      </c>
      <c r="D122" s="142">
        <v>24782.19</v>
      </c>
      <c r="E122" s="304"/>
      <c r="F122" s="289"/>
      <c r="G122" s="363"/>
      <c r="H122" s="287"/>
      <c r="I122" s="313"/>
      <c r="J122" s="287"/>
      <c r="K122" s="288"/>
      <c r="L122" s="289"/>
      <c r="M122" s="290"/>
      <c r="N122" s="287"/>
      <c r="O122" s="288"/>
      <c r="P122" s="289"/>
      <c r="Q122" s="290"/>
      <c r="R122" s="287"/>
      <c r="S122" s="288"/>
      <c r="T122" s="287"/>
      <c r="U122" s="288"/>
      <c r="V122" s="289"/>
      <c r="W122" s="290"/>
      <c r="X122" s="287"/>
      <c r="Y122" s="313"/>
      <c r="Z122" s="289"/>
      <c r="AA122" s="363"/>
      <c r="AB122" s="287"/>
      <c r="AC122" s="313"/>
      <c r="AD122" s="289"/>
      <c r="AE122" s="363"/>
      <c r="AF122" s="287"/>
      <c r="AG122" s="313"/>
      <c r="AH122" s="289"/>
      <c r="AI122" s="363"/>
      <c r="AJ122" s="323"/>
      <c r="AK122" s="81"/>
      <c r="AL122" s="81"/>
      <c r="AM122" s="84"/>
      <c r="AN122" s="85"/>
      <c r="AO122" s="84"/>
      <c r="AP122" s="81"/>
      <c r="AQ122" s="84"/>
      <c r="AR122" s="85"/>
      <c r="AS122" s="84"/>
      <c r="AT122" s="81"/>
      <c r="AU122" s="84"/>
      <c r="AV122" s="85"/>
      <c r="AW122" s="84"/>
      <c r="AX122" s="85"/>
      <c r="AY122" s="84"/>
      <c r="AZ122" s="85"/>
      <c r="BA122" s="84"/>
      <c r="BB122" s="85"/>
      <c r="BC122" s="84"/>
      <c r="BD122" s="85"/>
      <c r="BE122" s="84"/>
      <c r="BF122" s="85"/>
      <c r="BG122" s="84"/>
      <c r="BH122" s="81"/>
      <c r="BI122" s="214"/>
    </row>
    <row r="123" spans="1:61" x14ac:dyDescent="0.35">
      <c r="A123" s="151" t="s">
        <v>738</v>
      </c>
      <c r="B123" s="180"/>
      <c r="C123" s="83">
        <f>D123</f>
        <v>108</v>
      </c>
      <c r="D123" s="107">
        <v>108</v>
      </c>
      <c r="E123" s="304">
        <f>D123</f>
        <v>108</v>
      </c>
      <c r="F123" s="289"/>
      <c r="G123" s="363"/>
      <c r="H123" s="287"/>
      <c r="I123" s="313"/>
      <c r="J123" s="287"/>
      <c r="K123" s="288"/>
      <c r="L123" s="289"/>
      <c r="M123" s="290"/>
      <c r="N123" s="287"/>
      <c r="O123" s="288"/>
      <c r="P123" s="289"/>
      <c r="Q123" s="290"/>
      <c r="R123" s="287"/>
      <c r="S123" s="288"/>
      <c r="T123" s="287"/>
      <c r="U123" s="288"/>
      <c r="V123" s="289"/>
      <c r="W123" s="290"/>
      <c r="X123" s="287"/>
      <c r="Y123" s="313"/>
      <c r="Z123" s="289"/>
      <c r="AA123" s="363"/>
      <c r="AB123" s="287"/>
      <c r="AC123" s="313"/>
      <c r="AD123" s="289"/>
      <c r="AE123" s="363"/>
      <c r="AF123" s="287"/>
      <c r="AG123" s="313"/>
      <c r="AH123" s="289"/>
      <c r="AI123" s="363"/>
      <c r="AJ123" s="323"/>
      <c r="AK123" s="81"/>
      <c r="AL123" s="81"/>
      <c r="AM123" s="230">
        <v>108</v>
      </c>
      <c r="AN123" s="231">
        <v>108</v>
      </c>
      <c r="AO123" s="84"/>
      <c r="AP123" s="81"/>
      <c r="AQ123" s="84"/>
      <c r="AR123" s="85"/>
      <c r="AS123" s="84"/>
      <c r="AT123" s="81"/>
      <c r="AU123" s="84"/>
      <c r="AV123" s="85"/>
      <c r="AW123" s="84"/>
      <c r="AX123" s="85"/>
      <c r="AY123" s="84"/>
      <c r="AZ123" s="85"/>
      <c r="BA123" s="84"/>
      <c r="BB123" s="85"/>
      <c r="BC123" s="84"/>
      <c r="BD123" s="85"/>
      <c r="BE123" s="84"/>
      <c r="BF123" s="85"/>
      <c r="BG123" s="84"/>
      <c r="BH123" s="81"/>
      <c r="BI123" s="214"/>
    </row>
    <row r="124" spans="1:61" x14ac:dyDescent="0.35">
      <c r="A124" s="151" t="s">
        <v>751</v>
      </c>
      <c r="B124" s="180"/>
      <c r="C124" s="83">
        <v>2114.4</v>
      </c>
      <c r="D124" s="107">
        <v>2114.4</v>
      </c>
      <c r="E124" s="304">
        <v>2114.4</v>
      </c>
      <c r="F124" s="289"/>
      <c r="G124" s="363">
        <f t="shared" ref="G124:G125" si="827">F124/E124</f>
        <v>0</v>
      </c>
      <c r="H124" s="287"/>
      <c r="I124" s="313">
        <f t="shared" ref="I124:I125" si="828">H124/E124</f>
        <v>0</v>
      </c>
      <c r="J124" s="287"/>
      <c r="K124" s="288">
        <f t="shared" ref="K124:K125" si="829">J124/E124</f>
        <v>0</v>
      </c>
      <c r="L124" s="289"/>
      <c r="M124" s="290">
        <f t="shared" ref="M124:M125" si="830">L124/E124</f>
        <v>0</v>
      </c>
      <c r="N124" s="287"/>
      <c r="O124" s="288">
        <f t="shared" ref="O124:O125" si="831">N124/E124</f>
        <v>0</v>
      </c>
      <c r="P124" s="289"/>
      <c r="Q124" s="290">
        <f t="shared" ref="Q124:Q125" si="832">P124/E124</f>
        <v>0</v>
      </c>
      <c r="R124" s="287"/>
      <c r="S124" s="288">
        <f t="shared" ref="S124:S125" si="833">R124/E124</f>
        <v>0</v>
      </c>
      <c r="T124" s="287"/>
      <c r="U124" s="288">
        <f t="shared" ref="U124:U125" si="834">T124/E124</f>
        <v>0</v>
      </c>
      <c r="V124" s="289"/>
      <c r="W124" s="290">
        <f t="shared" ref="W124:W125" si="835">V124/E124</f>
        <v>0</v>
      </c>
      <c r="X124" s="287"/>
      <c r="Y124" s="313">
        <f t="shared" ref="Y124:Y125" si="836">X124/E124</f>
        <v>0</v>
      </c>
      <c r="Z124" s="289"/>
      <c r="AA124" s="363">
        <f t="shared" ref="AA124:AA125" si="837">Z124/E124</f>
        <v>0</v>
      </c>
      <c r="AB124" s="287">
        <v>2114.4</v>
      </c>
      <c r="AC124" s="313">
        <f t="shared" ref="AC124:AC125" si="838">AB124/E124</f>
        <v>1</v>
      </c>
      <c r="AD124" s="289"/>
      <c r="AE124" s="363">
        <f t="shared" ref="AE124:AE125" si="839">AD124/E124</f>
        <v>0</v>
      </c>
      <c r="AF124" s="287"/>
      <c r="AG124" s="313">
        <f t="shared" ref="AG124:AG125" si="840">AF124/E124</f>
        <v>0</v>
      </c>
      <c r="AH124" s="289"/>
      <c r="AI124" s="363">
        <f t="shared" ref="AI124:AI125" si="841">AH124/E124</f>
        <v>0</v>
      </c>
      <c r="AJ124" s="323">
        <f t="shared" ref="AJ124:AJ125" si="842">K124+M124+O124+Q124+S124+U124+W124+Y124+AA124+AC124+G124+I124+AI124+AE124+AG124</f>
        <v>1</v>
      </c>
      <c r="AK124" s="81">
        <v>0</v>
      </c>
      <c r="AL124" s="81"/>
      <c r="AM124" s="84">
        <v>0</v>
      </c>
      <c r="AN124" s="85"/>
      <c r="AO124" s="230">
        <f t="shared" ref="AO124" si="843">D124-AK124-AM124</f>
        <v>2114.4</v>
      </c>
      <c r="AP124" s="195">
        <v>2114.4</v>
      </c>
      <c r="AQ124" s="84">
        <f t="shared" ref="AQ124" si="844">D124-AK124-AM124-AO124</f>
        <v>0</v>
      </c>
      <c r="AR124" s="85"/>
      <c r="AS124" s="84">
        <f t="shared" ref="AS124" si="845">D124-AK124-AM124-AO124-AQ124</f>
        <v>0</v>
      </c>
      <c r="AT124" s="81"/>
      <c r="AU124" s="84">
        <f t="shared" ref="AU124" si="846">D124-AK124-AM124-AO124-AQ124-AS124</f>
        <v>0</v>
      </c>
      <c r="AV124" s="85"/>
      <c r="AW124" s="84">
        <f t="shared" ref="AW124" si="847">D124-AK124-AM124-AO124-AQ124-AS124-AU124</f>
        <v>0</v>
      </c>
      <c r="AX124" s="85"/>
      <c r="AY124" s="84">
        <f t="shared" ref="AY124:AY125" si="848">D124-AK124-AM124-AO124-AQ124-AS124-AU124-AW124</f>
        <v>0</v>
      </c>
      <c r="AZ124" s="85"/>
      <c r="BA124" s="84">
        <f t="shared" ref="BA124:BA125" si="849">D124-AK124-AM124-AO124-AQ124-AS124-AU124-AW124-AY124</f>
        <v>0</v>
      </c>
      <c r="BB124" s="85"/>
      <c r="BC124" s="84">
        <f t="shared" ref="BC124:BC125" si="850">D124-AK124-AM124-AO124-AQ124-AS124-AU124-AW124-AY124-BA124</f>
        <v>0</v>
      </c>
      <c r="BD124" s="85"/>
      <c r="BE124" s="84">
        <f t="shared" ref="BE124:BE125" si="851">D124-AK124-AM124-AO124-AQ124-AS124-AU124-AW124-AY124-BA124-BC124</f>
        <v>0</v>
      </c>
      <c r="BF124" s="85"/>
      <c r="BG124" s="84">
        <f t="shared" ref="BG124:BG125" si="852">D124-AK124-AM124-AO124-AQ124-AS124-AU124-AW124-AY124-BA124-BC124-BE124</f>
        <v>0</v>
      </c>
      <c r="BH124" s="81"/>
      <c r="BI124" s="214">
        <f t="shared" ref="BI124:BI125" si="853">D124-AK124-AM124-AO124-AQ124-AS124-AU124-AW124-AY124-BA124-BC124-BE124-BG124</f>
        <v>0</v>
      </c>
    </row>
    <row r="125" spans="1:61" x14ac:dyDescent="0.35">
      <c r="A125" s="151" t="s">
        <v>755</v>
      </c>
      <c r="B125" s="180"/>
      <c r="C125" s="83">
        <v>6675.3</v>
      </c>
      <c r="D125" s="107">
        <f>C125</f>
        <v>6675.3</v>
      </c>
      <c r="E125" s="304">
        <f>D125</f>
        <v>6675.3</v>
      </c>
      <c r="F125" s="289"/>
      <c r="G125" s="363">
        <f t="shared" si="827"/>
        <v>0</v>
      </c>
      <c r="H125" s="287"/>
      <c r="I125" s="313">
        <f t="shared" si="828"/>
        <v>0</v>
      </c>
      <c r="J125" s="287"/>
      <c r="K125" s="288">
        <f t="shared" si="829"/>
        <v>0</v>
      </c>
      <c r="L125" s="289">
        <v>3728</v>
      </c>
      <c r="M125" s="290">
        <f t="shared" si="830"/>
        <v>0.55847677257950956</v>
      </c>
      <c r="N125" s="287">
        <v>0</v>
      </c>
      <c r="O125" s="288">
        <f t="shared" si="831"/>
        <v>0</v>
      </c>
      <c r="P125" s="289">
        <v>1112</v>
      </c>
      <c r="Q125" s="290">
        <f t="shared" si="832"/>
        <v>0.16658427336599105</v>
      </c>
      <c r="R125" s="287"/>
      <c r="S125" s="288">
        <f t="shared" si="833"/>
        <v>0</v>
      </c>
      <c r="T125" s="287"/>
      <c r="U125" s="288">
        <f t="shared" si="834"/>
        <v>0</v>
      </c>
      <c r="V125" s="289"/>
      <c r="W125" s="290">
        <f t="shared" si="835"/>
        <v>0</v>
      </c>
      <c r="X125" s="287"/>
      <c r="Y125" s="313">
        <f t="shared" si="836"/>
        <v>0</v>
      </c>
      <c r="Z125" s="289"/>
      <c r="AA125" s="363">
        <f t="shared" si="837"/>
        <v>0</v>
      </c>
      <c r="AB125" s="287"/>
      <c r="AC125" s="313">
        <f t="shared" si="838"/>
        <v>0</v>
      </c>
      <c r="AD125" s="289"/>
      <c r="AE125" s="363">
        <f t="shared" si="839"/>
        <v>0</v>
      </c>
      <c r="AF125" s="287">
        <v>1835</v>
      </c>
      <c r="AG125" s="313">
        <f t="shared" si="840"/>
        <v>0.2748940122541309</v>
      </c>
      <c r="AH125" s="289"/>
      <c r="AI125" s="363">
        <f t="shared" si="841"/>
        <v>0</v>
      </c>
      <c r="AJ125" s="323">
        <f t="shared" si="842"/>
        <v>0.99995505819963149</v>
      </c>
      <c r="AK125" s="81">
        <v>0</v>
      </c>
      <c r="AL125" s="81"/>
      <c r="AM125" s="84">
        <v>0</v>
      </c>
      <c r="AN125" s="85"/>
      <c r="AO125" s="84">
        <v>0</v>
      </c>
      <c r="AP125" s="81"/>
      <c r="AQ125" s="230">
        <f>AR125</f>
        <v>1743.6</v>
      </c>
      <c r="AR125" s="231">
        <v>1743.6</v>
      </c>
      <c r="AS125" s="84">
        <v>0</v>
      </c>
      <c r="AT125" s="81"/>
      <c r="AU125" s="230">
        <f>AV125</f>
        <v>3819.43</v>
      </c>
      <c r="AV125" s="231">
        <v>3819.43</v>
      </c>
      <c r="AW125" s="84">
        <v>0</v>
      </c>
      <c r="AX125" s="85"/>
      <c r="AY125" s="230">
        <f t="shared" si="848"/>
        <v>1112.2700000000009</v>
      </c>
      <c r="AZ125" s="231">
        <v>1112.27</v>
      </c>
      <c r="BA125" s="84">
        <f t="shared" si="849"/>
        <v>0</v>
      </c>
      <c r="BB125" s="85"/>
      <c r="BC125" s="84">
        <f t="shared" si="850"/>
        <v>0</v>
      </c>
      <c r="BD125" s="85"/>
      <c r="BE125" s="84">
        <f t="shared" si="851"/>
        <v>0</v>
      </c>
      <c r="BF125" s="85"/>
      <c r="BG125" s="84">
        <f t="shared" si="852"/>
        <v>0</v>
      </c>
      <c r="BH125" s="81"/>
      <c r="BI125" s="214">
        <f t="shared" si="853"/>
        <v>0</v>
      </c>
    </row>
    <row r="126" spans="1:61" x14ac:dyDescent="0.35">
      <c r="A126" s="151" t="s">
        <v>449</v>
      </c>
      <c r="B126" s="180"/>
      <c r="C126" s="83">
        <v>3463.77</v>
      </c>
      <c r="D126" s="107">
        <v>3643.77</v>
      </c>
      <c r="E126" s="304">
        <v>3463.77</v>
      </c>
      <c r="F126" s="289">
        <v>0</v>
      </c>
      <c r="G126" s="363">
        <f>F128/E128</f>
        <v>0</v>
      </c>
      <c r="H126" s="287">
        <v>0</v>
      </c>
      <c r="I126" s="313">
        <f>H126/E128</f>
        <v>0</v>
      </c>
      <c r="J126" s="287">
        <v>0</v>
      </c>
      <c r="K126" s="288">
        <v>0</v>
      </c>
      <c r="L126" s="289">
        <v>0</v>
      </c>
      <c r="M126" s="290">
        <f>L126/E128</f>
        <v>0</v>
      </c>
      <c r="N126" s="287">
        <v>0</v>
      </c>
      <c r="O126" s="288">
        <f>N126/E128</f>
        <v>0</v>
      </c>
      <c r="P126" s="289">
        <v>0</v>
      </c>
      <c r="Q126" s="290">
        <f>P126/E128</f>
        <v>0</v>
      </c>
      <c r="R126" s="287">
        <v>0</v>
      </c>
      <c r="S126" s="288">
        <f>R126/E128</f>
        <v>0</v>
      </c>
      <c r="T126" s="287">
        <v>0</v>
      </c>
      <c r="U126" s="288">
        <f>T126/E128</f>
        <v>0</v>
      </c>
      <c r="V126" s="289">
        <v>0</v>
      </c>
      <c r="W126" s="290">
        <f>V126/E128</f>
        <v>0</v>
      </c>
      <c r="X126" s="287">
        <v>0</v>
      </c>
      <c r="Y126" s="313">
        <f>X126/E128</f>
        <v>0</v>
      </c>
      <c r="Z126" s="289">
        <v>0</v>
      </c>
      <c r="AA126" s="363">
        <f>Z126/E128</f>
        <v>0</v>
      </c>
      <c r="AB126" s="287">
        <v>3463.77</v>
      </c>
      <c r="AC126" s="313">
        <f>AB126/E126</f>
        <v>1</v>
      </c>
      <c r="AD126" s="289">
        <v>0</v>
      </c>
      <c r="AE126" s="363">
        <f>AD126/E128</f>
        <v>0</v>
      </c>
      <c r="AF126" s="287">
        <v>0</v>
      </c>
      <c r="AG126" s="313">
        <f>AF126/E128</f>
        <v>0</v>
      </c>
      <c r="AH126" s="289">
        <v>0</v>
      </c>
      <c r="AI126" s="363">
        <f>AH126/E128</f>
        <v>0</v>
      </c>
      <c r="AJ126" s="323">
        <v>1</v>
      </c>
      <c r="AK126" s="81"/>
      <c r="AL126" s="81"/>
      <c r="AM126" s="84"/>
      <c r="AN126" s="85"/>
      <c r="AO126" s="84"/>
      <c r="AP126" s="81"/>
      <c r="AQ126" s="230">
        <f>AR126</f>
        <v>3463.77</v>
      </c>
      <c r="AR126" s="231">
        <v>3463.77</v>
      </c>
      <c r="AS126" s="84"/>
      <c r="AT126" s="81"/>
      <c r="AU126" s="84"/>
      <c r="AV126" s="85"/>
      <c r="AW126" s="84"/>
      <c r="AX126" s="85"/>
      <c r="AY126" s="84"/>
      <c r="AZ126" s="85"/>
      <c r="BA126" s="84"/>
      <c r="BB126" s="85"/>
      <c r="BC126" s="84"/>
      <c r="BD126" s="85"/>
      <c r="BE126" s="84"/>
      <c r="BF126" s="85"/>
      <c r="BG126" s="84"/>
      <c r="BH126" s="81"/>
      <c r="BI126" s="214"/>
    </row>
    <row r="127" spans="1:61" x14ac:dyDescent="0.35">
      <c r="A127" s="151" t="s">
        <v>739</v>
      </c>
      <c r="B127" s="180"/>
      <c r="C127" s="83">
        <v>27140</v>
      </c>
      <c r="D127" s="107">
        <v>27140</v>
      </c>
      <c r="E127" s="304">
        <v>27140</v>
      </c>
      <c r="F127" s="289"/>
      <c r="G127" s="363"/>
      <c r="H127" s="287"/>
      <c r="I127" s="313"/>
      <c r="J127" s="287"/>
      <c r="K127" s="288"/>
      <c r="L127" s="289">
        <v>27140</v>
      </c>
      <c r="M127" s="290"/>
      <c r="N127" s="287"/>
      <c r="O127" s="288"/>
      <c r="P127" s="289"/>
      <c r="Q127" s="290"/>
      <c r="R127" s="287"/>
      <c r="S127" s="288"/>
      <c r="T127" s="287"/>
      <c r="U127" s="288"/>
      <c r="V127" s="289"/>
      <c r="W127" s="290"/>
      <c r="X127" s="287"/>
      <c r="Y127" s="313"/>
      <c r="Z127" s="289"/>
      <c r="AA127" s="363"/>
      <c r="AB127" s="287"/>
      <c r="AC127" s="313"/>
      <c r="AD127" s="289"/>
      <c r="AE127" s="363">
        <f t="shared" si="39"/>
        <v>0</v>
      </c>
      <c r="AF127" s="287"/>
      <c r="AG127" s="313">
        <f t="shared" si="40"/>
        <v>0</v>
      </c>
      <c r="AH127" s="289"/>
      <c r="AI127" s="363"/>
      <c r="AJ127" s="323">
        <f t="shared" si="41"/>
        <v>0</v>
      </c>
      <c r="AK127" s="81">
        <v>0</v>
      </c>
      <c r="AL127" s="81"/>
      <c r="AM127" s="230">
        <f>AN127</f>
        <v>13570.25</v>
      </c>
      <c r="AN127" s="231">
        <v>13570.25</v>
      </c>
      <c r="AO127" s="230">
        <f t="shared" si="380"/>
        <v>13569.75</v>
      </c>
      <c r="AP127" s="195">
        <v>13570.25</v>
      </c>
      <c r="AQ127" s="84">
        <f t="shared" si="381"/>
        <v>0</v>
      </c>
      <c r="AR127" s="85"/>
      <c r="AS127" s="84">
        <f t="shared" si="371"/>
        <v>0</v>
      </c>
      <c r="AT127" s="81"/>
      <c r="AU127" s="84">
        <f t="shared" si="372"/>
        <v>0</v>
      </c>
      <c r="AV127" s="85"/>
      <c r="AW127" s="84">
        <f t="shared" si="373"/>
        <v>0</v>
      </c>
      <c r="AX127" s="85"/>
      <c r="AY127" s="84">
        <f t="shared" si="374"/>
        <v>0</v>
      </c>
      <c r="AZ127" s="85"/>
      <c r="BA127" s="84">
        <f t="shared" si="375"/>
        <v>0</v>
      </c>
      <c r="BB127" s="85"/>
      <c r="BC127" s="84">
        <f t="shared" si="376"/>
        <v>0</v>
      </c>
      <c r="BD127" s="85"/>
      <c r="BE127" s="84">
        <f t="shared" si="377"/>
        <v>0</v>
      </c>
      <c r="BF127" s="85"/>
      <c r="BG127" s="84">
        <f t="shared" si="378"/>
        <v>0</v>
      </c>
      <c r="BH127" s="81"/>
      <c r="BI127" s="214"/>
    </row>
    <row r="128" spans="1:61" x14ac:dyDescent="0.35">
      <c r="A128" s="151" t="s">
        <v>735</v>
      </c>
      <c r="B128" s="180"/>
      <c r="C128" s="83">
        <v>16974.7</v>
      </c>
      <c r="D128" s="107">
        <v>16974.7</v>
      </c>
      <c r="E128" s="304">
        <v>16975</v>
      </c>
      <c r="F128" s="289"/>
      <c r="G128" s="363" t="e">
        <f>F130/E130</f>
        <v>#DIV/0!</v>
      </c>
      <c r="H128" s="287"/>
      <c r="I128" s="313" t="e">
        <f>H128/E130</f>
        <v>#DIV/0!</v>
      </c>
      <c r="J128" s="287"/>
      <c r="K128" s="288" t="e">
        <f>J128/E130</f>
        <v>#DIV/0!</v>
      </c>
      <c r="L128" s="289">
        <v>16975</v>
      </c>
      <c r="M128" s="290" t="e">
        <f>L128/E130</f>
        <v>#DIV/0!</v>
      </c>
      <c r="N128" s="287"/>
      <c r="O128" s="288" t="e">
        <f>N128/E130</f>
        <v>#DIV/0!</v>
      </c>
      <c r="P128" s="289">
        <v>16974.7</v>
      </c>
      <c r="Q128" s="290" t="e">
        <f>P128/E130</f>
        <v>#DIV/0!</v>
      </c>
      <c r="R128" s="287"/>
      <c r="S128" s="288" t="e">
        <f>R128/E130</f>
        <v>#DIV/0!</v>
      </c>
      <c r="T128" s="287"/>
      <c r="U128" s="288" t="e">
        <f>T128/E130</f>
        <v>#DIV/0!</v>
      </c>
      <c r="V128" s="289"/>
      <c r="W128" s="290" t="e">
        <f>V128/E130</f>
        <v>#DIV/0!</v>
      </c>
      <c r="X128" s="287"/>
      <c r="Y128" s="313" t="e">
        <f>X128/E130</f>
        <v>#DIV/0!</v>
      </c>
      <c r="Z128" s="289"/>
      <c r="AA128" s="363" t="e">
        <f>Z128/E130</f>
        <v>#DIV/0!</v>
      </c>
      <c r="AB128" s="287"/>
      <c r="AC128" s="313" t="e">
        <f>AB128/E130</f>
        <v>#DIV/0!</v>
      </c>
      <c r="AD128" s="289"/>
      <c r="AE128" s="363" t="e">
        <f>AD128/E130</f>
        <v>#DIV/0!</v>
      </c>
      <c r="AF128" s="287"/>
      <c r="AG128" s="313" t="e">
        <f>AF128/E130</f>
        <v>#DIV/0!</v>
      </c>
      <c r="AH128" s="289"/>
      <c r="AI128" s="363" t="e">
        <f>AH128/E130</f>
        <v>#DIV/0!</v>
      </c>
      <c r="AJ128" s="323" t="e">
        <f t="shared" si="41"/>
        <v>#DIV/0!</v>
      </c>
      <c r="AK128" s="195">
        <f>AL128</f>
        <v>6789.88</v>
      </c>
      <c r="AL128" s="195">
        <v>6789.88</v>
      </c>
      <c r="AM128" s="230">
        <f t="shared" si="379"/>
        <v>10184.82</v>
      </c>
      <c r="AN128" s="231">
        <v>10184.82</v>
      </c>
      <c r="AO128" s="84">
        <f t="shared" si="380"/>
        <v>0</v>
      </c>
      <c r="AP128" s="81"/>
      <c r="AQ128" s="84">
        <f t="shared" si="381"/>
        <v>0</v>
      </c>
      <c r="AR128" s="85"/>
      <c r="AS128" s="84">
        <f t="shared" si="371"/>
        <v>0</v>
      </c>
      <c r="AT128" s="81"/>
      <c r="AU128" s="84">
        <f t="shared" si="372"/>
        <v>0</v>
      </c>
      <c r="AV128" s="85"/>
      <c r="AW128" s="84">
        <f t="shared" si="373"/>
        <v>0</v>
      </c>
      <c r="AX128" s="85"/>
      <c r="AY128" s="84">
        <f t="shared" si="374"/>
        <v>0</v>
      </c>
      <c r="AZ128" s="85"/>
      <c r="BA128" s="84">
        <f t="shared" si="375"/>
        <v>0</v>
      </c>
      <c r="BB128" s="85"/>
      <c r="BC128" s="84">
        <f t="shared" si="376"/>
        <v>0</v>
      </c>
      <c r="BD128" s="85"/>
      <c r="BE128" s="84">
        <f t="shared" si="377"/>
        <v>0</v>
      </c>
      <c r="BF128" s="85"/>
      <c r="BG128" s="84">
        <f t="shared" si="378"/>
        <v>0</v>
      </c>
      <c r="BH128" s="81"/>
      <c r="BI128" s="214">
        <f t="shared" ref="BI128" si="854">D128-AK128-AM128-AO128-AQ128-AS128-AU128-AW128-AY128-BA128-BC128-BE128-BG128</f>
        <v>0</v>
      </c>
    </row>
    <row r="129" spans="1:61" x14ac:dyDescent="0.35">
      <c r="A129" s="151" t="s">
        <v>749</v>
      </c>
      <c r="B129" s="180"/>
      <c r="C129" s="83">
        <v>2711.36</v>
      </c>
      <c r="D129" s="107">
        <f>C129</f>
        <v>2711.36</v>
      </c>
      <c r="E129" s="304">
        <v>2711.36</v>
      </c>
      <c r="F129" s="289"/>
      <c r="G129" s="363">
        <f t="shared" ref="G129" si="855">F129/E129</f>
        <v>0</v>
      </c>
      <c r="H129" s="287"/>
      <c r="I129" s="313">
        <f t="shared" ref="I129" si="856">H129/E129</f>
        <v>0</v>
      </c>
      <c r="J129" s="287"/>
      <c r="K129" s="288">
        <f t="shared" ref="K129" si="857">J129/E129</f>
        <v>0</v>
      </c>
      <c r="L129" s="289"/>
      <c r="M129" s="290">
        <f t="shared" ref="M129" si="858">L129/E129</f>
        <v>0</v>
      </c>
      <c r="N129" s="287"/>
      <c r="O129" s="288">
        <f t="shared" ref="O129" si="859">N129/E129</f>
        <v>0</v>
      </c>
      <c r="P129" s="289"/>
      <c r="Q129" s="290">
        <f t="shared" ref="Q129" si="860">P129/E129</f>
        <v>0</v>
      </c>
      <c r="R129" s="287"/>
      <c r="S129" s="288">
        <f t="shared" ref="S129" si="861">R129/E129</f>
        <v>0</v>
      </c>
      <c r="T129" s="287"/>
      <c r="U129" s="288">
        <f t="shared" ref="U129" si="862">T129/E129</f>
        <v>0</v>
      </c>
      <c r="V129" s="289">
        <v>2711.36</v>
      </c>
      <c r="W129" s="290">
        <f t="shared" ref="W129" si="863">V129/E129</f>
        <v>1</v>
      </c>
      <c r="X129" s="287"/>
      <c r="Y129" s="313">
        <f t="shared" ref="Y129" si="864">X129/E129</f>
        <v>0</v>
      </c>
      <c r="Z129" s="289"/>
      <c r="AA129" s="363">
        <f t="shared" ref="AA129" si="865">Z129/E129</f>
        <v>0</v>
      </c>
      <c r="AB129" s="287"/>
      <c r="AC129" s="313">
        <f t="shared" ref="AC129" si="866">AB129/E129</f>
        <v>0</v>
      </c>
      <c r="AD129" s="289"/>
      <c r="AE129" s="363">
        <f t="shared" si="39"/>
        <v>0</v>
      </c>
      <c r="AF129" s="287"/>
      <c r="AG129" s="313">
        <f t="shared" si="40"/>
        <v>0</v>
      </c>
      <c r="AH129" s="289"/>
      <c r="AI129" s="363">
        <f t="shared" ref="AI129" si="867">AH129/E129</f>
        <v>0</v>
      </c>
      <c r="AJ129" s="323">
        <f t="shared" si="41"/>
        <v>1</v>
      </c>
      <c r="AK129" s="81">
        <v>0</v>
      </c>
      <c r="AL129" s="81"/>
      <c r="AM129" s="230">
        <f t="shared" si="379"/>
        <v>2711.36</v>
      </c>
      <c r="AN129" s="231">
        <v>2711.36</v>
      </c>
      <c r="AO129" s="84">
        <f t="shared" si="380"/>
        <v>0</v>
      </c>
      <c r="AP129" s="81"/>
      <c r="AQ129" s="84">
        <f t="shared" si="381"/>
        <v>0</v>
      </c>
      <c r="AR129" s="85"/>
      <c r="AS129" s="84">
        <f t="shared" si="371"/>
        <v>0</v>
      </c>
      <c r="AT129" s="81"/>
      <c r="AU129" s="84">
        <f t="shared" si="372"/>
        <v>0</v>
      </c>
      <c r="AV129" s="85"/>
      <c r="AW129" s="84">
        <f t="shared" si="373"/>
        <v>0</v>
      </c>
      <c r="AX129" s="85"/>
      <c r="AY129" s="84">
        <f t="shared" si="374"/>
        <v>0</v>
      </c>
      <c r="AZ129" s="85"/>
      <c r="BA129" s="84">
        <f t="shared" si="375"/>
        <v>0</v>
      </c>
      <c r="BB129" s="85"/>
      <c r="BC129" s="84">
        <f t="shared" si="376"/>
        <v>0</v>
      </c>
      <c r="BD129" s="85"/>
      <c r="BE129" s="84">
        <f t="shared" si="377"/>
        <v>0</v>
      </c>
      <c r="BF129" s="85"/>
      <c r="BG129" s="84">
        <f t="shared" si="378"/>
        <v>0</v>
      </c>
      <c r="BH129" s="81"/>
      <c r="BI129" s="214">
        <f t="shared" ref="BI129" si="868">D129-AK129-AM129-AO129-AQ129-AS129-AU129-AW129-AY129-BA129-BC129-BE129-BG129</f>
        <v>0</v>
      </c>
    </row>
    <row r="130" spans="1:61" x14ac:dyDescent="0.35">
      <c r="A130" s="151" t="s">
        <v>734</v>
      </c>
      <c r="B130" s="180"/>
      <c r="C130" s="83">
        <v>2332.64</v>
      </c>
      <c r="D130" s="107">
        <f>2332.64+386.4</f>
        <v>2719.04</v>
      </c>
      <c r="E130" s="304"/>
      <c r="F130" s="289"/>
      <c r="G130" s="363"/>
      <c r="H130" s="287"/>
      <c r="I130" s="313"/>
      <c r="J130" s="287"/>
      <c r="K130" s="288"/>
      <c r="L130" s="289"/>
      <c r="M130" s="290"/>
      <c r="N130" s="287"/>
      <c r="O130" s="288"/>
      <c r="P130" s="289">
        <v>2332.64</v>
      </c>
      <c r="Q130" s="290"/>
      <c r="R130" s="287"/>
      <c r="S130" s="288"/>
      <c r="T130" s="287"/>
      <c r="U130" s="288"/>
      <c r="V130" s="289"/>
      <c r="W130" s="290"/>
      <c r="X130" s="287"/>
      <c r="Y130" s="313"/>
      <c r="Z130" s="289"/>
      <c r="AA130" s="363"/>
      <c r="AB130" s="287"/>
      <c r="AC130" s="313"/>
      <c r="AD130" s="289"/>
      <c r="AE130" s="363" t="e">
        <f t="shared" si="39"/>
        <v>#DIV/0!</v>
      </c>
      <c r="AF130" s="287"/>
      <c r="AG130" s="313" t="e">
        <f t="shared" si="40"/>
        <v>#DIV/0!</v>
      </c>
      <c r="AH130" s="289"/>
      <c r="AI130" s="363"/>
      <c r="AJ130" s="323" t="e">
        <f t="shared" si="41"/>
        <v>#DIV/0!</v>
      </c>
      <c r="AK130" s="195">
        <f>AL130</f>
        <v>2719.04</v>
      </c>
      <c r="AL130" s="195">
        <f>2332.64+386.4</f>
        <v>2719.04</v>
      </c>
      <c r="AM130" s="84">
        <f t="shared" si="379"/>
        <v>0</v>
      </c>
      <c r="AN130" s="85"/>
      <c r="AO130" s="84">
        <f t="shared" si="380"/>
        <v>0</v>
      </c>
      <c r="AP130" s="81"/>
      <c r="AQ130" s="84">
        <f t="shared" si="381"/>
        <v>0</v>
      </c>
      <c r="AR130" s="85"/>
      <c r="AS130" s="84">
        <f t="shared" si="371"/>
        <v>0</v>
      </c>
      <c r="AT130" s="81"/>
      <c r="AU130" s="84">
        <f t="shared" si="372"/>
        <v>0</v>
      </c>
      <c r="AV130" s="85"/>
      <c r="AW130" s="84">
        <f t="shared" si="373"/>
        <v>0</v>
      </c>
      <c r="AX130" s="85"/>
      <c r="AY130" s="84">
        <f t="shared" si="374"/>
        <v>0</v>
      </c>
      <c r="AZ130" s="85"/>
      <c r="BA130" s="84">
        <f t="shared" si="375"/>
        <v>0</v>
      </c>
      <c r="BB130" s="85"/>
      <c r="BC130" s="84">
        <f t="shared" si="376"/>
        <v>0</v>
      </c>
      <c r="BD130" s="85"/>
      <c r="BE130" s="84">
        <f t="shared" si="377"/>
        <v>0</v>
      </c>
      <c r="BF130" s="85"/>
      <c r="BG130" s="84">
        <f t="shared" si="378"/>
        <v>0</v>
      </c>
      <c r="BH130" s="81"/>
      <c r="BI130" s="214"/>
    </row>
    <row r="131" spans="1:61" x14ac:dyDescent="0.35">
      <c r="A131" s="151" t="s">
        <v>694</v>
      </c>
      <c r="B131" s="180"/>
      <c r="C131" s="83"/>
      <c r="D131" s="142"/>
      <c r="E131" s="304"/>
      <c r="F131" s="289"/>
      <c r="G131" s="363" t="e">
        <f t="shared" si="382"/>
        <v>#DIV/0!</v>
      </c>
      <c r="H131" s="287"/>
      <c r="I131" s="313" t="e">
        <f t="shared" si="383"/>
        <v>#DIV/0!</v>
      </c>
      <c r="J131" s="287"/>
      <c r="K131" s="288" t="e">
        <f t="shared" si="434"/>
        <v>#DIV/0!</v>
      </c>
      <c r="L131" s="289"/>
      <c r="M131" s="290" t="e">
        <f t="shared" si="435"/>
        <v>#DIV/0!</v>
      </c>
      <c r="N131" s="287"/>
      <c r="O131" s="288" t="e">
        <f t="shared" ref="O131" si="869">N131/E131</f>
        <v>#DIV/0!</v>
      </c>
      <c r="P131" s="289"/>
      <c r="Q131" s="290" t="e">
        <f t="shared" ref="Q131" si="870">P131/E131</f>
        <v>#DIV/0!</v>
      </c>
      <c r="R131" s="287"/>
      <c r="S131" s="288" t="e">
        <f>R131/E131</f>
        <v>#DIV/0!</v>
      </c>
      <c r="T131" s="287"/>
      <c r="U131" s="288" t="e">
        <f t="shared" ref="U131" si="871">T131/E131</f>
        <v>#DIV/0!</v>
      </c>
      <c r="V131" s="289"/>
      <c r="W131" s="290" t="e">
        <f t="shared" ref="W131" si="872">V131/E131</f>
        <v>#DIV/0!</v>
      </c>
      <c r="X131" s="287"/>
      <c r="Y131" s="313" t="e">
        <f t="shared" ref="Y131" si="873">X131/E131</f>
        <v>#DIV/0!</v>
      </c>
      <c r="Z131" s="289"/>
      <c r="AA131" s="363" t="e">
        <f t="shared" ref="AA131" si="874">Z131/E131</f>
        <v>#DIV/0!</v>
      </c>
      <c r="AB131" s="287"/>
      <c r="AC131" s="313" t="e">
        <f t="shared" ref="AC131" si="875">AB131/E131</f>
        <v>#DIV/0!</v>
      </c>
      <c r="AD131" s="289"/>
      <c r="AE131" s="363" t="e">
        <f t="shared" si="39"/>
        <v>#DIV/0!</v>
      </c>
      <c r="AF131" s="287"/>
      <c r="AG131" s="313" t="e">
        <f t="shared" si="40"/>
        <v>#DIV/0!</v>
      </c>
      <c r="AH131" s="289"/>
      <c r="AI131" s="363" t="e">
        <f>AH131/E131</f>
        <v>#DIV/0!</v>
      </c>
      <c r="AJ131" s="323" t="e">
        <f t="shared" si="41"/>
        <v>#DIV/0!</v>
      </c>
      <c r="AK131" s="81">
        <v>0</v>
      </c>
      <c r="AL131" s="81"/>
      <c r="AM131" s="84">
        <f t="shared" si="379"/>
        <v>0</v>
      </c>
      <c r="AN131" s="85"/>
      <c r="AO131" s="84">
        <f t="shared" si="380"/>
        <v>0</v>
      </c>
      <c r="AP131" s="81"/>
      <c r="AQ131" s="84">
        <f t="shared" si="381"/>
        <v>0</v>
      </c>
      <c r="AR131" s="85"/>
      <c r="AS131" s="84">
        <f t="shared" si="371"/>
        <v>0</v>
      </c>
      <c r="AT131" s="81"/>
      <c r="AU131" s="84">
        <f t="shared" si="372"/>
        <v>0</v>
      </c>
      <c r="AV131" s="85"/>
      <c r="AW131" s="84">
        <f t="shared" si="373"/>
        <v>0</v>
      </c>
      <c r="AX131" s="85"/>
      <c r="AY131" s="84">
        <f t="shared" si="374"/>
        <v>0</v>
      </c>
      <c r="AZ131" s="85"/>
      <c r="BA131" s="84">
        <f t="shared" si="375"/>
        <v>0</v>
      </c>
      <c r="BB131" s="85"/>
      <c r="BC131" s="84">
        <f t="shared" si="376"/>
        <v>0</v>
      </c>
      <c r="BD131" s="85"/>
      <c r="BE131" s="84">
        <f t="shared" si="377"/>
        <v>0</v>
      </c>
      <c r="BF131" s="85"/>
      <c r="BG131" s="84">
        <f t="shared" si="378"/>
        <v>0</v>
      </c>
      <c r="BH131" s="81"/>
      <c r="BI131" s="214">
        <f t="shared" ref="BI131:BI155" si="876">D131-AK131-AM131-AO131-AQ131-AS131-AU131-AW131-AY131-BA131-BC131-BE131-BG131</f>
        <v>0</v>
      </c>
    </row>
    <row r="132" spans="1:61" x14ac:dyDescent="0.35">
      <c r="A132" s="211" t="s">
        <v>407</v>
      </c>
      <c r="B132" s="180"/>
      <c r="C132" s="83">
        <f>'2021-22'!AU74</f>
        <v>117072</v>
      </c>
      <c r="D132" s="142">
        <v>0</v>
      </c>
      <c r="E132" s="304"/>
      <c r="F132" s="289"/>
      <c r="G132" s="363" t="e">
        <f t="shared" si="382"/>
        <v>#DIV/0!</v>
      </c>
      <c r="H132" s="287"/>
      <c r="I132" s="313" t="e">
        <f t="shared" si="383"/>
        <v>#DIV/0!</v>
      </c>
      <c r="J132" s="287"/>
      <c r="K132" s="288" t="e">
        <f>J132/E132</f>
        <v>#DIV/0!</v>
      </c>
      <c r="L132" s="289"/>
      <c r="M132" s="290" t="e">
        <f>L132/E132</f>
        <v>#DIV/0!</v>
      </c>
      <c r="N132" s="287"/>
      <c r="O132" s="288" t="e">
        <f>N132/E132</f>
        <v>#DIV/0!</v>
      </c>
      <c r="P132" s="289"/>
      <c r="Q132" s="290" t="e">
        <f>P132/E132</f>
        <v>#DIV/0!</v>
      </c>
      <c r="R132" s="287"/>
      <c r="S132" s="288" t="e">
        <f t="shared" si="43"/>
        <v>#DIV/0!</v>
      </c>
      <c r="T132" s="287"/>
      <c r="U132" s="288" t="e">
        <f>T132/E132</f>
        <v>#DIV/0!</v>
      </c>
      <c r="V132" s="289"/>
      <c r="W132" s="290" t="e">
        <f>V132/E132</f>
        <v>#DIV/0!</v>
      </c>
      <c r="X132" s="287"/>
      <c r="Y132" s="313" t="e">
        <f>X132/E132</f>
        <v>#DIV/0!</v>
      </c>
      <c r="Z132" s="289"/>
      <c r="AA132" s="363" t="e">
        <f t="shared" si="390"/>
        <v>#DIV/0!</v>
      </c>
      <c r="AB132" s="287"/>
      <c r="AC132" s="313" t="e">
        <f t="shared" si="391"/>
        <v>#DIV/0!</v>
      </c>
      <c r="AD132" s="289"/>
      <c r="AE132" s="363" t="e">
        <f t="shared" si="39"/>
        <v>#DIV/0!</v>
      </c>
      <c r="AF132" s="287"/>
      <c r="AG132" s="313" t="e">
        <f t="shared" si="40"/>
        <v>#DIV/0!</v>
      </c>
      <c r="AH132" s="289"/>
      <c r="AI132" s="363" t="e">
        <f>AH132/E132</f>
        <v>#DIV/0!</v>
      </c>
      <c r="AJ132" s="323" t="e">
        <f t="shared" si="41"/>
        <v>#DIV/0!</v>
      </c>
      <c r="AK132" s="81">
        <v>0</v>
      </c>
      <c r="AL132" s="81"/>
      <c r="AM132" s="84">
        <v>0</v>
      </c>
      <c r="AN132" s="85"/>
      <c r="AO132" s="84">
        <v>0</v>
      </c>
      <c r="AP132" s="81"/>
      <c r="AQ132" s="84">
        <v>0</v>
      </c>
      <c r="AR132" s="85"/>
      <c r="AS132" s="84">
        <v>0</v>
      </c>
      <c r="AT132" s="81"/>
      <c r="AU132" s="84">
        <v>0</v>
      </c>
      <c r="AV132" s="85"/>
      <c r="AW132" s="84">
        <v>0</v>
      </c>
      <c r="AX132" s="85"/>
      <c r="AY132" s="84">
        <v>0</v>
      </c>
      <c r="AZ132" s="85"/>
      <c r="BA132" s="84">
        <v>0</v>
      </c>
      <c r="BB132" s="85"/>
      <c r="BC132" s="84">
        <f t="shared" si="376"/>
        <v>0</v>
      </c>
      <c r="BD132" s="85"/>
      <c r="BE132" s="84">
        <f t="shared" si="377"/>
        <v>0</v>
      </c>
      <c r="BF132" s="85"/>
      <c r="BG132" s="84">
        <f t="shared" si="378"/>
        <v>0</v>
      </c>
      <c r="BH132" s="81"/>
      <c r="BI132" s="214">
        <f t="shared" si="876"/>
        <v>0</v>
      </c>
    </row>
    <row r="133" spans="1:61" x14ac:dyDescent="0.35">
      <c r="A133" s="159"/>
      <c r="B133" s="180"/>
      <c r="C133" s="83"/>
      <c r="D133" s="142"/>
      <c r="E133" s="304"/>
      <c r="F133" s="289"/>
      <c r="G133" s="363" t="e">
        <f t="shared" si="382"/>
        <v>#DIV/0!</v>
      </c>
      <c r="H133" s="287"/>
      <c r="I133" s="313" t="e">
        <f t="shared" si="383"/>
        <v>#DIV/0!</v>
      </c>
      <c r="J133" s="287"/>
      <c r="K133" s="288" t="e">
        <f t="shared" ref="K133:K142" si="877">J133/E133</f>
        <v>#DIV/0!</v>
      </c>
      <c r="L133" s="289"/>
      <c r="M133" s="290" t="e">
        <f t="shared" ref="M133:M142" si="878">L133/E133</f>
        <v>#DIV/0!</v>
      </c>
      <c r="N133" s="287"/>
      <c r="O133" s="288" t="e">
        <f t="shared" ref="O133:O142" si="879">N133/E133</f>
        <v>#DIV/0!</v>
      </c>
      <c r="P133" s="289"/>
      <c r="Q133" s="290" t="e">
        <f t="shared" ref="Q133:Q142" si="880">P133/E133</f>
        <v>#DIV/0!</v>
      </c>
      <c r="R133" s="287"/>
      <c r="S133" s="288" t="e">
        <f t="shared" si="43"/>
        <v>#DIV/0!</v>
      </c>
      <c r="T133" s="287"/>
      <c r="U133" s="288" t="e">
        <f t="shared" ref="U133:U142" si="881">T133/E133</f>
        <v>#DIV/0!</v>
      </c>
      <c r="V133" s="289"/>
      <c r="W133" s="290" t="e">
        <f t="shared" ref="W133:W142" si="882">V133/E133</f>
        <v>#DIV/0!</v>
      </c>
      <c r="X133" s="287"/>
      <c r="Y133" s="313" t="e">
        <f t="shared" ref="Y133:Y142" si="883">X133/E133</f>
        <v>#DIV/0!</v>
      </c>
      <c r="Z133" s="289"/>
      <c r="AA133" s="363" t="e">
        <f t="shared" si="390"/>
        <v>#DIV/0!</v>
      </c>
      <c r="AB133" s="287"/>
      <c r="AC133" s="313" t="e">
        <f t="shared" si="391"/>
        <v>#DIV/0!</v>
      </c>
      <c r="AD133" s="289"/>
      <c r="AE133" s="363" t="e">
        <f t="shared" si="39"/>
        <v>#DIV/0!</v>
      </c>
      <c r="AF133" s="287"/>
      <c r="AG133" s="313" t="e">
        <f t="shared" si="40"/>
        <v>#DIV/0!</v>
      </c>
      <c r="AH133" s="289"/>
      <c r="AI133" s="363" t="e">
        <f>AH133/E133</f>
        <v>#DIV/0!</v>
      </c>
      <c r="AJ133" s="323" t="e">
        <f t="shared" si="41"/>
        <v>#DIV/0!</v>
      </c>
      <c r="AK133" s="81">
        <v>0</v>
      </c>
      <c r="AL133" s="81"/>
      <c r="AM133" s="84">
        <f t="shared" si="379"/>
        <v>0</v>
      </c>
      <c r="AN133" s="85"/>
      <c r="AO133" s="84">
        <f t="shared" si="380"/>
        <v>0</v>
      </c>
      <c r="AP133" s="81"/>
      <c r="AQ133" s="84">
        <f t="shared" si="381"/>
        <v>0</v>
      </c>
      <c r="AR133" s="85"/>
      <c r="AS133" s="84">
        <f t="shared" si="371"/>
        <v>0</v>
      </c>
      <c r="AT133" s="81"/>
      <c r="AU133" s="84">
        <f t="shared" si="372"/>
        <v>0</v>
      </c>
      <c r="AV133" s="85"/>
      <c r="AW133" s="84">
        <f t="shared" si="373"/>
        <v>0</v>
      </c>
      <c r="AX133" s="85"/>
      <c r="AY133" s="84">
        <f t="shared" si="374"/>
        <v>0</v>
      </c>
      <c r="AZ133" s="85"/>
      <c r="BA133" s="84">
        <f t="shared" si="375"/>
        <v>0</v>
      </c>
      <c r="BB133" s="85"/>
      <c r="BC133" s="84">
        <f t="shared" si="376"/>
        <v>0</v>
      </c>
      <c r="BD133" s="85"/>
      <c r="BE133" s="84">
        <f t="shared" si="377"/>
        <v>0</v>
      </c>
      <c r="BF133" s="85"/>
      <c r="BG133" s="84">
        <f t="shared" si="378"/>
        <v>0</v>
      </c>
      <c r="BH133" s="81"/>
      <c r="BI133" s="214">
        <f t="shared" si="876"/>
        <v>0</v>
      </c>
    </row>
    <row r="134" spans="1:61" ht="13.9" x14ac:dyDescent="0.4">
      <c r="A134" s="368" t="s">
        <v>672</v>
      </c>
      <c r="B134" s="369"/>
      <c r="C134" s="370"/>
      <c r="D134" s="371"/>
      <c r="E134" s="304"/>
      <c r="F134" s="289"/>
      <c r="G134" s="363" t="e">
        <f t="shared" si="382"/>
        <v>#DIV/0!</v>
      </c>
      <c r="H134" s="287"/>
      <c r="I134" s="313" t="e">
        <f t="shared" si="383"/>
        <v>#DIV/0!</v>
      </c>
      <c r="J134" s="287"/>
      <c r="K134" s="288" t="e">
        <f t="shared" si="877"/>
        <v>#DIV/0!</v>
      </c>
      <c r="L134" s="289"/>
      <c r="M134" s="290" t="e">
        <f t="shared" si="878"/>
        <v>#DIV/0!</v>
      </c>
      <c r="N134" s="287"/>
      <c r="O134" s="288"/>
      <c r="P134" s="289"/>
      <c r="Q134" s="290"/>
      <c r="R134" s="287"/>
      <c r="S134" s="288"/>
      <c r="T134" s="287"/>
      <c r="U134" s="288"/>
      <c r="V134" s="289"/>
      <c r="W134" s="290"/>
      <c r="X134" s="287"/>
      <c r="Y134" s="313"/>
      <c r="Z134" s="289"/>
      <c r="AA134" s="363"/>
      <c r="AB134" s="287"/>
      <c r="AC134" s="313"/>
      <c r="AD134" s="289"/>
      <c r="AE134" s="363" t="e">
        <f t="shared" si="39"/>
        <v>#DIV/0!</v>
      </c>
      <c r="AF134" s="287"/>
      <c r="AG134" s="313" t="e">
        <f t="shared" si="40"/>
        <v>#DIV/0!</v>
      </c>
      <c r="AH134" s="289"/>
      <c r="AI134" s="363"/>
      <c r="AJ134" s="323"/>
      <c r="AK134" s="81">
        <v>0</v>
      </c>
      <c r="AL134" s="81"/>
      <c r="AM134" s="84">
        <f>D134-AK134</f>
        <v>0</v>
      </c>
      <c r="AN134" s="85"/>
      <c r="AO134" s="84">
        <f>D134-AK134-AM134</f>
        <v>0</v>
      </c>
      <c r="AP134" s="81"/>
      <c r="AQ134" s="84">
        <f>D134-AK134-AM134-AO134</f>
        <v>0</v>
      </c>
      <c r="AR134" s="85"/>
      <c r="AS134" s="84">
        <f>D134-AK134-AM134-AO134-AQ134</f>
        <v>0</v>
      </c>
      <c r="AT134" s="81"/>
      <c r="AU134" s="84">
        <f>D134-AK134-AM134-AO134-AQ134-AS134</f>
        <v>0</v>
      </c>
      <c r="AV134" s="85"/>
      <c r="AW134" s="84">
        <f>D134-AK134-AM134-AO134-AQ134-AS134-AU134</f>
        <v>0</v>
      </c>
      <c r="AX134" s="85"/>
      <c r="AY134" s="84">
        <f>D134-AK134-AM134-AO134-AQ134-AS134-AU134-AW134</f>
        <v>0</v>
      </c>
      <c r="AZ134" s="85"/>
      <c r="BA134" s="84">
        <f>D134-AK134-AM134-AO134-AQ134-AS134-AU134-AW134-AY134</f>
        <v>0</v>
      </c>
      <c r="BB134" s="85"/>
      <c r="BC134" s="84">
        <f>D134-AK134-AM134-AO134-AQ134-AS134-AU134-AW134-AY134-BA134</f>
        <v>0</v>
      </c>
      <c r="BD134" s="85"/>
      <c r="BE134" s="84">
        <f>D134-AK134-AM134-AO134-AQ134-AS134-AU134-AW134-AY134-BA134-BC134</f>
        <v>0</v>
      </c>
      <c r="BF134" s="85"/>
      <c r="BG134" s="84">
        <f>D134-AK134-AM134-AO134-AQ134-AS134-AU134-AW134-AY134-BA134-BC134-BE134</f>
        <v>0</v>
      </c>
      <c r="BH134" s="81"/>
      <c r="BI134" s="214">
        <f>D134-AK134-AM134-AO134-AQ134-AS134-AU134-AW134-AY134-BA134-BC134-BE134-BG134</f>
        <v>0</v>
      </c>
    </row>
    <row r="135" spans="1:61" x14ac:dyDescent="0.35">
      <c r="A135" s="159"/>
      <c r="B135" s="180"/>
      <c r="C135" s="83"/>
      <c r="D135" s="142"/>
      <c r="E135" s="304"/>
      <c r="F135" s="289"/>
      <c r="G135" s="363" t="e">
        <f t="shared" si="382"/>
        <v>#DIV/0!</v>
      </c>
      <c r="H135" s="287"/>
      <c r="I135" s="313" t="e">
        <f t="shared" si="383"/>
        <v>#DIV/0!</v>
      </c>
      <c r="J135" s="287"/>
      <c r="K135" s="288" t="e">
        <f t="shared" si="877"/>
        <v>#DIV/0!</v>
      </c>
      <c r="L135" s="289"/>
      <c r="M135" s="290" t="e">
        <f t="shared" si="878"/>
        <v>#DIV/0!</v>
      </c>
      <c r="N135" s="287"/>
      <c r="O135" s="288" t="e">
        <f t="shared" ref="O135:O141" si="884">N135/E135</f>
        <v>#DIV/0!</v>
      </c>
      <c r="P135" s="289"/>
      <c r="Q135" s="290" t="e">
        <f t="shared" ref="Q135:Q141" si="885">P135/E135</f>
        <v>#DIV/0!</v>
      </c>
      <c r="R135" s="287"/>
      <c r="S135" s="288" t="e">
        <f t="shared" ref="S135:S141" si="886">R135/E135</f>
        <v>#DIV/0!</v>
      </c>
      <c r="T135" s="287"/>
      <c r="U135" s="288" t="e">
        <f t="shared" ref="U135:U141" si="887">T135/E135</f>
        <v>#DIV/0!</v>
      </c>
      <c r="V135" s="289"/>
      <c r="W135" s="290" t="e">
        <f t="shared" ref="W135:W141" si="888">V135/E135</f>
        <v>#DIV/0!</v>
      </c>
      <c r="X135" s="287"/>
      <c r="Y135" s="313" t="e">
        <f t="shared" ref="Y135:Y141" si="889">X135/E135</f>
        <v>#DIV/0!</v>
      </c>
      <c r="Z135" s="289"/>
      <c r="AA135" s="363" t="e">
        <f t="shared" ref="AA135:AA142" si="890">Z135/E135</f>
        <v>#DIV/0!</v>
      </c>
      <c r="AB135" s="287"/>
      <c r="AC135" s="313" t="e">
        <f t="shared" ref="AC135:AC142" si="891">AB135/E135</f>
        <v>#DIV/0!</v>
      </c>
      <c r="AD135" s="289"/>
      <c r="AE135" s="363" t="e">
        <f t="shared" si="39"/>
        <v>#DIV/0!</v>
      </c>
      <c r="AF135" s="287"/>
      <c r="AG135" s="313" t="e">
        <f t="shared" si="40"/>
        <v>#DIV/0!</v>
      </c>
      <c r="AH135" s="289"/>
      <c r="AI135" s="363" t="e">
        <f t="shared" ref="AI135:AI142" si="892">AH135/E135</f>
        <v>#DIV/0!</v>
      </c>
      <c r="AJ135" s="323" t="e">
        <f t="shared" si="41"/>
        <v>#DIV/0!</v>
      </c>
      <c r="AK135" s="81">
        <v>0</v>
      </c>
      <c r="AL135" s="81"/>
      <c r="AM135" s="84">
        <f>E135-AK135</f>
        <v>0</v>
      </c>
      <c r="AN135" s="85"/>
      <c r="AO135" s="84">
        <f>D135-AK135-AM135</f>
        <v>0</v>
      </c>
      <c r="AP135" s="81"/>
      <c r="AQ135" s="84">
        <f>D135-AK135-AM135-AO135</f>
        <v>0</v>
      </c>
      <c r="AR135" s="85"/>
      <c r="AS135" s="84">
        <f>D135-AK135-AM135-AO135-AQ135</f>
        <v>0</v>
      </c>
      <c r="AT135" s="81"/>
      <c r="AU135" s="84">
        <f>D135-AK135-AM135-AO135-AQ135-AS135</f>
        <v>0</v>
      </c>
      <c r="AV135" s="85"/>
      <c r="AW135" s="84">
        <f>D135-AK135-AM135-AO135-AQ135-AS135-AU135</f>
        <v>0</v>
      </c>
      <c r="AX135" s="85"/>
      <c r="AY135" s="84">
        <f>D135-AK135-AM135-AO135-AQ135-AS135-AU135-AW135</f>
        <v>0</v>
      </c>
      <c r="AZ135" s="85"/>
      <c r="BA135" s="84">
        <f>D135-AK135-AM135-AO135-AQ135-AS135-AU135-AW135-AY135</f>
        <v>0</v>
      </c>
      <c r="BB135" s="85"/>
      <c r="BC135" s="84">
        <f>D135-AK135-AM135-AO135-AQ135-AS135-AU135-AW135-AY135-BA135</f>
        <v>0</v>
      </c>
      <c r="BD135" s="85"/>
      <c r="BE135" s="84">
        <f>D135-AK135-AM135-AO135-AQ135-AS135-AU135-AW135-AY135-BA135-BC135</f>
        <v>0</v>
      </c>
      <c r="BF135" s="85"/>
      <c r="BG135" s="84">
        <f>D135-AK135-AM135-AO135-AQ135-AS135-AU135-AW135-AY135-BA135-BC135-BE135</f>
        <v>0</v>
      </c>
      <c r="BH135" s="81"/>
      <c r="BI135" s="214">
        <f>D135-AK135-AM135-AO135-AQ135-AS135-AU135-AW135-AY135-BA135-BC135-BE135-BG135</f>
        <v>0</v>
      </c>
    </row>
    <row r="136" spans="1:61" x14ac:dyDescent="0.35">
      <c r="A136" s="150" t="s">
        <v>802</v>
      </c>
      <c r="B136" s="180"/>
      <c r="C136" s="83">
        <v>15459.29</v>
      </c>
      <c r="D136" s="142">
        <f t="shared" ref="D136:E138" si="893">C136</f>
        <v>15459.29</v>
      </c>
      <c r="E136" s="304">
        <f t="shared" si="893"/>
        <v>15459.29</v>
      </c>
      <c r="F136" s="289"/>
      <c r="G136" s="363">
        <f t="shared" si="382"/>
        <v>0</v>
      </c>
      <c r="H136" s="287"/>
      <c r="I136" s="313">
        <f t="shared" si="383"/>
        <v>0</v>
      </c>
      <c r="J136" s="287"/>
      <c r="K136" s="288">
        <f t="shared" si="877"/>
        <v>0</v>
      </c>
      <c r="L136" s="289">
        <v>4679</v>
      </c>
      <c r="M136" s="290">
        <f t="shared" si="878"/>
        <v>0.30266590509654712</v>
      </c>
      <c r="N136" s="287">
        <v>15459.29</v>
      </c>
      <c r="O136" s="288">
        <f t="shared" si="884"/>
        <v>1</v>
      </c>
      <c r="P136" s="289"/>
      <c r="Q136" s="290">
        <f t="shared" si="885"/>
        <v>0</v>
      </c>
      <c r="R136" s="287"/>
      <c r="S136" s="288">
        <f t="shared" si="886"/>
        <v>0</v>
      </c>
      <c r="T136" s="287"/>
      <c r="U136" s="288">
        <f t="shared" si="887"/>
        <v>0</v>
      </c>
      <c r="V136" s="289"/>
      <c r="W136" s="290">
        <f t="shared" si="888"/>
        <v>0</v>
      </c>
      <c r="X136" s="287"/>
      <c r="Y136" s="313">
        <f t="shared" si="889"/>
        <v>0</v>
      </c>
      <c r="Z136" s="289"/>
      <c r="AA136" s="363">
        <f t="shared" si="890"/>
        <v>0</v>
      </c>
      <c r="AB136" s="287"/>
      <c r="AC136" s="313">
        <f t="shared" si="891"/>
        <v>0</v>
      </c>
      <c r="AD136" s="289"/>
      <c r="AE136" s="363">
        <f t="shared" si="39"/>
        <v>0</v>
      </c>
      <c r="AF136" s="287"/>
      <c r="AG136" s="313">
        <f t="shared" si="40"/>
        <v>0</v>
      </c>
      <c r="AH136" s="289"/>
      <c r="AI136" s="363">
        <f t="shared" si="892"/>
        <v>0</v>
      </c>
      <c r="AJ136" s="323">
        <f t="shared" si="41"/>
        <v>1.3026659050965472</v>
      </c>
      <c r="AK136" s="81">
        <v>0</v>
      </c>
      <c r="AL136" s="81"/>
      <c r="AM136" s="84">
        <v>0</v>
      </c>
      <c r="AN136" s="85"/>
      <c r="AO136" s="84">
        <v>0</v>
      </c>
      <c r="AP136" s="81"/>
      <c r="AQ136" s="84">
        <v>0</v>
      </c>
      <c r="AR136" s="85"/>
      <c r="AS136" s="84">
        <v>0</v>
      </c>
      <c r="AT136" s="81"/>
      <c r="AU136" s="84">
        <v>0</v>
      </c>
      <c r="AV136" s="85"/>
      <c r="AW136" s="84">
        <v>0</v>
      </c>
      <c r="AX136" s="85"/>
      <c r="AY136" s="84">
        <v>0</v>
      </c>
      <c r="AZ136" s="85"/>
      <c r="BA136" s="84">
        <v>0</v>
      </c>
      <c r="BB136" s="85"/>
      <c r="BC136" s="84">
        <v>0</v>
      </c>
      <c r="BD136" s="85"/>
      <c r="BE136" s="84">
        <v>0</v>
      </c>
      <c r="BF136" s="85"/>
      <c r="BG136" s="84">
        <v>0</v>
      </c>
      <c r="BH136" s="81"/>
      <c r="BI136" s="214">
        <f t="shared" ref="BI136" si="894">D136-AK136-AM136-AO136-AQ136-AS136-AU136-AW136-AY136-BA136-BC136-BE136-BG136</f>
        <v>15459.29</v>
      </c>
    </row>
    <row r="137" spans="1:61" x14ac:dyDescent="0.35">
      <c r="A137" s="150" t="s">
        <v>777</v>
      </c>
      <c r="B137" s="180"/>
      <c r="C137" s="83">
        <f>27303.97+31127.22+19499.78+3738.18+10865.66</f>
        <v>92534.81</v>
      </c>
      <c r="D137" s="142">
        <f t="shared" si="893"/>
        <v>92534.81</v>
      </c>
      <c r="E137" s="304">
        <f t="shared" si="893"/>
        <v>92534.81</v>
      </c>
      <c r="F137" s="289"/>
      <c r="G137" s="363">
        <f t="shared" ref="G137" si="895">F137/E137</f>
        <v>0</v>
      </c>
      <c r="H137" s="287"/>
      <c r="I137" s="313">
        <f t="shared" ref="I137" si="896">H137/E137</f>
        <v>0</v>
      </c>
      <c r="J137" s="287"/>
      <c r="K137" s="288">
        <f t="shared" ref="K137" si="897">J137/E137</f>
        <v>0</v>
      </c>
      <c r="L137" s="289"/>
      <c r="M137" s="290">
        <f t="shared" ref="M137" si="898">L137/E137</f>
        <v>0</v>
      </c>
      <c r="N137" s="287"/>
      <c r="O137" s="288">
        <f t="shared" ref="O137" si="899">N137/E137</f>
        <v>0</v>
      </c>
      <c r="P137" s="289"/>
      <c r="Q137" s="290">
        <f t="shared" ref="Q137" si="900">P137/E137</f>
        <v>0</v>
      </c>
      <c r="R137" s="287"/>
      <c r="S137" s="288">
        <f t="shared" si="886"/>
        <v>0</v>
      </c>
      <c r="T137" s="287"/>
      <c r="U137" s="288">
        <f t="shared" ref="U137" si="901">T137/E137</f>
        <v>0</v>
      </c>
      <c r="V137" s="289"/>
      <c r="W137" s="290">
        <f t="shared" ref="W137" si="902">V137/E137</f>
        <v>0</v>
      </c>
      <c r="X137" s="287"/>
      <c r="Y137" s="313">
        <f t="shared" ref="Y137" si="903">X137/E137</f>
        <v>0</v>
      </c>
      <c r="Z137" s="289"/>
      <c r="AA137" s="363">
        <f t="shared" ref="AA137" si="904">Z137/E137</f>
        <v>0</v>
      </c>
      <c r="AB137" s="287"/>
      <c r="AC137" s="313">
        <f t="shared" ref="AC137" si="905">AB137/E137</f>
        <v>0</v>
      </c>
      <c r="AD137" s="289"/>
      <c r="AE137" s="363">
        <f t="shared" ref="AE137" si="906">AD137/E137</f>
        <v>0</v>
      </c>
      <c r="AF137" s="287"/>
      <c r="AG137" s="313">
        <f t="shared" ref="AG137" si="907">AF137/E137</f>
        <v>0</v>
      </c>
      <c r="AH137" s="289"/>
      <c r="AI137" s="363">
        <f t="shared" ref="AI137" si="908">AH137/E137</f>
        <v>0</v>
      </c>
      <c r="AJ137" s="323">
        <f t="shared" ref="AJ137" si="909">K137+M137+O137+Q137+S137+U137+W137+Y137+AA137+AC137+G137+I137+AI137+AE137+AG137</f>
        <v>0</v>
      </c>
      <c r="AK137" s="81">
        <v>0</v>
      </c>
      <c r="AL137" s="81"/>
      <c r="AM137" s="84">
        <v>0</v>
      </c>
      <c r="AN137" s="85"/>
      <c r="AO137" s="84">
        <v>0</v>
      </c>
      <c r="AP137" s="81"/>
      <c r="AQ137" s="84">
        <v>0</v>
      </c>
      <c r="AR137" s="85"/>
      <c r="AS137" s="84">
        <v>0</v>
      </c>
      <c r="AT137" s="81"/>
      <c r="AU137" s="84">
        <v>0</v>
      </c>
      <c r="AV137" s="85"/>
      <c r="AW137" s="84">
        <v>0</v>
      </c>
      <c r="AX137" s="85"/>
      <c r="AY137" s="84">
        <v>0</v>
      </c>
      <c r="AZ137" s="85"/>
      <c r="BA137" s="84">
        <v>0</v>
      </c>
      <c r="BB137" s="85"/>
      <c r="BC137" s="84">
        <v>0</v>
      </c>
      <c r="BD137" s="85"/>
      <c r="BE137" s="84">
        <v>0</v>
      </c>
      <c r="BF137" s="85"/>
      <c r="BG137" s="84">
        <v>0</v>
      </c>
      <c r="BH137" s="81"/>
      <c r="BI137" s="214">
        <f>D137-AK137-AM137-AO137-AQ137-AS137-AU137-AW137-AY137-BA137-BC137-BE137-BG137</f>
        <v>92534.81</v>
      </c>
    </row>
    <row r="138" spans="1:61" x14ac:dyDescent="0.35">
      <c r="A138" s="150" t="s">
        <v>680</v>
      </c>
      <c r="B138" s="180"/>
      <c r="C138" s="83">
        <f>3071.71+4630.61+11876.38+12150.41+11630.35</f>
        <v>43359.46</v>
      </c>
      <c r="D138" s="107">
        <f t="shared" si="893"/>
        <v>43359.46</v>
      </c>
      <c r="E138" s="304">
        <f t="shared" si="893"/>
        <v>43359.46</v>
      </c>
      <c r="F138" s="289"/>
      <c r="G138" s="363">
        <f t="shared" ref="G138" si="910">F138/E138</f>
        <v>0</v>
      </c>
      <c r="H138" s="287">
        <v>4630.6099999999997</v>
      </c>
      <c r="I138" s="313">
        <f t="shared" ref="I138" si="911">H138/E138</f>
        <v>0.10679584109211691</v>
      </c>
      <c r="J138" s="287"/>
      <c r="K138" s="288">
        <f t="shared" ref="K138" si="912">J138/E138</f>
        <v>0</v>
      </c>
      <c r="L138" s="289"/>
      <c r="M138" s="290">
        <f t="shared" ref="M138" si="913">L138/E138</f>
        <v>0</v>
      </c>
      <c r="N138" s="287">
        <v>11876.38</v>
      </c>
      <c r="O138" s="288">
        <f t="shared" ref="O138" si="914">N138/E138</f>
        <v>0.27390516394807496</v>
      </c>
      <c r="P138" s="289">
        <f>12150.41-1497.84</f>
        <v>10652.57</v>
      </c>
      <c r="Q138" s="290">
        <f t="shared" ref="Q138" si="915">P138/E138</f>
        <v>0.24568041207155256</v>
      </c>
      <c r="R138" s="287">
        <v>1497.84</v>
      </c>
      <c r="S138" s="288">
        <f t="shared" si="886"/>
        <v>3.4544710658296944E-2</v>
      </c>
      <c r="T138" s="287">
        <f>2562.03+764.79+941.98+1790.25</f>
        <v>6059.05</v>
      </c>
      <c r="U138" s="288">
        <f t="shared" ref="U138" si="916">T138/E138</f>
        <v>0.13973997831153803</v>
      </c>
      <c r="V138" s="289">
        <f>1287.37+1507.16+2776.77</f>
        <v>5571.2999999999993</v>
      </c>
      <c r="W138" s="290">
        <f t="shared" ref="W138" si="917">V138/E138</f>
        <v>0.1284909913545971</v>
      </c>
      <c r="X138" s="287"/>
      <c r="Y138" s="313">
        <f t="shared" ref="Y138" si="918">X138/E138</f>
        <v>0</v>
      </c>
      <c r="Z138" s="289">
        <v>3071.71</v>
      </c>
      <c r="AA138" s="363">
        <f t="shared" ref="AA138" si="919">Z138/E138</f>
        <v>7.0842902563823446E-2</v>
      </c>
      <c r="AB138" s="287"/>
      <c r="AC138" s="313">
        <f t="shared" ref="AC138" si="920">AB138/E138</f>
        <v>0</v>
      </c>
      <c r="AD138" s="289"/>
      <c r="AE138" s="363">
        <f t="shared" ref="AE138" si="921">AD138/E138</f>
        <v>0</v>
      </c>
      <c r="AF138" s="287"/>
      <c r="AG138" s="313">
        <f t="shared" ref="AG138" si="922">AF138/E138</f>
        <v>0</v>
      </c>
      <c r="AH138" s="289"/>
      <c r="AI138" s="363">
        <f t="shared" ref="AI138" si="923">AH138/E138</f>
        <v>0</v>
      </c>
      <c r="AJ138" s="323">
        <f t="shared" ref="AJ138" si="924">K138+M138+O138+Q138+S138+U138+W138+Y138+AA138+AC138+G138+I138+AI138+AE138+AG138</f>
        <v>0.99999999999999989</v>
      </c>
      <c r="AK138" s="81">
        <v>0</v>
      </c>
      <c r="AL138" s="81"/>
      <c r="AM138" s="84">
        <v>0</v>
      </c>
      <c r="AN138" s="85"/>
      <c r="AO138" s="84">
        <v>0</v>
      </c>
      <c r="AP138" s="81"/>
      <c r="AQ138" s="84">
        <v>0</v>
      </c>
      <c r="AR138" s="85"/>
      <c r="AS138" s="84">
        <v>0</v>
      </c>
      <c r="AT138" s="81"/>
      <c r="AU138" s="84">
        <v>0</v>
      </c>
      <c r="AV138" s="85"/>
      <c r="AW138" s="84">
        <v>0</v>
      </c>
      <c r="AX138" s="85"/>
      <c r="AY138" s="84">
        <v>0</v>
      </c>
      <c r="AZ138" s="85"/>
      <c r="BA138" s="84">
        <v>0</v>
      </c>
      <c r="BB138" s="85"/>
      <c r="BC138" s="230">
        <f>BD138</f>
        <v>27100.5</v>
      </c>
      <c r="BD138" s="231">
        <f>12150.41+11878.38+3071.71</f>
        <v>27100.5</v>
      </c>
      <c r="BE138" s="386">
        <f>BF138</f>
        <v>11630.35</v>
      </c>
      <c r="BF138" s="387">
        <v>11630.35</v>
      </c>
      <c r="BG138" s="388">
        <f>D138-AK138-AM138-AO138-AQ138-AS138-AU138-AW138-AY138-BA138-BC138-BE138</f>
        <v>4628.6099999999988</v>
      </c>
      <c r="BH138" s="81"/>
      <c r="BI138" s="214">
        <f>D138-AK138-AM138-AO138-AQ138-AS138-AU138-AW138-AY138-BA138-BC138-BE138-BG138</f>
        <v>0</v>
      </c>
    </row>
    <row r="139" spans="1:61" x14ac:dyDescent="0.35">
      <c r="A139" s="150" t="s">
        <v>770</v>
      </c>
      <c r="B139" s="180"/>
      <c r="C139" s="83">
        <v>3579.28</v>
      </c>
      <c r="D139" s="107">
        <v>3579.28</v>
      </c>
      <c r="E139" s="304">
        <f>D139</f>
        <v>3579.28</v>
      </c>
      <c r="F139" s="289"/>
      <c r="G139" s="363">
        <f t="shared" si="382"/>
        <v>0</v>
      </c>
      <c r="H139" s="287"/>
      <c r="I139" s="313">
        <f t="shared" si="383"/>
        <v>0</v>
      </c>
      <c r="J139" s="287"/>
      <c r="K139" s="288">
        <f t="shared" si="877"/>
        <v>0</v>
      </c>
      <c r="L139" s="289"/>
      <c r="M139" s="290">
        <f t="shared" si="878"/>
        <v>0</v>
      </c>
      <c r="N139" s="287"/>
      <c r="O139" s="288">
        <f t="shared" si="884"/>
        <v>0</v>
      </c>
      <c r="P139" s="289"/>
      <c r="Q139" s="290">
        <f t="shared" si="885"/>
        <v>0</v>
      </c>
      <c r="R139" s="287"/>
      <c r="S139" s="288">
        <f t="shared" si="886"/>
        <v>0</v>
      </c>
      <c r="T139" s="287">
        <v>0</v>
      </c>
      <c r="U139" s="288">
        <f t="shared" si="887"/>
        <v>0</v>
      </c>
      <c r="V139" s="289">
        <v>3127.48</v>
      </c>
      <c r="W139" s="290">
        <f t="shared" si="888"/>
        <v>0.87377349634563373</v>
      </c>
      <c r="X139" s="287"/>
      <c r="Y139" s="313">
        <f t="shared" si="889"/>
        <v>0</v>
      </c>
      <c r="Z139" s="289"/>
      <c r="AA139" s="363">
        <f t="shared" si="890"/>
        <v>0</v>
      </c>
      <c r="AB139" s="287"/>
      <c r="AC139" s="313">
        <f t="shared" si="891"/>
        <v>0</v>
      </c>
      <c r="AD139" s="289"/>
      <c r="AE139" s="363">
        <f t="shared" si="39"/>
        <v>0</v>
      </c>
      <c r="AF139" s="287">
        <v>451.8</v>
      </c>
      <c r="AG139" s="313">
        <f t="shared" si="40"/>
        <v>0.12622650365436625</v>
      </c>
      <c r="AH139" s="289"/>
      <c r="AI139" s="363">
        <f t="shared" si="892"/>
        <v>0</v>
      </c>
      <c r="AJ139" s="323">
        <f t="shared" si="41"/>
        <v>1</v>
      </c>
      <c r="AK139" s="81">
        <v>0</v>
      </c>
      <c r="AL139" s="81"/>
      <c r="AM139" s="84">
        <v>0</v>
      </c>
      <c r="AN139" s="85"/>
      <c r="AO139" s="84">
        <v>0</v>
      </c>
      <c r="AP139" s="81"/>
      <c r="AQ139" s="84">
        <v>0</v>
      </c>
      <c r="AR139" s="85"/>
      <c r="AS139" s="84">
        <v>0</v>
      </c>
      <c r="AT139" s="81"/>
      <c r="AU139" s="84">
        <v>0</v>
      </c>
      <c r="AV139" s="85"/>
      <c r="AW139" s="84">
        <v>0</v>
      </c>
      <c r="AX139" s="85"/>
      <c r="AY139" s="230">
        <f t="shared" si="374"/>
        <v>3579.28</v>
      </c>
      <c r="AZ139" s="231">
        <v>3579</v>
      </c>
      <c r="BA139" s="84">
        <f t="shared" si="375"/>
        <v>0</v>
      </c>
      <c r="BB139" s="85"/>
      <c r="BC139" s="84">
        <f t="shared" si="376"/>
        <v>0</v>
      </c>
      <c r="BD139" s="85"/>
      <c r="BE139" s="84">
        <f t="shared" si="377"/>
        <v>0</v>
      </c>
      <c r="BF139" s="85"/>
      <c r="BG139" s="84">
        <f t="shared" si="378"/>
        <v>0</v>
      </c>
      <c r="BH139" s="81"/>
      <c r="BI139" s="214">
        <f t="shared" si="876"/>
        <v>0</v>
      </c>
    </row>
    <row r="140" spans="1:61" x14ac:dyDescent="0.35">
      <c r="A140" s="150" t="s">
        <v>748</v>
      </c>
      <c r="B140" s="180"/>
      <c r="C140" s="83">
        <v>3562</v>
      </c>
      <c r="D140" s="107">
        <v>3562</v>
      </c>
      <c r="E140" s="304">
        <f>D140</f>
        <v>3562</v>
      </c>
      <c r="F140" s="289"/>
      <c r="G140" s="363">
        <f t="shared" si="382"/>
        <v>0</v>
      </c>
      <c r="H140" s="287"/>
      <c r="I140" s="313">
        <f t="shared" si="383"/>
        <v>0</v>
      </c>
      <c r="J140" s="287"/>
      <c r="K140" s="288">
        <f t="shared" si="877"/>
        <v>0</v>
      </c>
      <c r="L140" s="289"/>
      <c r="M140" s="290">
        <f t="shared" si="878"/>
        <v>0</v>
      </c>
      <c r="N140" s="287"/>
      <c r="O140" s="288">
        <f t="shared" si="884"/>
        <v>0</v>
      </c>
      <c r="P140" s="289"/>
      <c r="Q140" s="290">
        <f t="shared" si="885"/>
        <v>0</v>
      </c>
      <c r="R140" s="287"/>
      <c r="S140" s="288">
        <f t="shared" si="886"/>
        <v>0</v>
      </c>
      <c r="T140" s="287"/>
      <c r="U140" s="288">
        <f t="shared" si="887"/>
        <v>0</v>
      </c>
      <c r="V140" s="289"/>
      <c r="W140" s="290">
        <f t="shared" si="888"/>
        <v>0</v>
      </c>
      <c r="X140" s="287"/>
      <c r="Y140" s="313">
        <f t="shared" si="889"/>
        <v>0</v>
      </c>
      <c r="Z140" s="289"/>
      <c r="AA140" s="363">
        <f t="shared" si="890"/>
        <v>0</v>
      </c>
      <c r="AB140" s="287"/>
      <c r="AC140" s="313">
        <f t="shared" si="891"/>
        <v>0</v>
      </c>
      <c r="AD140" s="289"/>
      <c r="AE140" s="363">
        <f t="shared" si="39"/>
        <v>0</v>
      </c>
      <c r="AF140" s="287"/>
      <c r="AG140" s="313">
        <f t="shared" si="40"/>
        <v>0</v>
      </c>
      <c r="AH140" s="289"/>
      <c r="AI140" s="363">
        <f t="shared" si="892"/>
        <v>0</v>
      </c>
      <c r="AJ140" s="323">
        <f t="shared" si="41"/>
        <v>0</v>
      </c>
      <c r="AK140" s="81">
        <v>0</v>
      </c>
      <c r="AL140" s="81"/>
      <c r="AM140" s="84">
        <v>0</v>
      </c>
      <c r="AN140" s="85"/>
      <c r="AO140" s="84">
        <v>0</v>
      </c>
      <c r="AP140" s="81"/>
      <c r="AQ140" s="84">
        <v>0</v>
      </c>
      <c r="AR140" s="85"/>
      <c r="AS140" s="84">
        <v>0</v>
      </c>
      <c r="AT140" s="81"/>
      <c r="AU140" s="230">
        <f>AV140</f>
        <v>3562</v>
      </c>
      <c r="AV140" s="231">
        <v>3562</v>
      </c>
      <c r="AW140" s="84">
        <f t="shared" si="373"/>
        <v>0</v>
      </c>
      <c r="AX140" s="85"/>
      <c r="AY140" s="84">
        <f t="shared" si="374"/>
        <v>0</v>
      </c>
      <c r="AZ140" s="85"/>
      <c r="BA140" s="84">
        <f t="shared" si="375"/>
        <v>0</v>
      </c>
      <c r="BB140" s="85"/>
      <c r="BC140" s="84">
        <f t="shared" si="376"/>
        <v>0</v>
      </c>
      <c r="BD140" s="85"/>
      <c r="BE140" s="84">
        <f t="shared" si="377"/>
        <v>0</v>
      </c>
      <c r="BF140" s="85"/>
      <c r="BG140" s="84">
        <f t="shared" si="378"/>
        <v>0</v>
      </c>
      <c r="BH140" s="81"/>
      <c r="BI140" s="214">
        <f t="shared" si="876"/>
        <v>0</v>
      </c>
    </row>
    <row r="141" spans="1:61" x14ac:dyDescent="0.35">
      <c r="A141" s="150" t="s">
        <v>743</v>
      </c>
      <c r="B141" s="180"/>
      <c r="C141" s="83">
        <v>32699.43</v>
      </c>
      <c r="D141" s="142">
        <v>0</v>
      </c>
      <c r="E141" s="304"/>
      <c r="F141" s="289"/>
      <c r="G141" s="363" t="e">
        <f t="shared" si="382"/>
        <v>#DIV/0!</v>
      </c>
      <c r="H141" s="287"/>
      <c r="I141" s="313" t="e">
        <f t="shared" si="383"/>
        <v>#DIV/0!</v>
      </c>
      <c r="J141" s="287"/>
      <c r="K141" s="288" t="e">
        <f t="shared" si="877"/>
        <v>#DIV/0!</v>
      </c>
      <c r="L141" s="289"/>
      <c r="M141" s="290" t="e">
        <f t="shared" si="878"/>
        <v>#DIV/0!</v>
      </c>
      <c r="N141" s="287"/>
      <c r="O141" s="288" t="e">
        <f t="shared" si="884"/>
        <v>#DIV/0!</v>
      </c>
      <c r="P141" s="289"/>
      <c r="Q141" s="290" t="e">
        <f t="shared" si="885"/>
        <v>#DIV/0!</v>
      </c>
      <c r="R141" s="287"/>
      <c r="S141" s="288" t="e">
        <f t="shared" si="886"/>
        <v>#DIV/0!</v>
      </c>
      <c r="T141" s="287"/>
      <c r="U141" s="288" t="e">
        <f t="shared" si="887"/>
        <v>#DIV/0!</v>
      </c>
      <c r="V141" s="289"/>
      <c r="W141" s="290" t="e">
        <f t="shared" si="888"/>
        <v>#DIV/0!</v>
      </c>
      <c r="X141" s="287"/>
      <c r="Y141" s="313" t="e">
        <f t="shared" si="889"/>
        <v>#DIV/0!</v>
      </c>
      <c r="Z141" s="289"/>
      <c r="AA141" s="363" t="e">
        <f t="shared" si="890"/>
        <v>#DIV/0!</v>
      </c>
      <c r="AB141" s="287"/>
      <c r="AC141" s="313" t="e">
        <f t="shared" si="891"/>
        <v>#DIV/0!</v>
      </c>
      <c r="AD141" s="289"/>
      <c r="AE141" s="363" t="e">
        <f t="shared" ref="AE141:AE155" si="925">AD141/E141</f>
        <v>#DIV/0!</v>
      </c>
      <c r="AF141" s="287"/>
      <c r="AG141" s="313" t="e">
        <f t="shared" ref="AG141:AG155" si="926">AF141/E141</f>
        <v>#DIV/0!</v>
      </c>
      <c r="AH141" s="289"/>
      <c r="AI141" s="363" t="e">
        <f t="shared" si="892"/>
        <v>#DIV/0!</v>
      </c>
      <c r="AJ141" s="323" t="e">
        <f t="shared" ref="AJ141:AJ193" si="927">K141+M141+O141+Q141+S141+U141+W141+Y141+AA141+AC141+G141+I141+AI141+AE141+AG141</f>
        <v>#DIV/0!</v>
      </c>
      <c r="AK141" s="81">
        <v>0</v>
      </c>
      <c r="AL141" s="81"/>
      <c r="AM141" s="84">
        <v>0</v>
      </c>
      <c r="AN141" s="85"/>
      <c r="AO141" s="84">
        <v>0</v>
      </c>
      <c r="AP141" s="81"/>
      <c r="AQ141" s="84">
        <v>0</v>
      </c>
      <c r="AR141" s="85"/>
      <c r="AS141" s="84">
        <v>0</v>
      </c>
      <c r="AT141" s="81"/>
      <c r="AU141" s="84">
        <f t="shared" si="372"/>
        <v>0</v>
      </c>
      <c r="AV141" s="85"/>
      <c r="AW141" s="84">
        <f t="shared" si="373"/>
        <v>0</v>
      </c>
      <c r="AX141" s="85"/>
      <c r="AY141" s="84">
        <f t="shared" si="374"/>
        <v>0</v>
      </c>
      <c r="AZ141" s="85"/>
      <c r="BA141" s="84">
        <f t="shared" si="375"/>
        <v>0</v>
      </c>
      <c r="BB141" s="85"/>
      <c r="BC141" s="84">
        <f t="shared" si="376"/>
        <v>0</v>
      </c>
      <c r="BD141" s="85"/>
      <c r="BE141" s="84">
        <f t="shared" si="377"/>
        <v>0</v>
      </c>
      <c r="BF141" s="85"/>
      <c r="BG141" s="84">
        <f t="shared" si="378"/>
        <v>0</v>
      </c>
      <c r="BH141" s="81"/>
      <c r="BI141" s="214">
        <f t="shared" si="876"/>
        <v>0</v>
      </c>
    </row>
    <row r="142" spans="1:61" x14ac:dyDescent="0.35">
      <c r="A142" s="150" t="s">
        <v>693</v>
      </c>
      <c r="B142" s="180"/>
      <c r="C142" s="83">
        <v>6845.66</v>
      </c>
      <c r="D142" s="107">
        <f>C142</f>
        <v>6845.66</v>
      </c>
      <c r="E142" s="304">
        <f>D142</f>
        <v>6845.66</v>
      </c>
      <c r="F142" s="289"/>
      <c r="G142" s="363">
        <f t="shared" si="382"/>
        <v>0</v>
      </c>
      <c r="H142" s="287"/>
      <c r="I142" s="313">
        <f t="shared" si="383"/>
        <v>0</v>
      </c>
      <c r="J142" s="287"/>
      <c r="K142" s="288">
        <f t="shared" si="877"/>
        <v>0</v>
      </c>
      <c r="L142" s="289"/>
      <c r="M142" s="290">
        <f t="shared" si="878"/>
        <v>0</v>
      </c>
      <c r="N142" s="287">
        <v>6845.66</v>
      </c>
      <c r="O142" s="288">
        <f t="shared" si="879"/>
        <v>1</v>
      </c>
      <c r="P142" s="289"/>
      <c r="Q142" s="290">
        <f t="shared" si="880"/>
        <v>0</v>
      </c>
      <c r="R142" s="287"/>
      <c r="S142" s="288">
        <f t="shared" ref="S142" si="928">R142/E142</f>
        <v>0</v>
      </c>
      <c r="T142" s="287"/>
      <c r="U142" s="288">
        <f t="shared" si="881"/>
        <v>0</v>
      </c>
      <c r="V142" s="289"/>
      <c r="W142" s="290">
        <f t="shared" si="882"/>
        <v>0</v>
      </c>
      <c r="X142" s="287"/>
      <c r="Y142" s="313">
        <f t="shared" si="883"/>
        <v>0</v>
      </c>
      <c r="Z142" s="289"/>
      <c r="AA142" s="363">
        <f t="shared" si="890"/>
        <v>0</v>
      </c>
      <c r="AB142" s="287"/>
      <c r="AC142" s="313">
        <f t="shared" si="891"/>
        <v>0</v>
      </c>
      <c r="AD142" s="289"/>
      <c r="AE142" s="363">
        <f t="shared" si="925"/>
        <v>0</v>
      </c>
      <c r="AF142" s="287"/>
      <c r="AG142" s="313">
        <f t="shared" si="926"/>
        <v>0</v>
      </c>
      <c r="AH142" s="289"/>
      <c r="AI142" s="363">
        <f t="shared" si="892"/>
        <v>0</v>
      </c>
      <c r="AJ142" s="323">
        <f t="shared" si="927"/>
        <v>1</v>
      </c>
      <c r="AK142" s="81">
        <v>0</v>
      </c>
      <c r="AL142" s="81"/>
      <c r="AM142" s="84">
        <v>0</v>
      </c>
      <c r="AN142" s="85"/>
      <c r="AO142" s="84">
        <v>0</v>
      </c>
      <c r="AP142" s="81"/>
      <c r="AQ142" s="84">
        <v>0</v>
      </c>
      <c r="AR142" s="85"/>
      <c r="AS142" s="84">
        <v>0</v>
      </c>
      <c r="AT142" s="81"/>
      <c r="AU142" s="230">
        <f t="shared" si="372"/>
        <v>6845.66</v>
      </c>
      <c r="AV142" s="231">
        <v>6845.66</v>
      </c>
      <c r="AW142" s="84">
        <f t="shared" si="373"/>
        <v>0</v>
      </c>
      <c r="AX142" s="85"/>
      <c r="AY142" s="84">
        <f t="shared" si="374"/>
        <v>0</v>
      </c>
      <c r="AZ142" s="85"/>
      <c r="BA142" s="84">
        <f t="shared" si="375"/>
        <v>0</v>
      </c>
      <c r="BB142" s="85"/>
      <c r="BC142" s="84">
        <f t="shared" si="376"/>
        <v>0</v>
      </c>
      <c r="BD142" s="85"/>
      <c r="BE142" s="84">
        <f t="shared" si="377"/>
        <v>0</v>
      </c>
      <c r="BF142" s="85"/>
      <c r="BG142" s="84">
        <f t="shared" si="378"/>
        <v>0</v>
      </c>
      <c r="BH142" s="81"/>
      <c r="BI142" s="214">
        <f t="shared" si="876"/>
        <v>0</v>
      </c>
    </row>
    <row r="143" spans="1:61" x14ac:dyDescent="0.35">
      <c r="A143" s="150" t="s">
        <v>646</v>
      </c>
      <c r="B143" s="180"/>
      <c r="C143" s="83">
        <f>30824.64+27421.53+20279.17</f>
        <v>78525.34</v>
      </c>
      <c r="D143" s="107">
        <f>C143</f>
        <v>78525.34</v>
      </c>
      <c r="E143" s="304">
        <f>D143</f>
        <v>78525.34</v>
      </c>
      <c r="F143" s="289"/>
      <c r="G143" s="363">
        <f>F143/E143</f>
        <v>0</v>
      </c>
      <c r="H143" s="287"/>
      <c r="I143" s="313">
        <f>H143/E143</f>
        <v>0</v>
      </c>
      <c r="J143" s="287"/>
      <c r="K143" s="288">
        <f>J143/E143</f>
        <v>0</v>
      </c>
      <c r="L143" s="289"/>
      <c r="M143" s="290">
        <f>L143/E143</f>
        <v>0</v>
      </c>
      <c r="N143" s="287"/>
      <c r="O143" s="288">
        <f>N143/E143</f>
        <v>0</v>
      </c>
      <c r="P143" s="289"/>
      <c r="Q143" s="290">
        <f>P143/E143</f>
        <v>0</v>
      </c>
      <c r="R143" s="287"/>
      <c r="S143" s="288">
        <f>R143/E143</f>
        <v>0</v>
      </c>
      <c r="T143" s="287"/>
      <c r="U143" s="288">
        <f>T143/E143</f>
        <v>0</v>
      </c>
      <c r="V143" s="289"/>
      <c r="W143" s="290">
        <f>V143/E143</f>
        <v>0</v>
      </c>
      <c r="X143" s="287"/>
      <c r="Y143" s="313">
        <f>X143/E143</f>
        <v>0</v>
      </c>
      <c r="Z143" s="289"/>
      <c r="AA143" s="363">
        <f>Z143/E143</f>
        <v>0</v>
      </c>
      <c r="AB143" s="287"/>
      <c r="AC143" s="313">
        <f>AB143/E143</f>
        <v>0</v>
      </c>
      <c r="AD143" s="289"/>
      <c r="AE143" s="363">
        <f t="shared" si="925"/>
        <v>0</v>
      </c>
      <c r="AF143" s="287"/>
      <c r="AG143" s="313">
        <f t="shared" si="926"/>
        <v>0</v>
      </c>
      <c r="AH143" s="289"/>
      <c r="AI143" s="363">
        <f>AH143/E143</f>
        <v>0</v>
      </c>
      <c r="AJ143" s="323">
        <f t="shared" si="927"/>
        <v>0</v>
      </c>
      <c r="AK143" s="81">
        <v>0</v>
      </c>
      <c r="AL143" s="81"/>
      <c r="AM143" s="84">
        <v>0</v>
      </c>
      <c r="AN143" s="85"/>
      <c r="AO143" s="230">
        <f>AP143</f>
        <v>30824.639999999999</v>
      </c>
      <c r="AP143" s="195">
        <v>30824.639999999999</v>
      </c>
      <c r="AQ143" s="84">
        <v>0</v>
      </c>
      <c r="AR143" s="85"/>
      <c r="AS143" s="84">
        <v>0</v>
      </c>
      <c r="AT143" s="81"/>
      <c r="AU143" s="50">
        <v>0</v>
      </c>
      <c r="AV143" s="85"/>
      <c r="AW143" s="230">
        <f>AX143</f>
        <v>12187.25</v>
      </c>
      <c r="AX143" s="231">
        <v>12187.25</v>
      </c>
      <c r="AY143" s="84">
        <v>0</v>
      </c>
      <c r="AZ143" s="85"/>
      <c r="BA143" s="84">
        <v>0</v>
      </c>
      <c r="BB143" s="85"/>
      <c r="BC143" s="230">
        <f>BD143</f>
        <v>35513.449999999997</v>
      </c>
      <c r="BD143" s="231">
        <f>20279.17+15234.28</f>
        <v>35513.449999999997</v>
      </c>
      <c r="BE143" s="84">
        <f t="shared" si="377"/>
        <v>0</v>
      </c>
      <c r="BF143" s="85"/>
      <c r="BG143" s="84">
        <f t="shared" si="378"/>
        <v>0</v>
      </c>
      <c r="BH143" s="81"/>
      <c r="BI143" s="214">
        <f t="shared" si="876"/>
        <v>0</v>
      </c>
    </row>
    <row r="144" spans="1:61" x14ac:dyDescent="0.35">
      <c r="A144" s="353"/>
      <c r="B144" s="180"/>
      <c r="C144" s="83">
        <f>'2021-22'!AU20</f>
        <v>0</v>
      </c>
      <c r="D144" s="142">
        <f>'2022-23'!AW63</f>
        <v>0</v>
      </c>
      <c r="E144" s="304">
        <f>D144</f>
        <v>0</v>
      </c>
      <c r="F144" s="289">
        <v>864</v>
      </c>
      <c r="G144" s="363" t="e">
        <f t="shared" si="382"/>
        <v>#DIV/0!</v>
      </c>
      <c r="H144" s="287"/>
      <c r="I144" s="313" t="e">
        <f t="shared" si="383"/>
        <v>#DIV/0!</v>
      </c>
      <c r="J144" s="287"/>
      <c r="K144" s="288" t="e">
        <f t="shared" si="434"/>
        <v>#DIV/0!</v>
      </c>
      <c r="L144" s="289"/>
      <c r="M144" s="290" t="e">
        <f t="shared" si="435"/>
        <v>#DIV/0!</v>
      </c>
      <c r="N144" s="287"/>
      <c r="O144" s="288" t="e">
        <f t="shared" si="436"/>
        <v>#DIV/0!</v>
      </c>
      <c r="P144" s="289"/>
      <c r="Q144" s="290" t="e">
        <f t="shared" si="437"/>
        <v>#DIV/0!</v>
      </c>
      <c r="R144" s="287"/>
      <c r="S144" s="288" t="e">
        <f t="shared" si="43"/>
        <v>#DIV/0!</v>
      </c>
      <c r="T144" s="287"/>
      <c r="U144" s="288" t="e">
        <f t="shared" si="438"/>
        <v>#DIV/0!</v>
      </c>
      <c r="V144" s="289"/>
      <c r="W144" s="290" t="e">
        <f t="shared" si="439"/>
        <v>#DIV/0!</v>
      </c>
      <c r="X144" s="287"/>
      <c r="Y144" s="313" t="e">
        <f t="shared" si="440"/>
        <v>#DIV/0!</v>
      </c>
      <c r="Z144" s="289"/>
      <c r="AA144" s="363" t="e">
        <f t="shared" si="390"/>
        <v>#DIV/0!</v>
      </c>
      <c r="AB144" s="287"/>
      <c r="AC144" s="313" t="e">
        <f t="shared" si="391"/>
        <v>#DIV/0!</v>
      </c>
      <c r="AD144" s="289"/>
      <c r="AE144" s="363" t="e">
        <f t="shared" si="925"/>
        <v>#DIV/0!</v>
      </c>
      <c r="AF144" s="287"/>
      <c r="AG144" s="313" t="e">
        <f t="shared" si="926"/>
        <v>#DIV/0!</v>
      </c>
      <c r="AH144" s="289"/>
      <c r="AI144" s="363" t="e">
        <f>AH144/E144</f>
        <v>#DIV/0!</v>
      </c>
      <c r="AJ144" s="323" t="e">
        <f t="shared" si="927"/>
        <v>#DIV/0!</v>
      </c>
      <c r="AK144" s="81">
        <v>0</v>
      </c>
      <c r="AL144" s="81"/>
      <c r="AM144" s="84">
        <f t="shared" si="379"/>
        <v>0</v>
      </c>
      <c r="AN144" s="85"/>
      <c r="AO144" s="84">
        <f t="shared" si="380"/>
        <v>0</v>
      </c>
      <c r="AP144" s="81"/>
      <c r="AQ144" s="84">
        <f t="shared" si="381"/>
        <v>0</v>
      </c>
      <c r="AR144" s="85"/>
      <c r="AS144" s="84">
        <f t="shared" si="371"/>
        <v>0</v>
      </c>
      <c r="AT144" s="81"/>
      <c r="AU144" s="84">
        <f t="shared" si="372"/>
        <v>0</v>
      </c>
      <c r="AV144" s="85"/>
      <c r="AW144" s="84">
        <f t="shared" si="373"/>
        <v>0</v>
      </c>
      <c r="AX144" s="85"/>
      <c r="AY144" s="84">
        <f t="shared" si="374"/>
        <v>0</v>
      </c>
      <c r="AZ144" s="85"/>
      <c r="BA144" s="84">
        <f t="shared" si="375"/>
        <v>0</v>
      </c>
      <c r="BB144" s="85"/>
      <c r="BC144" s="84">
        <f t="shared" si="376"/>
        <v>0</v>
      </c>
      <c r="BD144" s="85"/>
      <c r="BE144" s="84">
        <f t="shared" si="377"/>
        <v>0</v>
      </c>
      <c r="BF144" s="85"/>
      <c r="BG144" s="84">
        <f t="shared" si="378"/>
        <v>0</v>
      </c>
      <c r="BH144" s="81"/>
      <c r="BI144" s="214">
        <f t="shared" si="876"/>
        <v>0</v>
      </c>
    </row>
    <row r="145" spans="1:61" x14ac:dyDescent="0.35">
      <c r="A145" s="159"/>
      <c r="B145" s="180"/>
      <c r="C145" s="83">
        <f>'2021-22'!AU32</f>
        <v>0</v>
      </c>
      <c r="D145" s="142">
        <f>'2022-23'!AW73</f>
        <v>0</v>
      </c>
      <c r="E145" s="304"/>
      <c r="F145" s="289"/>
      <c r="G145" s="363" t="e">
        <f t="shared" si="382"/>
        <v>#DIV/0!</v>
      </c>
      <c r="H145" s="287"/>
      <c r="I145" s="313" t="e">
        <f t="shared" si="383"/>
        <v>#DIV/0!</v>
      </c>
      <c r="J145" s="287"/>
      <c r="K145" s="288" t="e">
        <f t="shared" si="434"/>
        <v>#DIV/0!</v>
      </c>
      <c r="L145" s="289"/>
      <c r="M145" s="290" t="e">
        <f t="shared" si="435"/>
        <v>#DIV/0!</v>
      </c>
      <c r="N145" s="287"/>
      <c r="O145" s="288" t="e">
        <f t="shared" si="436"/>
        <v>#DIV/0!</v>
      </c>
      <c r="P145" s="289"/>
      <c r="Q145" s="290" t="e">
        <f t="shared" si="437"/>
        <v>#DIV/0!</v>
      </c>
      <c r="R145" s="287"/>
      <c r="S145" s="288" t="e">
        <f t="shared" si="43"/>
        <v>#DIV/0!</v>
      </c>
      <c r="T145" s="287"/>
      <c r="U145" s="288" t="e">
        <f t="shared" si="438"/>
        <v>#DIV/0!</v>
      </c>
      <c r="V145" s="289"/>
      <c r="W145" s="290" t="e">
        <f t="shared" si="439"/>
        <v>#DIV/0!</v>
      </c>
      <c r="X145" s="287"/>
      <c r="Y145" s="313" t="e">
        <f t="shared" si="440"/>
        <v>#DIV/0!</v>
      </c>
      <c r="Z145" s="289"/>
      <c r="AA145" s="363" t="e">
        <f t="shared" si="390"/>
        <v>#DIV/0!</v>
      </c>
      <c r="AB145" s="287"/>
      <c r="AC145" s="313" t="e">
        <f t="shared" si="391"/>
        <v>#DIV/0!</v>
      </c>
      <c r="AD145" s="289"/>
      <c r="AE145" s="363" t="e">
        <f t="shared" si="925"/>
        <v>#DIV/0!</v>
      </c>
      <c r="AF145" s="287"/>
      <c r="AG145" s="313" t="e">
        <f t="shared" si="926"/>
        <v>#DIV/0!</v>
      </c>
      <c r="AH145" s="289"/>
      <c r="AI145" s="363" t="e">
        <f>AH145/E145</f>
        <v>#DIV/0!</v>
      </c>
      <c r="AJ145" s="323" t="e">
        <f t="shared" si="927"/>
        <v>#DIV/0!</v>
      </c>
      <c r="AK145" s="81">
        <v>0</v>
      </c>
      <c r="AL145" s="81"/>
      <c r="AM145" s="84">
        <f t="shared" ref="AM145:AM154" si="929">D145-AK145</f>
        <v>0</v>
      </c>
      <c r="AN145" s="85"/>
      <c r="AO145" s="84">
        <f t="shared" ref="AO145:AO154" si="930">D145-AK145-AM145</f>
        <v>0</v>
      </c>
      <c r="AP145" s="81"/>
      <c r="AQ145" s="84">
        <f t="shared" ref="AQ145:AQ154" si="931">D145-AK145-AM145-AO145</f>
        <v>0</v>
      </c>
      <c r="AR145" s="85"/>
      <c r="AS145" s="84">
        <f t="shared" ref="AS145:AS154" si="932">D145-AK145-AM145-AO145-AQ145</f>
        <v>0</v>
      </c>
      <c r="AT145" s="81"/>
      <c r="AU145" s="84">
        <f t="shared" ref="AU145:AU154" si="933">D145-AK145-AM145-AO145-AQ145-AS145</f>
        <v>0</v>
      </c>
      <c r="AV145" s="85"/>
      <c r="AW145" s="84">
        <f t="shared" ref="AW145:AW154" si="934">D145-AK145-AM145-AO145-AQ145-AS145-AU145</f>
        <v>0</v>
      </c>
      <c r="AX145" s="85"/>
      <c r="AY145" s="84">
        <f t="shared" ref="AY145:AY154" si="935">D145-AK145-AM145-AO145-AQ145-AS145-AU145-AW145</f>
        <v>0</v>
      </c>
      <c r="AZ145" s="85"/>
      <c r="BA145" s="84">
        <f t="shared" ref="BA145:BA154" si="936">D145-AK145-AM145-AO145-AQ145-AS145-AU145-AW145-AY145</f>
        <v>0</v>
      </c>
      <c r="BB145" s="85"/>
      <c r="BC145" s="84">
        <f t="shared" ref="BC145:BC154" si="937">D145-AK145-AM145-AO145-AQ145-AS145-AU145-AW145-AY145-BA145</f>
        <v>0</v>
      </c>
      <c r="BD145" s="85"/>
      <c r="BE145" s="84">
        <f t="shared" ref="BE145:BE154" si="938">D145-AK145-AM145-AO145-AQ145-AS145-AU145-AW145-AY145-BA145-BC145</f>
        <v>0</v>
      </c>
      <c r="BF145" s="85"/>
      <c r="BG145" s="84">
        <f t="shared" ref="BG145:BG154" si="939">D145-AK145-AM145-AO145-AQ145-AS145-AU145-AW145-AY145-BA145-BC145-BE145</f>
        <v>0</v>
      </c>
      <c r="BH145" s="81"/>
      <c r="BI145" s="214">
        <f t="shared" si="876"/>
        <v>0</v>
      </c>
    </row>
    <row r="146" spans="1:61" x14ac:dyDescent="0.35">
      <c r="A146" s="353"/>
      <c r="B146" s="180"/>
      <c r="C146" s="83">
        <f>'2021-22'!AU77</f>
        <v>0</v>
      </c>
      <c r="D146" s="142">
        <f>'2022-23'!AW87</f>
        <v>0</v>
      </c>
      <c r="E146" s="304"/>
      <c r="F146" s="289"/>
      <c r="G146" s="363" t="e">
        <f t="shared" si="382"/>
        <v>#DIV/0!</v>
      </c>
      <c r="H146" s="287"/>
      <c r="I146" s="313" t="e">
        <f t="shared" si="383"/>
        <v>#DIV/0!</v>
      </c>
      <c r="J146" s="287"/>
      <c r="K146" s="288" t="e">
        <f t="shared" si="434"/>
        <v>#DIV/0!</v>
      </c>
      <c r="L146" s="289"/>
      <c r="M146" s="290" t="e">
        <f t="shared" si="435"/>
        <v>#DIV/0!</v>
      </c>
      <c r="N146" s="287"/>
      <c r="O146" s="288" t="e">
        <f t="shared" si="436"/>
        <v>#DIV/0!</v>
      </c>
      <c r="P146" s="289"/>
      <c r="Q146" s="290" t="e">
        <f t="shared" si="437"/>
        <v>#DIV/0!</v>
      </c>
      <c r="R146" s="287"/>
      <c r="S146" s="288" t="e">
        <f t="shared" si="43"/>
        <v>#DIV/0!</v>
      </c>
      <c r="T146" s="287"/>
      <c r="U146" s="288" t="e">
        <f t="shared" si="438"/>
        <v>#DIV/0!</v>
      </c>
      <c r="V146" s="289"/>
      <c r="W146" s="290" t="e">
        <f t="shared" si="439"/>
        <v>#DIV/0!</v>
      </c>
      <c r="X146" s="287"/>
      <c r="Y146" s="313" t="e">
        <f t="shared" si="440"/>
        <v>#DIV/0!</v>
      </c>
      <c r="Z146" s="289"/>
      <c r="AA146" s="363" t="e">
        <f t="shared" si="390"/>
        <v>#DIV/0!</v>
      </c>
      <c r="AB146" s="287"/>
      <c r="AC146" s="313" t="e">
        <f t="shared" si="391"/>
        <v>#DIV/0!</v>
      </c>
      <c r="AD146" s="289"/>
      <c r="AE146" s="363" t="e">
        <f t="shared" si="925"/>
        <v>#DIV/0!</v>
      </c>
      <c r="AF146" s="287"/>
      <c r="AG146" s="313" t="e">
        <f t="shared" si="926"/>
        <v>#DIV/0!</v>
      </c>
      <c r="AH146" s="289"/>
      <c r="AI146" s="363" t="e">
        <f>AH146/E146</f>
        <v>#DIV/0!</v>
      </c>
      <c r="AJ146" s="323" t="e">
        <f t="shared" si="927"/>
        <v>#DIV/0!</v>
      </c>
      <c r="AK146" s="81">
        <v>0</v>
      </c>
      <c r="AL146" s="81"/>
      <c r="AM146" s="84">
        <f t="shared" si="929"/>
        <v>0</v>
      </c>
      <c r="AN146" s="85"/>
      <c r="AO146" s="84">
        <f t="shared" si="930"/>
        <v>0</v>
      </c>
      <c r="AP146" s="81"/>
      <c r="AQ146" s="84">
        <f t="shared" si="931"/>
        <v>0</v>
      </c>
      <c r="AR146" s="85"/>
      <c r="AS146" s="84">
        <f t="shared" si="932"/>
        <v>0</v>
      </c>
      <c r="AT146" s="81"/>
      <c r="AU146" s="84">
        <f t="shared" si="933"/>
        <v>0</v>
      </c>
      <c r="AV146" s="85"/>
      <c r="AW146" s="84">
        <f t="shared" si="934"/>
        <v>0</v>
      </c>
      <c r="AX146" s="85"/>
      <c r="AY146" s="84">
        <f t="shared" si="935"/>
        <v>0</v>
      </c>
      <c r="AZ146" s="85"/>
      <c r="BA146" s="84">
        <f t="shared" si="936"/>
        <v>0</v>
      </c>
      <c r="BB146" s="85"/>
      <c r="BC146" s="84">
        <f t="shared" si="937"/>
        <v>0</v>
      </c>
      <c r="BD146" s="85"/>
      <c r="BE146" s="84">
        <f t="shared" si="938"/>
        <v>0</v>
      </c>
      <c r="BF146" s="85"/>
      <c r="BG146" s="84">
        <f t="shared" si="939"/>
        <v>0</v>
      </c>
      <c r="BH146" s="81"/>
      <c r="BI146" s="214">
        <f t="shared" si="876"/>
        <v>0</v>
      </c>
    </row>
    <row r="147" spans="1:61" ht="13.9" x14ac:dyDescent="0.4">
      <c r="A147" s="368" t="s">
        <v>673</v>
      </c>
      <c r="B147" s="369"/>
      <c r="C147" s="370"/>
      <c r="D147" s="371"/>
      <c r="E147" s="304"/>
      <c r="F147" s="289"/>
      <c r="G147" s="363" t="e">
        <f t="shared" si="382"/>
        <v>#DIV/0!</v>
      </c>
      <c r="H147" s="287"/>
      <c r="I147" s="313" t="e">
        <f t="shared" si="383"/>
        <v>#DIV/0!</v>
      </c>
      <c r="J147" s="287"/>
      <c r="K147" s="288" t="e">
        <f t="shared" si="434"/>
        <v>#DIV/0!</v>
      </c>
      <c r="L147" s="289"/>
      <c r="M147" s="290" t="e">
        <f t="shared" si="435"/>
        <v>#DIV/0!</v>
      </c>
      <c r="N147" s="287"/>
      <c r="O147" s="288"/>
      <c r="P147" s="289"/>
      <c r="Q147" s="290"/>
      <c r="R147" s="287"/>
      <c r="S147" s="288"/>
      <c r="T147" s="287"/>
      <c r="U147" s="288"/>
      <c r="V147" s="289"/>
      <c r="W147" s="290"/>
      <c r="X147" s="287"/>
      <c r="Y147" s="313"/>
      <c r="Z147" s="289"/>
      <c r="AA147" s="363"/>
      <c r="AB147" s="287"/>
      <c r="AC147" s="313"/>
      <c r="AD147" s="289"/>
      <c r="AE147" s="363" t="e">
        <f t="shared" si="925"/>
        <v>#DIV/0!</v>
      </c>
      <c r="AF147" s="287"/>
      <c r="AG147" s="313" t="e">
        <f t="shared" si="926"/>
        <v>#DIV/0!</v>
      </c>
      <c r="AH147" s="289"/>
      <c r="AI147" s="363"/>
      <c r="AJ147" s="323"/>
      <c r="AK147" s="81">
        <v>0</v>
      </c>
      <c r="AL147" s="81"/>
      <c r="AM147" s="84">
        <f t="shared" si="929"/>
        <v>0</v>
      </c>
      <c r="AN147" s="85"/>
      <c r="AO147" s="84">
        <f t="shared" si="930"/>
        <v>0</v>
      </c>
      <c r="AP147" s="81"/>
      <c r="AQ147" s="84">
        <f t="shared" si="931"/>
        <v>0</v>
      </c>
      <c r="AR147" s="85"/>
      <c r="AS147" s="84">
        <f t="shared" si="932"/>
        <v>0</v>
      </c>
      <c r="AT147" s="81"/>
      <c r="AU147" s="84">
        <f t="shared" si="933"/>
        <v>0</v>
      </c>
      <c r="AV147" s="85"/>
      <c r="AW147" s="84">
        <f t="shared" si="934"/>
        <v>0</v>
      </c>
      <c r="AX147" s="85"/>
      <c r="AY147" s="84">
        <f t="shared" si="935"/>
        <v>0</v>
      </c>
      <c r="AZ147" s="85"/>
      <c r="BA147" s="84">
        <f t="shared" si="936"/>
        <v>0</v>
      </c>
      <c r="BB147" s="85"/>
      <c r="BC147" s="84">
        <f t="shared" si="937"/>
        <v>0</v>
      </c>
      <c r="BD147" s="85"/>
      <c r="BE147" s="84">
        <f t="shared" si="938"/>
        <v>0</v>
      </c>
      <c r="BF147" s="85"/>
      <c r="BG147" s="84">
        <f t="shared" si="939"/>
        <v>0</v>
      </c>
      <c r="BH147" s="81"/>
      <c r="BI147" s="214">
        <f t="shared" si="876"/>
        <v>0</v>
      </c>
    </row>
    <row r="148" spans="1:61" x14ac:dyDescent="0.35">
      <c r="A148" s="159"/>
      <c r="B148" s="180"/>
      <c r="C148" s="83"/>
      <c r="D148" s="142"/>
      <c r="E148" s="304"/>
      <c r="F148" s="289"/>
      <c r="G148" s="363" t="e">
        <f t="shared" si="382"/>
        <v>#DIV/0!</v>
      </c>
      <c r="H148" s="287"/>
      <c r="I148" s="313" t="e">
        <f t="shared" si="383"/>
        <v>#DIV/0!</v>
      </c>
      <c r="J148" s="287"/>
      <c r="K148" s="288" t="e">
        <f t="shared" ref="K148" si="940">J148/E148</f>
        <v>#DIV/0!</v>
      </c>
      <c r="L148" s="289"/>
      <c r="M148" s="290" t="e">
        <f t="shared" ref="M148" si="941">L148/E148</f>
        <v>#DIV/0!</v>
      </c>
      <c r="N148" s="287"/>
      <c r="O148" s="288" t="e">
        <f t="shared" ref="O148" si="942">N148/E148</f>
        <v>#DIV/0!</v>
      </c>
      <c r="P148" s="289"/>
      <c r="Q148" s="290" t="e">
        <f t="shared" ref="Q148" si="943">P148/E148</f>
        <v>#DIV/0!</v>
      </c>
      <c r="R148" s="287"/>
      <c r="S148" s="288" t="e">
        <f>R148/E148</f>
        <v>#DIV/0!</v>
      </c>
      <c r="T148" s="287"/>
      <c r="U148" s="288" t="e">
        <f t="shared" ref="U148" si="944">T148/E148</f>
        <v>#DIV/0!</v>
      </c>
      <c r="V148" s="289"/>
      <c r="W148" s="290" t="e">
        <f t="shared" ref="W148" si="945">V148/E148</f>
        <v>#DIV/0!</v>
      </c>
      <c r="X148" s="287"/>
      <c r="Y148" s="313" t="e">
        <f t="shared" ref="Y148" si="946">X148/E148</f>
        <v>#DIV/0!</v>
      </c>
      <c r="Z148" s="289"/>
      <c r="AA148" s="363" t="e">
        <f t="shared" ref="AA148" si="947">Z148/E148</f>
        <v>#DIV/0!</v>
      </c>
      <c r="AB148" s="287"/>
      <c r="AC148" s="313" t="e">
        <f t="shared" ref="AC148" si="948">AB148/E148</f>
        <v>#DIV/0!</v>
      </c>
      <c r="AD148" s="289"/>
      <c r="AE148" s="363" t="e">
        <f t="shared" ref="AE148" si="949">AD148/E148</f>
        <v>#DIV/0!</v>
      </c>
      <c r="AF148" s="287"/>
      <c r="AG148" s="313" t="e">
        <f t="shared" ref="AG148" si="950">AF148/E148</f>
        <v>#DIV/0!</v>
      </c>
      <c r="AH148" s="289"/>
      <c r="AI148" s="363" t="e">
        <f t="shared" ref="AI148" si="951">AH148/E148</f>
        <v>#DIV/0!</v>
      </c>
      <c r="AJ148" s="323" t="e">
        <f t="shared" ref="AJ148" si="952">K148+M148+O148+Q148+S148+U148+W148+Y148+AA148+AC148+G148+I148+AI148+AE148+AG148</f>
        <v>#DIV/0!</v>
      </c>
      <c r="AK148" s="81">
        <v>0</v>
      </c>
      <c r="AL148" s="81"/>
      <c r="AM148" s="84">
        <f>E148-AK148</f>
        <v>0</v>
      </c>
      <c r="AN148" s="85"/>
      <c r="AO148" s="84">
        <f>D148-AK148-AM148</f>
        <v>0</v>
      </c>
      <c r="AP148" s="81"/>
      <c r="AQ148" s="84">
        <f>D148-AK148-AM148-AO148</f>
        <v>0</v>
      </c>
      <c r="AR148" s="85"/>
      <c r="AS148" s="84">
        <f>D148-AK148-AM148-AO148-AQ148</f>
        <v>0</v>
      </c>
      <c r="AT148" s="81"/>
      <c r="AU148" s="84">
        <f>D148-AK148-AM148-AO148-AQ148-AS148</f>
        <v>0</v>
      </c>
      <c r="AV148" s="85"/>
      <c r="AW148" s="84">
        <f>D148-AK148-AM148-AO148-AQ148-AS148-AU148</f>
        <v>0</v>
      </c>
      <c r="AX148" s="85"/>
      <c r="AY148" s="84">
        <f>D148-AK148-AM148-AO148-AQ148-AS148-AU148-AW148</f>
        <v>0</v>
      </c>
      <c r="AZ148" s="85"/>
      <c r="BA148" s="84">
        <f>D148-AK148-AM148-AO148-AQ148-AS148-AU148-AW148-AY148</f>
        <v>0</v>
      </c>
      <c r="BB148" s="85"/>
      <c r="BC148" s="84">
        <f>D148-AK148-AM148-AO148-AQ148-AS148-AU148-AW148-AY148-BA148</f>
        <v>0</v>
      </c>
      <c r="BD148" s="85"/>
      <c r="BE148" s="84">
        <f>D148-AK148-AM148-AO148-AQ148-AS148-AU148-AW148-AY148-BA148-BC148</f>
        <v>0</v>
      </c>
      <c r="BF148" s="85"/>
      <c r="BG148" s="84">
        <f>D148-AK148-AM148-AO148-AQ148-AS148-AU148-AW148-AY148-BA148-BC148-BE148</f>
        <v>0</v>
      </c>
      <c r="BH148" s="81"/>
      <c r="BI148" s="214">
        <f>D148-AK148-AM148-AO148-AQ148-AS148-AU148-AW148-AY148-BA148-BC148-BE148-BG148</f>
        <v>0</v>
      </c>
    </row>
    <row r="149" spans="1:61" x14ac:dyDescent="0.35">
      <c r="A149" s="373" t="s">
        <v>760</v>
      </c>
      <c r="B149" s="180"/>
      <c r="C149" s="83">
        <v>11712.44</v>
      </c>
      <c r="D149" s="107">
        <v>11712.44</v>
      </c>
      <c r="E149" s="304">
        <f>D149</f>
        <v>11712.44</v>
      </c>
      <c r="F149" s="289"/>
      <c r="G149" s="363">
        <f t="shared" si="382"/>
        <v>0</v>
      </c>
      <c r="H149" s="287"/>
      <c r="I149" s="313">
        <f t="shared" si="383"/>
        <v>0</v>
      </c>
      <c r="J149" s="287"/>
      <c r="K149" s="288">
        <f t="shared" si="434"/>
        <v>0</v>
      </c>
      <c r="L149" s="289"/>
      <c r="M149" s="290">
        <f t="shared" si="435"/>
        <v>0</v>
      </c>
      <c r="N149" s="287"/>
      <c r="O149" s="288">
        <f t="shared" ref="O149:O152" si="953">N149/E149</f>
        <v>0</v>
      </c>
      <c r="P149" s="289"/>
      <c r="Q149" s="290">
        <f t="shared" ref="Q149:Q152" si="954">P149/E149</f>
        <v>0</v>
      </c>
      <c r="R149" s="287"/>
      <c r="S149" s="288">
        <f t="shared" ref="S149:S151" si="955">R149/E149</f>
        <v>0</v>
      </c>
      <c r="T149" s="287"/>
      <c r="U149" s="288">
        <f t="shared" ref="U149:U152" si="956">T149/E149</f>
        <v>0</v>
      </c>
      <c r="V149" s="289"/>
      <c r="W149" s="290">
        <f t="shared" ref="W149:W152" si="957">V149/E149</f>
        <v>0</v>
      </c>
      <c r="X149" s="287"/>
      <c r="Y149" s="313">
        <f t="shared" ref="Y149:Y152" si="958">X149/E149</f>
        <v>0</v>
      </c>
      <c r="Z149" s="289"/>
      <c r="AA149" s="363">
        <f t="shared" ref="AA149:AA152" si="959">Z149/E149</f>
        <v>0</v>
      </c>
      <c r="AB149" s="287"/>
      <c r="AC149" s="313">
        <f t="shared" ref="AC149:AC152" si="960">AB149/E149</f>
        <v>0</v>
      </c>
      <c r="AD149" s="289"/>
      <c r="AE149" s="363">
        <f t="shared" si="925"/>
        <v>0</v>
      </c>
      <c r="AF149" s="287"/>
      <c r="AG149" s="313">
        <f t="shared" si="926"/>
        <v>0</v>
      </c>
      <c r="AH149" s="289">
        <v>11712.44</v>
      </c>
      <c r="AI149" s="363">
        <f t="shared" ref="AI149:AI155" si="961">AH149/E149</f>
        <v>1</v>
      </c>
      <c r="AJ149" s="323">
        <f t="shared" si="927"/>
        <v>1</v>
      </c>
      <c r="AK149" s="81">
        <v>0</v>
      </c>
      <c r="AL149" s="81"/>
      <c r="AM149" s="84">
        <v>0</v>
      </c>
      <c r="AN149" s="85"/>
      <c r="AO149" s="84">
        <v>0</v>
      </c>
      <c r="AP149" s="81"/>
      <c r="AQ149" s="84">
        <v>0</v>
      </c>
      <c r="AR149" s="85"/>
      <c r="AS149" s="230">
        <f t="shared" si="932"/>
        <v>11712.44</v>
      </c>
      <c r="AT149" s="195">
        <v>11712.44</v>
      </c>
      <c r="AU149" s="84">
        <f t="shared" si="933"/>
        <v>0</v>
      </c>
      <c r="AV149" s="85"/>
      <c r="AW149" s="84">
        <f t="shared" si="934"/>
        <v>0</v>
      </c>
      <c r="AX149" s="85"/>
      <c r="AY149" s="84">
        <f t="shared" si="935"/>
        <v>0</v>
      </c>
      <c r="AZ149" s="85"/>
      <c r="BA149" s="84">
        <f t="shared" si="936"/>
        <v>0</v>
      </c>
      <c r="BB149" s="85"/>
      <c r="BC149" s="84">
        <f t="shared" si="937"/>
        <v>0</v>
      </c>
      <c r="BD149" s="85"/>
      <c r="BE149" s="84">
        <f t="shared" si="938"/>
        <v>0</v>
      </c>
      <c r="BF149" s="85"/>
      <c r="BG149" s="84">
        <f t="shared" si="939"/>
        <v>0</v>
      </c>
      <c r="BH149" s="81"/>
      <c r="BI149" s="214">
        <f t="shared" si="876"/>
        <v>0</v>
      </c>
    </row>
    <row r="150" spans="1:61" x14ac:dyDescent="0.35">
      <c r="A150" s="353" t="s">
        <v>610</v>
      </c>
      <c r="B150" s="180"/>
      <c r="C150" s="83">
        <v>4859.26</v>
      </c>
      <c r="D150" s="107">
        <v>4859.26</v>
      </c>
      <c r="E150" s="304">
        <v>4859.26</v>
      </c>
      <c r="F150" s="289"/>
      <c r="G150" s="363">
        <f t="shared" si="382"/>
        <v>0</v>
      </c>
      <c r="H150" s="287"/>
      <c r="I150" s="313">
        <f t="shared" si="383"/>
        <v>0</v>
      </c>
      <c r="J150" s="287"/>
      <c r="K150" s="288">
        <f t="shared" si="434"/>
        <v>0</v>
      </c>
      <c r="L150" s="289"/>
      <c r="M150" s="290">
        <f t="shared" si="435"/>
        <v>0</v>
      </c>
      <c r="N150" s="287"/>
      <c r="O150" s="288">
        <f t="shared" si="953"/>
        <v>0</v>
      </c>
      <c r="P150" s="289"/>
      <c r="Q150" s="290">
        <f t="shared" si="954"/>
        <v>0</v>
      </c>
      <c r="R150" s="287"/>
      <c r="S150" s="288">
        <f t="shared" si="955"/>
        <v>0</v>
      </c>
      <c r="T150" s="287"/>
      <c r="U150" s="288">
        <f t="shared" si="956"/>
        <v>0</v>
      </c>
      <c r="V150" s="289"/>
      <c r="W150" s="290">
        <f t="shared" si="957"/>
        <v>0</v>
      </c>
      <c r="X150" s="287"/>
      <c r="Y150" s="313">
        <f t="shared" si="958"/>
        <v>0</v>
      </c>
      <c r="Z150" s="289"/>
      <c r="AA150" s="363">
        <f t="shared" si="959"/>
        <v>0</v>
      </c>
      <c r="AB150" s="287"/>
      <c r="AC150" s="313">
        <f t="shared" si="960"/>
        <v>0</v>
      </c>
      <c r="AD150" s="289"/>
      <c r="AE150" s="363">
        <f t="shared" si="925"/>
        <v>0</v>
      </c>
      <c r="AF150" s="287"/>
      <c r="AG150" s="313">
        <f t="shared" si="926"/>
        <v>0</v>
      </c>
      <c r="AH150" s="289">
        <v>4859.26</v>
      </c>
      <c r="AI150" s="363">
        <f t="shared" si="961"/>
        <v>1</v>
      </c>
      <c r="AJ150" s="323">
        <f t="shared" si="927"/>
        <v>1</v>
      </c>
      <c r="AK150" s="81">
        <v>0</v>
      </c>
      <c r="AL150" s="81"/>
      <c r="AM150" s="84">
        <v>0</v>
      </c>
      <c r="AN150" s="85"/>
      <c r="AO150" s="230">
        <f>AP150</f>
        <v>3204.98</v>
      </c>
      <c r="AP150" s="195">
        <v>3204.98</v>
      </c>
      <c r="AQ150" s="84"/>
      <c r="AR150" s="85"/>
      <c r="AS150" s="84"/>
      <c r="AT150" s="81"/>
      <c r="AU150" s="230">
        <f t="shared" si="933"/>
        <v>1654.2800000000002</v>
      </c>
      <c r="AV150" s="231">
        <v>1654.28</v>
      </c>
      <c r="AW150" s="84">
        <f t="shared" si="934"/>
        <v>0</v>
      </c>
      <c r="AX150" s="85"/>
      <c r="AY150" s="84">
        <f t="shared" si="935"/>
        <v>0</v>
      </c>
      <c r="AZ150" s="85"/>
      <c r="BA150" s="84">
        <f t="shared" si="936"/>
        <v>0</v>
      </c>
      <c r="BB150" s="85"/>
      <c r="BC150" s="84">
        <f t="shared" si="937"/>
        <v>0</v>
      </c>
      <c r="BD150" s="85"/>
      <c r="BE150" s="84">
        <f t="shared" si="938"/>
        <v>0</v>
      </c>
      <c r="BF150" s="85"/>
      <c r="BG150" s="84">
        <f t="shared" si="939"/>
        <v>0</v>
      </c>
      <c r="BH150" s="81"/>
      <c r="BI150" s="214">
        <f t="shared" si="876"/>
        <v>0</v>
      </c>
    </row>
    <row r="151" spans="1:61" x14ac:dyDescent="0.35">
      <c r="A151" s="373" t="s">
        <v>715</v>
      </c>
      <c r="B151" s="180"/>
      <c r="C151" s="83"/>
      <c r="D151" s="142"/>
      <c r="E151" s="304"/>
      <c r="F151" s="289"/>
      <c r="G151" s="363" t="e">
        <f t="shared" si="382"/>
        <v>#DIV/0!</v>
      </c>
      <c r="H151" s="287"/>
      <c r="I151" s="313" t="e">
        <f t="shared" si="383"/>
        <v>#DIV/0!</v>
      </c>
      <c r="J151" s="287"/>
      <c r="K151" s="288" t="e">
        <f t="shared" si="434"/>
        <v>#DIV/0!</v>
      </c>
      <c r="L151" s="289"/>
      <c r="M151" s="290" t="e">
        <f t="shared" si="435"/>
        <v>#DIV/0!</v>
      </c>
      <c r="N151" s="287"/>
      <c r="O151" s="288" t="e">
        <f t="shared" si="953"/>
        <v>#DIV/0!</v>
      </c>
      <c r="P151" s="289"/>
      <c r="Q151" s="290" t="e">
        <f t="shared" si="954"/>
        <v>#DIV/0!</v>
      </c>
      <c r="R151" s="287"/>
      <c r="S151" s="288" t="e">
        <f t="shared" si="955"/>
        <v>#DIV/0!</v>
      </c>
      <c r="T151" s="287"/>
      <c r="U151" s="288" t="e">
        <f t="shared" si="956"/>
        <v>#DIV/0!</v>
      </c>
      <c r="V151" s="289">
        <v>756.99</v>
      </c>
      <c r="W151" s="290" t="e">
        <f t="shared" si="957"/>
        <v>#DIV/0!</v>
      </c>
      <c r="X151" s="287"/>
      <c r="Y151" s="313" t="e">
        <f t="shared" si="958"/>
        <v>#DIV/0!</v>
      </c>
      <c r="Z151" s="289"/>
      <c r="AA151" s="363" t="e">
        <f t="shared" si="959"/>
        <v>#DIV/0!</v>
      </c>
      <c r="AB151" s="287"/>
      <c r="AC151" s="313" t="e">
        <f t="shared" si="960"/>
        <v>#DIV/0!</v>
      </c>
      <c r="AD151" s="289"/>
      <c r="AE151" s="363" t="e">
        <f t="shared" si="925"/>
        <v>#DIV/0!</v>
      </c>
      <c r="AF151" s="287"/>
      <c r="AG151" s="313" t="e">
        <f t="shared" si="926"/>
        <v>#DIV/0!</v>
      </c>
      <c r="AH151" s="289"/>
      <c r="AI151" s="363" t="e">
        <f t="shared" si="961"/>
        <v>#DIV/0!</v>
      </c>
      <c r="AJ151" s="323" t="e">
        <f t="shared" si="927"/>
        <v>#DIV/0!</v>
      </c>
      <c r="AK151" s="81">
        <v>0</v>
      </c>
      <c r="AL151" s="81"/>
      <c r="AM151" s="84">
        <f t="shared" si="929"/>
        <v>0</v>
      </c>
      <c r="AN151" s="85"/>
      <c r="AO151" s="84">
        <f t="shared" si="930"/>
        <v>0</v>
      </c>
      <c r="AP151" s="81"/>
      <c r="AQ151" s="84">
        <f t="shared" si="931"/>
        <v>0</v>
      </c>
      <c r="AR151" s="85"/>
      <c r="AS151" s="84">
        <f t="shared" si="932"/>
        <v>0</v>
      </c>
      <c r="AT151" s="81"/>
      <c r="AU151" s="84">
        <f t="shared" si="933"/>
        <v>0</v>
      </c>
      <c r="AV151" s="85"/>
      <c r="AW151" s="84">
        <f t="shared" si="934"/>
        <v>0</v>
      </c>
      <c r="AX151" s="85"/>
      <c r="AY151" s="84">
        <f t="shared" si="935"/>
        <v>0</v>
      </c>
      <c r="AZ151" s="85"/>
      <c r="BA151" s="84">
        <f t="shared" si="936"/>
        <v>0</v>
      </c>
      <c r="BB151" s="85"/>
      <c r="BC151" s="84">
        <f t="shared" si="937"/>
        <v>0</v>
      </c>
      <c r="BD151" s="85"/>
      <c r="BE151" s="84">
        <f t="shared" si="938"/>
        <v>0</v>
      </c>
      <c r="BF151" s="85"/>
      <c r="BG151" s="84">
        <f t="shared" si="939"/>
        <v>0</v>
      </c>
      <c r="BH151" s="81"/>
      <c r="BI151" s="214">
        <f t="shared" si="876"/>
        <v>0</v>
      </c>
    </row>
    <row r="152" spans="1:61" x14ac:dyDescent="0.35">
      <c r="A152" s="372" t="s">
        <v>736</v>
      </c>
      <c r="B152" s="180"/>
      <c r="C152" s="83"/>
      <c r="D152" s="142">
        <v>0</v>
      </c>
      <c r="E152" s="304"/>
      <c r="F152" s="289"/>
      <c r="G152" s="363" t="e">
        <f t="shared" si="382"/>
        <v>#DIV/0!</v>
      </c>
      <c r="H152" s="287"/>
      <c r="I152" s="313" t="e">
        <f t="shared" si="383"/>
        <v>#DIV/0!</v>
      </c>
      <c r="J152" s="287"/>
      <c r="K152" s="288" t="e">
        <f t="shared" si="434"/>
        <v>#DIV/0!</v>
      </c>
      <c r="L152" s="289">
        <v>2646.46</v>
      </c>
      <c r="M152" s="290" t="e">
        <f t="shared" si="435"/>
        <v>#DIV/0!</v>
      </c>
      <c r="N152" s="287"/>
      <c r="O152" s="288" t="e">
        <f t="shared" si="953"/>
        <v>#DIV/0!</v>
      </c>
      <c r="P152" s="289"/>
      <c r="Q152" s="290" t="e">
        <f t="shared" si="954"/>
        <v>#DIV/0!</v>
      </c>
      <c r="R152" s="287"/>
      <c r="S152" s="288" t="e">
        <f>R152/E152</f>
        <v>#DIV/0!</v>
      </c>
      <c r="T152" s="287"/>
      <c r="U152" s="288" t="e">
        <f t="shared" si="956"/>
        <v>#DIV/0!</v>
      </c>
      <c r="V152" s="289"/>
      <c r="W152" s="290" t="e">
        <f t="shared" si="957"/>
        <v>#DIV/0!</v>
      </c>
      <c r="X152" s="287"/>
      <c r="Y152" s="313" t="e">
        <f t="shared" si="958"/>
        <v>#DIV/0!</v>
      </c>
      <c r="Z152" s="289"/>
      <c r="AA152" s="363" t="e">
        <f t="shared" si="959"/>
        <v>#DIV/0!</v>
      </c>
      <c r="AB152" s="287"/>
      <c r="AC152" s="313" t="e">
        <f t="shared" si="960"/>
        <v>#DIV/0!</v>
      </c>
      <c r="AD152" s="289"/>
      <c r="AE152" s="363" t="e">
        <f t="shared" si="925"/>
        <v>#DIV/0!</v>
      </c>
      <c r="AF152" s="287"/>
      <c r="AG152" s="313" t="e">
        <f t="shared" si="926"/>
        <v>#DIV/0!</v>
      </c>
      <c r="AH152" s="289"/>
      <c r="AI152" s="363" t="e">
        <f t="shared" si="961"/>
        <v>#DIV/0!</v>
      </c>
      <c r="AJ152" s="323" t="e">
        <f t="shared" si="927"/>
        <v>#DIV/0!</v>
      </c>
      <c r="AK152" s="81">
        <v>0</v>
      </c>
      <c r="AL152" s="81"/>
      <c r="AM152" s="84">
        <v>0</v>
      </c>
      <c r="AN152" s="85"/>
      <c r="AO152" s="84">
        <v>0</v>
      </c>
      <c r="AP152" s="81"/>
      <c r="AQ152" s="84">
        <f t="shared" si="931"/>
        <v>0</v>
      </c>
      <c r="AR152" s="85"/>
      <c r="AS152" s="84">
        <f t="shared" si="932"/>
        <v>0</v>
      </c>
      <c r="AT152" s="81"/>
      <c r="AU152" s="84">
        <f t="shared" si="933"/>
        <v>0</v>
      </c>
      <c r="AV152" s="85"/>
      <c r="AW152" s="84">
        <f t="shared" si="934"/>
        <v>0</v>
      </c>
      <c r="AX152" s="85"/>
      <c r="AY152" s="84">
        <f t="shared" si="935"/>
        <v>0</v>
      </c>
      <c r="AZ152" s="85"/>
      <c r="BA152" s="84">
        <f t="shared" si="936"/>
        <v>0</v>
      </c>
      <c r="BB152" s="85"/>
      <c r="BC152" s="84">
        <f t="shared" si="937"/>
        <v>0</v>
      </c>
      <c r="BD152" s="85"/>
      <c r="BE152" s="84">
        <f t="shared" si="938"/>
        <v>0</v>
      </c>
      <c r="BF152" s="85"/>
      <c r="BG152" s="84">
        <f t="shared" si="939"/>
        <v>0</v>
      </c>
      <c r="BH152" s="81"/>
      <c r="BI152" s="214">
        <f t="shared" si="876"/>
        <v>0</v>
      </c>
    </row>
    <row r="153" spans="1:61" x14ac:dyDescent="0.35">
      <c r="A153" s="372" t="s">
        <v>733</v>
      </c>
      <c r="B153" s="180"/>
      <c r="C153" s="83">
        <f>D153</f>
        <v>31831.66</v>
      </c>
      <c r="D153" s="107">
        <f>6667+24977.66+187</f>
        <v>31831.66</v>
      </c>
      <c r="E153" s="304">
        <f>D153</f>
        <v>31831.66</v>
      </c>
      <c r="F153" s="289"/>
      <c r="G153" s="363">
        <f t="shared" si="382"/>
        <v>0</v>
      </c>
      <c r="H153" s="287"/>
      <c r="I153" s="313">
        <f t="shared" si="383"/>
        <v>0</v>
      </c>
      <c r="J153" s="287"/>
      <c r="K153" s="288">
        <f t="shared" si="434"/>
        <v>0</v>
      </c>
      <c r="L153" s="289"/>
      <c r="M153" s="290">
        <f t="shared" si="435"/>
        <v>0</v>
      </c>
      <c r="N153" s="287"/>
      <c r="O153" s="288">
        <f t="shared" si="436"/>
        <v>0</v>
      </c>
      <c r="P153" s="289"/>
      <c r="Q153" s="290">
        <f t="shared" si="437"/>
        <v>0</v>
      </c>
      <c r="R153" s="287"/>
      <c r="S153" s="288">
        <f t="shared" si="43"/>
        <v>0</v>
      </c>
      <c r="T153" s="287"/>
      <c r="U153" s="288">
        <f t="shared" si="438"/>
        <v>0</v>
      </c>
      <c r="V153" s="289"/>
      <c r="W153" s="290">
        <f t="shared" si="439"/>
        <v>0</v>
      </c>
      <c r="X153" s="287"/>
      <c r="Y153" s="313">
        <f t="shared" si="440"/>
        <v>0</v>
      </c>
      <c r="Z153" s="289"/>
      <c r="AA153" s="363">
        <f t="shared" si="390"/>
        <v>0</v>
      </c>
      <c r="AB153" s="287"/>
      <c r="AC153" s="313">
        <f t="shared" si="391"/>
        <v>0</v>
      </c>
      <c r="AD153" s="289"/>
      <c r="AE153" s="363">
        <f t="shared" si="925"/>
        <v>0</v>
      </c>
      <c r="AF153" s="287">
        <v>6666.91</v>
      </c>
      <c r="AG153" s="313">
        <f t="shared" si="926"/>
        <v>0.20944273719937948</v>
      </c>
      <c r="AH153" s="289">
        <f>24977.66+5438.82</f>
        <v>30416.48</v>
      </c>
      <c r="AI153" s="363">
        <f t="shared" si="961"/>
        <v>0.95554174680176907</v>
      </c>
      <c r="AJ153" s="323">
        <f t="shared" si="927"/>
        <v>1.1649844840011485</v>
      </c>
      <c r="AK153" s="81">
        <v>0</v>
      </c>
      <c r="AL153" s="81"/>
      <c r="AM153" s="230">
        <f>AN153</f>
        <v>11982.3</v>
      </c>
      <c r="AN153" s="231">
        <v>11982.3</v>
      </c>
      <c r="AO153" s="230">
        <v>9203.33</v>
      </c>
      <c r="AP153" s="195">
        <v>9203.33</v>
      </c>
      <c r="AQ153" s="230">
        <f>AR153</f>
        <v>5666.85</v>
      </c>
      <c r="AR153" s="231">
        <v>5666.85</v>
      </c>
      <c r="AS153" s="84">
        <v>0</v>
      </c>
      <c r="AT153" s="81"/>
      <c r="AU153" s="230">
        <f>AV153</f>
        <v>4978.82</v>
      </c>
      <c r="AV153" s="231">
        <f>776.29-589.48+561.3+5172.71-942</f>
        <v>4978.82</v>
      </c>
      <c r="AW153" s="84">
        <v>0</v>
      </c>
      <c r="AX153" s="85"/>
      <c r="AY153" s="84">
        <v>0</v>
      </c>
      <c r="AZ153" s="85"/>
      <c r="BA153" s="84">
        <f t="shared" si="936"/>
        <v>0.36000000000058208</v>
      </c>
      <c r="BB153" s="85"/>
      <c r="BC153" s="84">
        <f t="shared" si="937"/>
        <v>0</v>
      </c>
      <c r="BD153" s="85"/>
      <c r="BE153" s="84">
        <f t="shared" si="938"/>
        <v>0</v>
      </c>
      <c r="BF153" s="85"/>
      <c r="BG153" s="84">
        <f t="shared" si="939"/>
        <v>0</v>
      </c>
      <c r="BH153" s="81"/>
      <c r="BI153" s="214">
        <f t="shared" si="876"/>
        <v>0</v>
      </c>
    </row>
    <row r="154" spans="1:61" x14ac:dyDescent="0.35">
      <c r="A154" s="149" t="s">
        <v>571</v>
      </c>
      <c r="B154" s="180"/>
      <c r="C154" s="83">
        <v>0</v>
      </c>
      <c r="D154" s="142">
        <f>'2022-23'!AW85</f>
        <v>0</v>
      </c>
      <c r="E154" s="304"/>
      <c r="F154" s="289"/>
      <c r="G154" s="363" t="e">
        <f>F154/E154</f>
        <v>#DIV/0!</v>
      </c>
      <c r="H154" s="287"/>
      <c r="I154" s="313" t="e">
        <f>H154/E154</f>
        <v>#DIV/0!</v>
      </c>
      <c r="J154" s="287"/>
      <c r="K154" s="288" t="e">
        <f>J154/E154</f>
        <v>#DIV/0!</v>
      </c>
      <c r="L154" s="289"/>
      <c r="M154" s="290" t="e">
        <f>L154/E154</f>
        <v>#DIV/0!</v>
      </c>
      <c r="N154" s="287"/>
      <c r="O154" s="288" t="e">
        <f>N154/E154</f>
        <v>#DIV/0!</v>
      </c>
      <c r="P154" s="289"/>
      <c r="Q154" s="290" t="e">
        <f>P154/E154</f>
        <v>#DIV/0!</v>
      </c>
      <c r="R154" s="287"/>
      <c r="S154" s="288" t="e">
        <f>R154/E154</f>
        <v>#DIV/0!</v>
      </c>
      <c r="T154" s="287"/>
      <c r="U154" s="288" t="e">
        <f>T154/E154</f>
        <v>#DIV/0!</v>
      </c>
      <c r="V154" s="289"/>
      <c r="W154" s="290" t="e">
        <f>V154/E154</f>
        <v>#DIV/0!</v>
      </c>
      <c r="X154" s="287"/>
      <c r="Y154" s="313" t="e">
        <f>X154/E154</f>
        <v>#DIV/0!</v>
      </c>
      <c r="Z154" s="289"/>
      <c r="AA154" s="363" t="e">
        <f>Z154/E154</f>
        <v>#DIV/0!</v>
      </c>
      <c r="AB154" s="287"/>
      <c r="AC154" s="313" t="e">
        <f>AB154/E154</f>
        <v>#DIV/0!</v>
      </c>
      <c r="AD154" s="289"/>
      <c r="AE154" s="363" t="e">
        <f t="shared" si="925"/>
        <v>#DIV/0!</v>
      </c>
      <c r="AF154" s="287"/>
      <c r="AG154" s="313" t="e">
        <f t="shared" si="926"/>
        <v>#DIV/0!</v>
      </c>
      <c r="AH154" s="289"/>
      <c r="AI154" s="363" t="e">
        <f t="shared" si="961"/>
        <v>#DIV/0!</v>
      </c>
      <c r="AJ154" s="323" t="e">
        <f t="shared" si="927"/>
        <v>#DIV/0!</v>
      </c>
      <c r="AK154" s="81">
        <v>0</v>
      </c>
      <c r="AL154" s="81"/>
      <c r="AM154" s="84">
        <f t="shared" si="929"/>
        <v>0</v>
      </c>
      <c r="AN154" s="85"/>
      <c r="AO154" s="84">
        <f t="shared" si="930"/>
        <v>0</v>
      </c>
      <c r="AP154" s="81"/>
      <c r="AQ154" s="84">
        <f t="shared" si="931"/>
        <v>0</v>
      </c>
      <c r="AR154" s="85"/>
      <c r="AS154" s="84">
        <f t="shared" si="932"/>
        <v>0</v>
      </c>
      <c r="AT154" s="81"/>
      <c r="AU154" s="84">
        <f t="shared" si="933"/>
        <v>0</v>
      </c>
      <c r="AV154" s="85"/>
      <c r="AW154" s="84">
        <f t="shared" si="934"/>
        <v>0</v>
      </c>
      <c r="AX154" s="85"/>
      <c r="AY154" s="84">
        <f t="shared" si="935"/>
        <v>0</v>
      </c>
      <c r="AZ154" s="85"/>
      <c r="BA154" s="84">
        <f t="shared" si="936"/>
        <v>0</v>
      </c>
      <c r="BB154" s="85"/>
      <c r="BC154" s="84">
        <f t="shared" si="937"/>
        <v>0</v>
      </c>
      <c r="BD154" s="85"/>
      <c r="BE154" s="84">
        <f t="shared" si="938"/>
        <v>0</v>
      </c>
      <c r="BF154" s="85"/>
      <c r="BG154" s="84">
        <f t="shared" si="939"/>
        <v>0</v>
      </c>
      <c r="BH154" s="81"/>
      <c r="BI154" s="214">
        <f t="shared" si="876"/>
        <v>0</v>
      </c>
    </row>
    <row r="155" spans="1:61" x14ac:dyDescent="0.35">
      <c r="A155" s="341" t="s">
        <v>570</v>
      </c>
      <c r="B155" s="180"/>
      <c r="C155" s="83">
        <f>'2021-22'!AU80</f>
        <v>0</v>
      </c>
      <c r="D155" s="142">
        <f t="shared" ref="D155" si="962">C155</f>
        <v>0</v>
      </c>
      <c r="E155" s="304"/>
      <c r="F155" s="289"/>
      <c r="G155" s="363" t="e">
        <f t="shared" si="382"/>
        <v>#DIV/0!</v>
      </c>
      <c r="H155" s="287"/>
      <c r="I155" s="313" t="e">
        <f t="shared" si="383"/>
        <v>#DIV/0!</v>
      </c>
      <c r="J155" s="287"/>
      <c r="K155" s="288" t="e">
        <f t="shared" si="434"/>
        <v>#DIV/0!</v>
      </c>
      <c r="L155" s="289"/>
      <c r="M155" s="290" t="e">
        <f t="shared" si="435"/>
        <v>#DIV/0!</v>
      </c>
      <c r="N155" s="287"/>
      <c r="O155" s="288" t="e">
        <f t="shared" si="436"/>
        <v>#DIV/0!</v>
      </c>
      <c r="P155" s="289"/>
      <c r="Q155" s="290" t="e">
        <f t="shared" si="437"/>
        <v>#DIV/0!</v>
      </c>
      <c r="R155" s="287"/>
      <c r="S155" s="288" t="e">
        <f t="shared" si="43"/>
        <v>#DIV/0!</v>
      </c>
      <c r="T155" s="287"/>
      <c r="U155" s="288" t="e">
        <f t="shared" si="438"/>
        <v>#DIV/0!</v>
      </c>
      <c r="V155" s="289"/>
      <c r="W155" s="290" t="e">
        <f t="shared" si="439"/>
        <v>#DIV/0!</v>
      </c>
      <c r="X155" s="287"/>
      <c r="Y155" s="313" t="e">
        <f t="shared" si="440"/>
        <v>#DIV/0!</v>
      </c>
      <c r="Z155" s="289"/>
      <c r="AA155" s="363" t="e">
        <f t="shared" si="390"/>
        <v>#DIV/0!</v>
      </c>
      <c r="AB155" s="287"/>
      <c r="AC155" s="313" t="e">
        <f t="shared" si="391"/>
        <v>#DIV/0!</v>
      </c>
      <c r="AD155" s="289"/>
      <c r="AE155" s="363" t="e">
        <f t="shared" si="925"/>
        <v>#DIV/0!</v>
      </c>
      <c r="AF155" s="287"/>
      <c r="AG155" s="313" t="e">
        <f t="shared" si="926"/>
        <v>#DIV/0!</v>
      </c>
      <c r="AH155" s="289"/>
      <c r="AI155" s="363" t="e">
        <f t="shared" si="961"/>
        <v>#DIV/0!</v>
      </c>
      <c r="AJ155" s="323" t="e">
        <f t="shared" si="927"/>
        <v>#DIV/0!</v>
      </c>
      <c r="AK155" s="81">
        <v>0</v>
      </c>
      <c r="AL155" s="81"/>
      <c r="AM155" s="84">
        <f>D155-AK155</f>
        <v>0</v>
      </c>
      <c r="AN155" s="85"/>
      <c r="AO155" s="84">
        <f>D155-AK155-AM155</f>
        <v>0</v>
      </c>
      <c r="AP155" s="81"/>
      <c r="AQ155" s="84">
        <f>D155-AK155-AM155-AO155</f>
        <v>0</v>
      </c>
      <c r="AR155" s="85"/>
      <c r="AS155" s="84">
        <f>D155-AK155-AM155-AO155-AQ155</f>
        <v>0</v>
      </c>
      <c r="AT155" s="81"/>
      <c r="AU155" s="84">
        <f>D155-AK155-AM155-AO155-AQ155-AS155</f>
        <v>0</v>
      </c>
      <c r="AV155" s="85"/>
      <c r="AW155" s="84">
        <f>D155-AK155-AM155-AO155-AQ155-AS155-AU155</f>
        <v>0</v>
      </c>
      <c r="AX155" s="85"/>
      <c r="AY155" s="84">
        <f>D155-AK155-AM155-AO155-AQ155-AS155-AU155-AW155</f>
        <v>0</v>
      </c>
      <c r="AZ155" s="85"/>
      <c r="BA155" s="84">
        <f>D155-AK155-AM155-AO155-AQ155-AS155-AU155-AW155-AY155</f>
        <v>0</v>
      </c>
      <c r="BB155" s="85"/>
      <c r="BC155" s="84">
        <f>D155-AK155-AM155-AO155-AQ155-AS155-AU155-AW155-AY155-BA155</f>
        <v>0</v>
      </c>
      <c r="BD155" s="85"/>
      <c r="BE155" s="84">
        <f>D155-AK155-AM155-AO155-AQ155-AS155-AU155-AW155-AY155-BA155-BC155</f>
        <v>0</v>
      </c>
      <c r="BF155" s="85"/>
      <c r="BG155" s="84">
        <f>D155-AK155-AM155-AO155-AQ155-AS155-AU155-AW155-AY155-BA155-BC155-BE155</f>
        <v>0</v>
      </c>
      <c r="BH155" s="81"/>
      <c r="BI155" s="214">
        <f t="shared" si="876"/>
        <v>0</v>
      </c>
    </row>
    <row r="156" spans="1:61" x14ac:dyDescent="0.35">
      <c r="A156" s="327"/>
      <c r="B156" s="328"/>
      <c r="C156" s="330"/>
      <c r="D156" s="330"/>
      <c r="E156" s="331"/>
      <c r="F156" s="361"/>
      <c r="G156" s="361"/>
      <c r="H156" s="332"/>
      <c r="I156" s="332"/>
      <c r="J156" s="332"/>
      <c r="K156" s="333"/>
      <c r="L156" s="332"/>
      <c r="M156" s="333"/>
      <c r="N156" s="332"/>
      <c r="O156" s="333"/>
      <c r="P156" s="332"/>
      <c r="Q156" s="333"/>
      <c r="R156" s="332"/>
      <c r="S156" s="333"/>
      <c r="T156" s="332"/>
      <c r="U156" s="333"/>
      <c r="V156" s="332"/>
      <c r="W156" s="333"/>
      <c r="X156" s="332"/>
      <c r="Y156" s="334"/>
      <c r="Z156" s="361"/>
      <c r="AA156" s="362"/>
      <c r="AB156" s="332"/>
      <c r="AC156" s="332"/>
      <c r="AD156" s="361"/>
      <c r="AE156" s="362"/>
      <c r="AF156" s="332"/>
      <c r="AG156" s="332"/>
      <c r="AH156" s="361"/>
      <c r="AI156" s="361"/>
      <c r="AJ156" s="323">
        <f t="shared" si="927"/>
        <v>0</v>
      </c>
      <c r="AK156" s="329"/>
      <c r="AL156" s="329"/>
      <c r="AM156" s="336"/>
      <c r="AN156" s="337"/>
      <c r="AO156" s="338"/>
      <c r="AP156" s="329"/>
      <c r="AQ156" s="336"/>
      <c r="AR156" s="337"/>
      <c r="AS156" s="336"/>
      <c r="AT156" s="329"/>
      <c r="AU156" s="336"/>
      <c r="AV156" s="337"/>
      <c r="AW156" s="336"/>
      <c r="AX156" s="337"/>
      <c r="AY156" s="336"/>
      <c r="AZ156" s="337"/>
      <c r="BA156" s="336"/>
      <c r="BB156" s="337"/>
      <c r="BC156" s="336"/>
      <c r="BD156" s="337"/>
      <c r="BE156" s="336"/>
      <c r="BF156" s="337"/>
      <c r="BG156" s="336"/>
      <c r="BH156" s="329"/>
      <c r="BI156" s="339"/>
    </row>
    <row r="157" spans="1:61" ht="14.25" hidden="1" customHeight="1" x14ac:dyDescent="0.35">
      <c r="A157" s="151" t="s">
        <v>534</v>
      </c>
      <c r="B157" s="180"/>
      <c r="C157" s="83">
        <f>'2020-21'!AS21</f>
        <v>0</v>
      </c>
      <c r="D157" s="107">
        <f t="shared" ref="D157:E190" si="963">C157</f>
        <v>0</v>
      </c>
      <c r="E157" s="304"/>
      <c r="F157" s="289"/>
      <c r="G157" s="363" t="e">
        <f t="shared" ref="G157:G191" si="964">F157/E157</f>
        <v>#DIV/0!</v>
      </c>
      <c r="H157" s="287"/>
      <c r="I157" s="313" t="e">
        <f t="shared" ref="I157:I191" si="965">H157/K157</f>
        <v>#DIV/0!</v>
      </c>
      <c r="J157" s="287"/>
      <c r="K157" s="288" t="e">
        <f t="shared" si="434"/>
        <v>#DIV/0!</v>
      </c>
      <c r="L157" s="289"/>
      <c r="M157" s="290" t="e">
        <f t="shared" si="435"/>
        <v>#DIV/0!</v>
      </c>
      <c r="N157" s="287"/>
      <c r="O157" s="288" t="e">
        <f t="shared" si="436"/>
        <v>#DIV/0!</v>
      </c>
      <c r="P157" s="289"/>
      <c r="Q157" s="290" t="e">
        <f t="shared" si="437"/>
        <v>#DIV/0!</v>
      </c>
      <c r="R157" s="287"/>
      <c r="S157" s="288" t="e">
        <f t="shared" ref="S157:S190" si="966">R157/C157</f>
        <v>#DIV/0!</v>
      </c>
      <c r="T157" s="287"/>
      <c r="U157" s="288" t="e">
        <f t="shared" si="438"/>
        <v>#DIV/0!</v>
      </c>
      <c r="V157" s="289"/>
      <c r="W157" s="290" t="e">
        <f t="shared" si="439"/>
        <v>#DIV/0!</v>
      </c>
      <c r="X157" s="287"/>
      <c r="Y157" s="313" t="e">
        <f t="shared" si="440"/>
        <v>#DIV/0!</v>
      </c>
      <c r="Z157" s="289"/>
      <c r="AA157" s="363" t="e">
        <f t="shared" ref="AA157:AA190" si="967">Z157/K157</f>
        <v>#DIV/0!</v>
      </c>
      <c r="AB157" s="287"/>
      <c r="AC157" s="313" t="e">
        <f t="shared" ref="AC157:AC191" si="968">AB157/E157</f>
        <v>#DIV/0!</v>
      </c>
      <c r="AD157" s="289"/>
      <c r="AE157" s="363" t="e">
        <f t="shared" ref="AE157:AE190" si="969">AD157/O157</f>
        <v>#DIV/0!</v>
      </c>
      <c r="AF157" s="287"/>
      <c r="AG157" s="313" t="e">
        <f t="shared" ref="AG157:AG191" si="970">AF157/G157</f>
        <v>#DIV/0!</v>
      </c>
      <c r="AH157" s="289"/>
      <c r="AI157" s="363" t="e">
        <f t="shared" ref="AI157:AI191" si="971">AH157/E157</f>
        <v>#DIV/0!</v>
      </c>
      <c r="AJ157" s="323" t="e">
        <f t="shared" si="927"/>
        <v>#DIV/0!</v>
      </c>
      <c r="AK157" s="81">
        <f t="shared" ref="AK157:AK190" si="972">D157</f>
        <v>0</v>
      </c>
      <c r="AL157" s="81"/>
      <c r="AM157" s="84">
        <f t="shared" ref="AM157:AM190" si="973">D157-AK157</f>
        <v>0</v>
      </c>
      <c r="AN157" s="85"/>
      <c r="AO157" s="48">
        <f t="shared" ref="AO157:AO190" si="974">D157-AK157-AM157</f>
        <v>0</v>
      </c>
      <c r="AP157" s="81"/>
      <c r="AQ157" s="84">
        <f t="shared" ref="AQ157:AQ190" si="975">D157-AK157-AM157-AO157</f>
        <v>0</v>
      </c>
      <c r="AR157" s="85"/>
      <c r="AS157" s="84">
        <f t="shared" ref="AS157:AS190" si="976">D157-AK157-AM157-AO157-AQ157</f>
        <v>0</v>
      </c>
      <c r="AT157" s="81"/>
      <c r="AU157" s="84">
        <f t="shared" ref="AU157:AU190" si="977">D157-AK157-AM157-AO157-AQ157-AS157</f>
        <v>0</v>
      </c>
      <c r="AV157" s="85"/>
      <c r="AW157" s="84">
        <f t="shared" ref="AW157:AW190" si="978">D157-AK157-AM157-AO157-AQ157-AS157-AU157</f>
        <v>0</v>
      </c>
      <c r="AX157" s="85"/>
      <c r="AY157" s="84">
        <f t="shared" ref="AY157:AY190" si="979">D157-AK157-AM157-AO157-AQ157-AS157-AU157-AW157</f>
        <v>0</v>
      </c>
      <c r="AZ157" s="85"/>
      <c r="BA157" s="84">
        <f t="shared" ref="BA157:BA190" si="980">D157-AK157-AM157-AO157-AQ157-AS157-AU157-AW157-AY157</f>
        <v>0</v>
      </c>
      <c r="BB157" s="85"/>
      <c r="BC157" s="84">
        <f t="shared" ref="BC157:BC190" si="981">D157-AK157-AM157-AO157-AQ157-AS157-AU157-AW157-AY157-BA157</f>
        <v>0</v>
      </c>
      <c r="BD157" s="85"/>
      <c r="BE157" s="84">
        <f t="shared" ref="BE157:BE190" si="982">D157-AK157-AM157-AO157-AQ157-AS157-AU157-AW157-AY157-BA157-BC157</f>
        <v>0</v>
      </c>
      <c r="BF157" s="85"/>
      <c r="BG157" s="84">
        <f t="shared" ref="BG157:BG190" si="983">D157-AK157-AM157-AO157-AQ157-AS157-AU157-AW157-AY157-BA157-BC157-BE157</f>
        <v>0</v>
      </c>
      <c r="BH157" s="81"/>
      <c r="BI157" s="214">
        <f t="shared" ref="BI157:BI190" si="984">D157-AK157-AM157-AO157-AQ157-AS157-AU157-AW157-AY157-BA157-BC157-BE157-BG157</f>
        <v>0</v>
      </c>
    </row>
    <row r="158" spans="1:61" ht="14.25" hidden="1" customHeight="1" x14ac:dyDescent="0.35">
      <c r="A158" s="151" t="s">
        <v>362</v>
      </c>
      <c r="B158" s="180"/>
      <c r="C158" s="83">
        <f>'2020-21'!AS48</f>
        <v>0</v>
      </c>
      <c r="D158" s="107">
        <f t="shared" si="963"/>
        <v>0</v>
      </c>
      <c r="E158" s="304"/>
      <c r="F158" s="289"/>
      <c r="G158" s="363" t="e">
        <f t="shared" si="964"/>
        <v>#DIV/0!</v>
      </c>
      <c r="H158" s="287"/>
      <c r="I158" s="313" t="e">
        <f t="shared" si="965"/>
        <v>#DIV/0!</v>
      </c>
      <c r="J158" s="287"/>
      <c r="K158" s="288" t="e">
        <f t="shared" si="434"/>
        <v>#DIV/0!</v>
      </c>
      <c r="L158" s="289"/>
      <c r="M158" s="290" t="e">
        <f t="shared" si="435"/>
        <v>#DIV/0!</v>
      </c>
      <c r="N158" s="287"/>
      <c r="O158" s="288" t="e">
        <f t="shared" si="436"/>
        <v>#DIV/0!</v>
      </c>
      <c r="P158" s="289"/>
      <c r="Q158" s="290" t="e">
        <f t="shared" si="437"/>
        <v>#DIV/0!</v>
      </c>
      <c r="R158" s="287"/>
      <c r="S158" s="288" t="e">
        <f t="shared" si="966"/>
        <v>#DIV/0!</v>
      </c>
      <c r="T158" s="287"/>
      <c r="U158" s="288" t="e">
        <f t="shared" si="438"/>
        <v>#DIV/0!</v>
      </c>
      <c r="V158" s="289"/>
      <c r="W158" s="290" t="e">
        <f t="shared" si="439"/>
        <v>#DIV/0!</v>
      </c>
      <c r="X158" s="287"/>
      <c r="Y158" s="313" t="e">
        <f t="shared" si="440"/>
        <v>#DIV/0!</v>
      </c>
      <c r="Z158" s="289"/>
      <c r="AA158" s="363" t="e">
        <f t="shared" si="967"/>
        <v>#DIV/0!</v>
      </c>
      <c r="AB158" s="287"/>
      <c r="AC158" s="313" t="e">
        <f t="shared" si="968"/>
        <v>#DIV/0!</v>
      </c>
      <c r="AD158" s="289"/>
      <c r="AE158" s="363" t="e">
        <f t="shared" si="969"/>
        <v>#DIV/0!</v>
      </c>
      <c r="AF158" s="287"/>
      <c r="AG158" s="313" t="e">
        <f t="shared" si="970"/>
        <v>#DIV/0!</v>
      </c>
      <c r="AH158" s="289"/>
      <c r="AI158" s="363" t="e">
        <f t="shared" si="971"/>
        <v>#DIV/0!</v>
      </c>
      <c r="AJ158" s="323" t="e">
        <f t="shared" si="927"/>
        <v>#DIV/0!</v>
      </c>
      <c r="AK158" s="81">
        <f t="shared" si="972"/>
        <v>0</v>
      </c>
      <c r="AL158" s="81"/>
      <c r="AM158" s="84">
        <f t="shared" si="973"/>
        <v>0</v>
      </c>
      <c r="AN158" s="85"/>
      <c r="AO158" s="48">
        <f t="shared" si="974"/>
        <v>0</v>
      </c>
      <c r="AP158" s="81"/>
      <c r="AQ158" s="84">
        <f t="shared" si="975"/>
        <v>0</v>
      </c>
      <c r="AR158" s="85"/>
      <c r="AS158" s="84">
        <f t="shared" si="976"/>
        <v>0</v>
      </c>
      <c r="AT158" s="81"/>
      <c r="AU158" s="84">
        <f t="shared" si="977"/>
        <v>0</v>
      </c>
      <c r="AV158" s="85"/>
      <c r="AW158" s="84">
        <f t="shared" si="978"/>
        <v>0</v>
      </c>
      <c r="AX158" s="85"/>
      <c r="AY158" s="84">
        <f t="shared" si="979"/>
        <v>0</v>
      </c>
      <c r="AZ158" s="85"/>
      <c r="BA158" s="84">
        <f t="shared" si="980"/>
        <v>0</v>
      </c>
      <c r="BB158" s="85"/>
      <c r="BC158" s="84">
        <f t="shared" si="981"/>
        <v>0</v>
      </c>
      <c r="BD158" s="85"/>
      <c r="BE158" s="84">
        <f t="shared" si="982"/>
        <v>0</v>
      </c>
      <c r="BF158" s="85"/>
      <c r="BG158" s="84">
        <f t="shared" si="983"/>
        <v>0</v>
      </c>
      <c r="BH158" s="81"/>
      <c r="BI158" s="214">
        <f t="shared" si="984"/>
        <v>0</v>
      </c>
    </row>
    <row r="159" spans="1:61" ht="14.25" hidden="1" customHeight="1" x14ac:dyDescent="0.35">
      <c r="A159" s="159" t="s">
        <v>432</v>
      </c>
      <c r="B159" s="180"/>
      <c r="C159" s="83">
        <f>'2020-21'!AS49</f>
        <v>0</v>
      </c>
      <c r="D159" s="107">
        <f t="shared" si="963"/>
        <v>0</v>
      </c>
      <c r="E159" s="304"/>
      <c r="F159" s="289"/>
      <c r="G159" s="363" t="e">
        <f t="shared" si="964"/>
        <v>#DIV/0!</v>
      </c>
      <c r="H159" s="287"/>
      <c r="I159" s="313" t="e">
        <f t="shared" si="965"/>
        <v>#DIV/0!</v>
      </c>
      <c r="J159" s="287"/>
      <c r="K159" s="288" t="e">
        <f t="shared" si="434"/>
        <v>#DIV/0!</v>
      </c>
      <c r="L159" s="289"/>
      <c r="M159" s="290" t="e">
        <f t="shared" si="435"/>
        <v>#DIV/0!</v>
      </c>
      <c r="N159" s="287"/>
      <c r="O159" s="288" t="e">
        <f t="shared" si="436"/>
        <v>#DIV/0!</v>
      </c>
      <c r="P159" s="289"/>
      <c r="Q159" s="290" t="e">
        <f t="shared" si="437"/>
        <v>#DIV/0!</v>
      </c>
      <c r="R159" s="287"/>
      <c r="S159" s="288" t="e">
        <f t="shared" si="966"/>
        <v>#DIV/0!</v>
      </c>
      <c r="T159" s="287"/>
      <c r="U159" s="288" t="e">
        <f t="shared" si="438"/>
        <v>#DIV/0!</v>
      </c>
      <c r="V159" s="289"/>
      <c r="W159" s="290" t="e">
        <f t="shared" si="439"/>
        <v>#DIV/0!</v>
      </c>
      <c r="X159" s="287"/>
      <c r="Y159" s="313" t="e">
        <f t="shared" si="440"/>
        <v>#DIV/0!</v>
      </c>
      <c r="Z159" s="289"/>
      <c r="AA159" s="363" t="e">
        <f t="shared" si="967"/>
        <v>#DIV/0!</v>
      </c>
      <c r="AB159" s="287"/>
      <c r="AC159" s="313" t="e">
        <f t="shared" si="968"/>
        <v>#DIV/0!</v>
      </c>
      <c r="AD159" s="289"/>
      <c r="AE159" s="363" t="e">
        <f t="shared" si="969"/>
        <v>#DIV/0!</v>
      </c>
      <c r="AF159" s="287"/>
      <c r="AG159" s="313" t="e">
        <f t="shared" si="970"/>
        <v>#DIV/0!</v>
      </c>
      <c r="AH159" s="289"/>
      <c r="AI159" s="363" t="e">
        <f t="shared" si="971"/>
        <v>#DIV/0!</v>
      </c>
      <c r="AJ159" s="323" t="e">
        <f t="shared" si="927"/>
        <v>#DIV/0!</v>
      </c>
      <c r="AK159" s="81">
        <f t="shared" si="972"/>
        <v>0</v>
      </c>
      <c r="AL159" s="81"/>
      <c r="AM159" s="84">
        <f t="shared" si="973"/>
        <v>0</v>
      </c>
      <c r="AN159" s="85"/>
      <c r="AO159" s="48">
        <f t="shared" si="974"/>
        <v>0</v>
      </c>
      <c r="AP159" s="81"/>
      <c r="AQ159" s="84">
        <f t="shared" si="975"/>
        <v>0</v>
      </c>
      <c r="AR159" s="85"/>
      <c r="AS159" s="84">
        <f t="shared" si="976"/>
        <v>0</v>
      </c>
      <c r="AT159" s="81"/>
      <c r="AU159" s="84">
        <f t="shared" si="977"/>
        <v>0</v>
      </c>
      <c r="AV159" s="85"/>
      <c r="AW159" s="84">
        <f t="shared" si="978"/>
        <v>0</v>
      </c>
      <c r="AX159" s="85"/>
      <c r="AY159" s="84">
        <f t="shared" si="979"/>
        <v>0</v>
      </c>
      <c r="AZ159" s="85"/>
      <c r="BA159" s="84">
        <f t="shared" si="980"/>
        <v>0</v>
      </c>
      <c r="BB159" s="85"/>
      <c r="BC159" s="84">
        <f t="shared" si="981"/>
        <v>0</v>
      </c>
      <c r="BD159" s="85"/>
      <c r="BE159" s="84">
        <f t="shared" si="982"/>
        <v>0</v>
      </c>
      <c r="BF159" s="85"/>
      <c r="BG159" s="84">
        <f t="shared" si="983"/>
        <v>0</v>
      </c>
      <c r="BH159" s="81"/>
      <c r="BI159" s="214">
        <f t="shared" si="984"/>
        <v>0</v>
      </c>
    </row>
    <row r="160" spans="1:61" ht="14.25" hidden="1" customHeight="1" x14ac:dyDescent="0.35">
      <c r="A160" s="211" t="s">
        <v>448</v>
      </c>
      <c r="B160" s="180"/>
      <c r="C160" s="83">
        <f>'2020-21'!AS50</f>
        <v>0</v>
      </c>
      <c r="D160" s="107">
        <f t="shared" si="963"/>
        <v>0</v>
      </c>
      <c r="E160" s="304"/>
      <c r="F160" s="289"/>
      <c r="G160" s="363" t="e">
        <f t="shared" si="964"/>
        <v>#DIV/0!</v>
      </c>
      <c r="H160" s="287"/>
      <c r="I160" s="313" t="e">
        <f t="shared" si="965"/>
        <v>#DIV/0!</v>
      </c>
      <c r="J160" s="287"/>
      <c r="K160" s="288" t="e">
        <f t="shared" si="434"/>
        <v>#DIV/0!</v>
      </c>
      <c r="L160" s="289"/>
      <c r="M160" s="290" t="e">
        <f t="shared" si="435"/>
        <v>#DIV/0!</v>
      </c>
      <c r="N160" s="287"/>
      <c r="O160" s="288" t="e">
        <f t="shared" si="436"/>
        <v>#DIV/0!</v>
      </c>
      <c r="P160" s="289"/>
      <c r="Q160" s="290" t="e">
        <f t="shared" si="437"/>
        <v>#DIV/0!</v>
      </c>
      <c r="R160" s="287"/>
      <c r="S160" s="288" t="e">
        <f t="shared" si="966"/>
        <v>#DIV/0!</v>
      </c>
      <c r="T160" s="287"/>
      <c r="U160" s="288" t="e">
        <f t="shared" si="438"/>
        <v>#DIV/0!</v>
      </c>
      <c r="V160" s="289"/>
      <c r="W160" s="290" t="e">
        <f t="shared" si="439"/>
        <v>#DIV/0!</v>
      </c>
      <c r="X160" s="287"/>
      <c r="Y160" s="313" t="e">
        <f t="shared" si="440"/>
        <v>#DIV/0!</v>
      </c>
      <c r="Z160" s="289"/>
      <c r="AA160" s="363" t="e">
        <f t="shared" si="967"/>
        <v>#DIV/0!</v>
      </c>
      <c r="AB160" s="287"/>
      <c r="AC160" s="313" t="e">
        <f t="shared" si="968"/>
        <v>#DIV/0!</v>
      </c>
      <c r="AD160" s="289"/>
      <c r="AE160" s="363" t="e">
        <f t="shared" si="969"/>
        <v>#DIV/0!</v>
      </c>
      <c r="AF160" s="287"/>
      <c r="AG160" s="313" t="e">
        <f t="shared" si="970"/>
        <v>#DIV/0!</v>
      </c>
      <c r="AH160" s="289"/>
      <c r="AI160" s="363" t="e">
        <f t="shared" si="971"/>
        <v>#DIV/0!</v>
      </c>
      <c r="AJ160" s="323" t="e">
        <f t="shared" si="927"/>
        <v>#DIV/0!</v>
      </c>
      <c r="AK160" s="81">
        <f t="shared" si="972"/>
        <v>0</v>
      </c>
      <c r="AL160" s="81"/>
      <c r="AM160" s="84">
        <f t="shared" si="973"/>
        <v>0</v>
      </c>
      <c r="AN160" s="85"/>
      <c r="AO160" s="48">
        <f t="shared" si="974"/>
        <v>0</v>
      </c>
      <c r="AP160" s="48"/>
      <c r="AQ160" s="84">
        <f t="shared" si="975"/>
        <v>0</v>
      </c>
      <c r="AR160" s="85"/>
      <c r="AS160" s="84">
        <f t="shared" si="976"/>
        <v>0</v>
      </c>
      <c r="AT160" s="81"/>
      <c r="AU160" s="84">
        <f t="shared" si="977"/>
        <v>0</v>
      </c>
      <c r="AV160" s="85"/>
      <c r="AW160" s="84">
        <f t="shared" si="978"/>
        <v>0</v>
      </c>
      <c r="AX160" s="85"/>
      <c r="AY160" s="84">
        <f t="shared" si="979"/>
        <v>0</v>
      </c>
      <c r="AZ160" s="85"/>
      <c r="BA160" s="84">
        <f t="shared" si="980"/>
        <v>0</v>
      </c>
      <c r="BB160" s="85"/>
      <c r="BC160" s="84">
        <f t="shared" si="981"/>
        <v>0</v>
      </c>
      <c r="BD160" s="85"/>
      <c r="BE160" s="84">
        <f t="shared" si="982"/>
        <v>0</v>
      </c>
      <c r="BF160" s="85"/>
      <c r="BG160" s="84">
        <f t="shared" si="983"/>
        <v>0</v>
      </c>
      <c r="BH160" s="81"/>
      <c r="BI160" s="214">
        <f t="shared" si="984"/>
        <v>0</v>
      </c>
    </row>
    <row r="161" spans="1:61" ht="14.25" hidden="1" customHeight="1" x14ac:dyDescent="0.35">
      <c r="A161" s="159" t="s">
        <v>404</v>
      </c>
      <c r="B161" s="180"/>
      <c r="C161" s="83">
        <f>'2020-21'!AS51</f>
        <v>0</v>
      </c>
      <c r="D161" s="107">
        <f t="shared" si="963"/>
        <v>0</v>
      </c>
      <c r="E161" s="304">
        <f t="shared" si="963"/>
        <v>0</v>
      </c>
      <c r="F161" s="289"/>
      <c r="G161" s="363" t="e">
        <f t="shared" si="964"/>
        <v>#DIV/0!</v>
      </c>
      <c r="H161" s="287"/>
      <c r="I161" s="313" t="e">
        <f t="shared" si="965"/>
        <v>#DIV/0!</v>
      </c>
      <c r="J161" s="287"/>
      <c r="K161" s="288" t="e">
        <f t="shared" si="434"/>
        <v>#DIV/0!</v>
      </c>
      <c r="L161" s="289"/>
      <c r="M161" s="290" t="e">
        <f t="shared" si="435"/>
        <v>#DIV/0!</v>
      </c>
      <c r="N161" s="287"/>
      <c r="O161" s="288" t="e">
        <f t="shared" si="436"/>
        <v>#DIV/0!</v>
      </c>
      <c r="P161" s="289"/>
      <c r="Q161" s="290" t="e">
        <f t="shared" si="437"/>
        <v>#DIV/0!</v>
      </c>
      <c r="R161" s="287"/>
      <c r="S161" s="288" t="e">
        <f t="shared" si="966"/>
        <v>#DIV/0!</v>
      </c>
      <c r="T161" s="287"/>
      <c r="U161" s="288" t="e">
        <f t="shared" si="438"/>
        <v>#DIV/0!</v>
      </c>
      <c r="V161" s="289"/>
      <c r="W161" s="290" t="e">
        <f t="shared" si="439"/>
        <v>#DIV/0!</v>
      </c>
      <c r="X161" s="287"/>
      <c r="Y161" s="313" t="e">
        <f t="shared" si="440"/>
        <v>#DIV/0!</v>
      </c>
      <c r="Z161" s="289"/>
      <c r="AA161" s="363" t="e">
        <f t="shared" si="967"/>
        <v>#DIV/0!</v>
      </c>
      <c r="AB161" s="287"/>
      <c r="AC161" s="313" t="e">
        <f t="shared" si="968"/>
        <v>#DIV/0!</v>
      </c>
      <c r="AD161" s="289"/>
      <c r="AE161" s="363" t="e">
        <f t="shared" si="969"/>
        <v>#DIV/0!</v>
      </c>
      <c r="AF161" s="287"/>
      <c r="AG161" s="313" t="e">
        <f t="shared" si="970"/>
        <v>#DIV/0!</v>
      </c>
      <c r="AH161" s="289"/>
      <c r="AI161" s="363" t="e">
        <f t="shared" si="971"/>
        <v>#DIV/0!</v>
      </c>
      <c r="AJ161" s="323" t="e">
        <f t="shared" si="927"/>
        <v>#DIV/0!</v>
      </c>
      <c r="AK161" s="81">
        <f t="shared" si="972"/>
        <v>0</v>
      </c>
      <c r="AL161" s="81"/>
      <c r="AM161" s="84">
        <f t="shared" si="973"/>
        <v>0</v>
      </c>
      <c r="AN161" s="85"/>
      <c r="AO161" s="48">
        <f t="shared" si="974"/>
        <v>0</v>
      </c>
      <c r="AP161" s="81"/>
      <c r="AQ161" s="84">
        <f t="shared" si="975"/>
        <v>0</v>
      </c>
      <c r="AR161" s="85"/>
      <c r="AS161" s="84">
        <f t="shared" si="976"/>
        <v>0</v>
      </c>
      <c r="AT161" s="81"/>
      <c r="AU161" s="84">
        <f t="shared" si="977"/>
        <v>0</v>
      </c>
      <c r="AV161" s="326"/>
      <c r="AW161" s="84">
        <f t="shared" si="978"/>
        <v>0</v>
      </c>
      <c r="AX161" s="85"/>
      <c r="AY161" s="84">
        <f t="shared" si="979"/>
        <v>0</v>
      </c>
      <c r="AZ161" s="85"/>
      <c r="BA161" s="84">
        <f t="shared" si="980"/>
        <v>0</v>
      </c>
      <c r="BB161" s="85"/>
      <c r="BC161" s="84">
        <f t="shared" si="981"/>
        <v>0</v>
      </c>
      <c r="BD161" s="85"/>
      <c r="BE161" s="84">
        <f t="shared" si="982"/>
        <v>0</v>
      </c>
      <c r="BF161" s="85"/>
      <c r="BG161" s="84">
        <f t="shared" si="983"/>
        <v>0</v>
      </c>
      <c r="BH161" s="81"/>
      <c r="BI161" s="214">
        <f t="shared" si="984"/>
        <v>0</v>
      </c>
    </row>
    <row r="162" spans="1:61" ht="14.25" hidden="1" customHeight="1" x14ac:dyDescent="0.35">
      <c r="A162" s="159" t="s">
        <v>474</v>
      </c>
      <c r="B162" s="180"/>
      <c r="C162" s="83">
        <f>'2020-21'!AS52</f>
        <v>-0.31000000000130967</v>
      </c>
      <c r="D162" s="107">
        <f t="shared" si="963"/>
        <v>-0.31000000000130967</v>
      </c>
      <c r="E162" s="304">
        <f t="shared" si="963"/>
        <v>-0.31000000000130967</v>
      </c>
      <c r="F162" s="289"/>
      <c r="G162" s="363">
        <f t="shared" si="964"/>
        <v>0</v>
      </c>
      <c r="H162" s="287"/>
      <c r="I162" s="313" t="e">
        <f t="shared" si="965"/>
        <v>#DIV/0!</v>
      </c>
      <c r="J162" s="287"/>
      <c r="K162" s="288">
        <f t="shared" si="434"/>
        <v>0</v>
      </c>
      <c r="L162" s="289"/>
      <c r="M162" s="290">
        <f t="shared" si="435"/>
        <v>0</v>
      </c>
      <c r="N162" s="287"/>
      <c r="O162" s="288">
        <f t="shared" si="436"/>
        <v>0</v>
      </c>
      <c r="P162" s="289"/>
      <c r="Q162" s="290">
        <f t="shared" si="437"/>
        <v>0</v>
      </c>
      <c r="R162" s="287"/>
      <c r="S162" s="288">
        <f t="shared" si="966"/>
        <v>0</v>
      </c>
      <c r="T162" s="287"/>
      <c r="U162" s="288">
        <f t="shared" si="438"/>
        <v>0</v>
      </c>
      <c r="V162" s="289"/>
      <c r="W162" s="290">
        <f t="shared" si="439"/>
        <v>0</v>
      </c>
      <c r="X162" s="287"/>
      <c r="Y162" s="313">
        <f t="shared" si="440"/>
        <v>0</v>
      </c>
      <c r="Z162" s="289"/>
      <c r="AA162" s="363" t="e">
        <f t="shared" si="967"/>
        <v>#DIV/0!</v>
      </c>
      <c r="AB162" s="287"/>
      <c r="AC162" s="313">
        <f t="shared" si="968"/>
        <v>0</v>
      </c>
      <c r="AD162" s="289"/>
      <c r="AE162" s="363" t="e">
        <f t="shared" si="969"/>
        <v>#DIV/0!</v>
      </c>
      <c r="AF162" s="287"/>
      <c r="AG162" s="313" t="e">
        <f t="shared" si="970"/>
        <v>#DIV/0!</v>
      </c>
      <c r="AH162" s="289"/>
      <c r="AI162" s="363">
        <f t="shared" si="971"/>
        <v>0</v>
      </c>
      <c r="AJ162" s="323" t="e">
        <f t="shared" si="927"/>
        <v>#DIV/0!</v>
      </c>
      <c r="AK162" s="81">
        <f t="shared" si="972"/>
        <v>-0.31000000000130967</v>
      </c>
      <c r="AL162" s="81"/>
      <c r="AM162" s="84">
        <f t="shared" si="973"/>
        <v>0</v>
      </c>
      <c r="AN162" s="85"/>
      <c r="AO162" s="48">
        <f t="shared" si="974"/>
        <v>0</v>
      </c>
      <c r="AP162" s="81"/>
      <c r="AQ162" s="84">
        <f t="shared" si="975"/>
        <v>0</v>
      </c>
      <c r="AR162" s="85"/>
      <c r="AS162" s="84">
        <f t="shared" si="976"/>
        <v>0</v>
      </c>
      <c r="AT162" s="81"/>
      <c r="AU162" s="84">
        <f t="shared" si="977"/>
        <v>0</v>
      </c>
      <c r="AV162" s="85"/>
      <c r="AW162" s="84">
        <f t="shared" si="978"/>
        <v>0</v>
      </c>
      <c r="AX162" s="85"/>
      <c r="AY162" s="84">
        <f t="shared" si="979"/>
        <v>0</v>
      </c>
      <c r="AZ162" s="85"/>
      <c r="BA162" s="84">
        <f t="shared" si="980"/>
        <v>0</v>
      </c>
      <c r="BB162" s="85"/>
      <c r="BC162" s="84">
        <f t="shared" si="981"/>
        <v>0</v>
      </c>
      <c r="BD162" s="85"/>
      <c r="BE162" s="84">
        <f t="shared" si="982"/>
        <v>0</v>
      </c>
      <c r="BF162" s="85"/>
      <c r="BG162" s="84">
        <f t="shared" si="983"/>
        <v>0</v>
      </c>
      <c r="BH162" s="81"/>
      <c r="BI162" s="214">
        <f t="shared" si="984"/>
        <v>0</v>
      </c>
    </row>
    <row r="163" spans="1:61" ht="14.25" hidden="1" customHeight="1" x14ac:dyDescent="0.35">
      <c r="A163" s="159" t="s">
        <v>473</v>
      </c>
      <c r="B163" s="180"/>
      <c r="C163" s="83">
        <f>'2020-21'!AS53</f>
        <v>0</v>
      </c>
      <c r="D163" s="107">
        <f t="shared" si="963"/>
        <v>0</v>
      </c>
      <c r="E163" s="304">
        <f t="shared" si="963"/>
        <v>0</v>
      </c>
      <c r="F163" s="289"/>
      <c r="G163" s="363" t="e">
        <f t="shared" si="964"/>
        <v>#DIV/0!</v>
      </c>
      <c r="H163" s="287"/>
      <c r="I163" s="313" t="e">
        <f t="shared" si="965"/>
        <v>#DIV/0!</v>
      </c>
      <c r="J163" s="287"/>
      <c r="K163" s="288" t="e">
        <f t="shared" si="434"/>
        <v>#DIV/0!</v>
      </c>
      <c r="L163" s="289"/>
      <c r="M163" s="290" t="e">
        <f t="shared" si="435"/>
        <v>#DIV/0!</v>
      </c>
      <c r="N163" s="287"/>
      <c r="O163" s="288" t="e">
        <f t="shared" si="436"/>
        <v>#DIV/0!</v>
      </c>
      <c r="P163" s="289"/>
      <c r="Q163" s="290" t="e">
        <f t="shared" si="437"/>
        <v>#DIV/0!</v>
      </c>
      <c r="R163" s="287"/>
      <c r="S163" s="288" t="e">
        <f t="shared" si="966"/>
        <v>#DIV/0!</v>
      </c>
      <c r="T163" s="287"/>
      <c r="U163" s="288" t="e">
        <f t="shared" si="438"/>
        <v>#DIV/0!</v>
      </c>
      <c r="V163" s="289"/>
      <c r="W163" s="290" t="e">
        <f t="shared" si="439"/>
        <v>#DIV/0!</v>
      </c>
      <c r="X163" s="287"/>
      <c r="Y163" s="313" t="e">
        <f t="shared" si="440"/>
        <v>#DIV/0!</v>
      </c>
      <c r="Z163" s="289"/>
      <c r="AA163" s="363" t="e">
        <f t="shared" si="967"/>
        <v>#DIV/0!</v>
      </c>
      <c r="AB163" s="287"/>
      <c r="AC163" s="313" t="e">
        <f t="shared" si="968"/>
        <v>#DIV/0!</v>
      </c>
      <c r="AD163" s="289"/>
      <c r="AE163" s="363" t="e">
        <f t="shared" si="969"/>
        <v>#DIV/0!</v>
      </c>
      <c r="AF163" s="287"/>
      <c r="AG163" s="313" t="e">
        <f t="shared" si="970"/>
        <v>#DIV/0!</v>
      </c>
      <c r="AH163" s="289"/>
      <c r="AI163" s="363" t="e">
        <f t="shared" si="971"/>
        <v>#DIV/0!</v>
      </c>
      <c r="AJ163" s="323" t="e">
        <f t="shared" si="927"/>
        <v>#DIV/0!</v>
      </c>
      <c r="AK163" s="81">
        <f t="shared" si="972"/>
        <v>0</v>
      </c>
      <c r="AL163" s="81"/>
      <c r="AM163" s="84">
        <f t="shared" si="973"/>
        <v>0</v>
      </c>
      <c r="AN163" s="85"/>
      <c r="AO163" s="48">
        <f t="shared" si="974"/>
        <v>0</v>
      </c>
      <c r="AP163" s="81"/>
      <c r="AQ163" s="84">
        <f t="shared" si="975"/>
        <v>0</v>
      </c>
      <c r="AR163" s="85"/>
      <c r="AS163" s="84">
        <f t="shared" si="976"/>
        <v>0</v>
      </c>
      <c r="AT163" s="81"/>
      <c r="AU163" s="84">
        <f t="shared" si="977"/>
        <v>0</v>
      </c>
      <c r="AV163" s="85"/>
      <c r="AW163" s="84">
        <f t="shared" si="978"/>
        <v>0</v>
      </c>
      <c r="AX163" s="85"/>
      <c r="AY163" s="84">
        <f t="shared" si="979"/>
        <v>0</v>
      </c>
      <c r="AZ163" s="85"/>
      <c r="BA163" s="84">
        <f t="shared" si="980"/>
        <v>0</v>
      </c>
      <c r="BB163" s="85"/>
      <c r="BC163" s="84">
        <f t="shared" si="981"/>
        <v>0</v>
      </c>
      <c r="BD163" s="85"/>
      <c r="BE163" s="84">
        <f t="shared" si="982"/>
        <v>0</v>
      </c>
      <c r="BF163" s="85"/>
      <c r="BG163" s="84">
        <f t="shared" si="983"/>
        <v>0</v>
      </c>
      <c r="BH163" s="81"/>
      <c r="BI163" s="214">
        <f t="shared" si="984"/>
        <v>0</v>
      </c>
    </row>
    <row r="164" spans="1:61" ht="14.25" hidden="1" customHeight="1" x14ac:dyDescent="0.35">
      <c r="A164" s="211" t="s">
        <v>445</v>
      </c>
      <c r="B164" s="180"/>
      <c r="C164" s="83">
        <f>'2020-21'!AS54</f>
        <v>0</v>
      </c>
      <c r="D164" s="107">
        <f t="shared" si="963"/>
        <v>0</v>
      </c>
      <c r="E164" s="304">
        <f t="shared" si="963"/>
        <v>0</v>
      </c>
      <c r="F164" s="289"/>
      <c r="G164" s="363" t="e">
        <f t="shared" si="964"/>
        <v>#DIV/0!</v>
      </c>
      <c r="H164" s="287"/>
      <c r="I164" s="313" t="e">
        <f t="shared" si="965"/>
        <v>#DIV/0!</v>
      </c>
      <c r="J164" s="287"/>
      <c r="K164" s="288" t="e">
        <f t="shared" si="434"/>
        <v>#DIV/0!</v>
      </c>
      <c r="L164" s="289"/>
      <c r="M164" s="290" t="e">
        <f t="shared" si="435"/>
        <v>#DIV/0!</v>
      </c>
      <c r="N164" s="287"/>
      <c r="O164" s="288" t="e">
        <f t="shared" si="436"/>
        <v>#DIV/0!</v>
      </c>
      <c r="P164" s="289"/>
      <c r="Q164" s="290" t="e">
        <f t="shared" si="437"/>
        <v>#DIV/0!</v>
      </c>
      <c r="R164" s="287"/>
      <c r="S164" s="288" t="e">
        <f t="shared" si="966"/>
        <v>#DIV/0!</v>
      </c>
      <c r="T164" s="287"/>
      <c r="U164" s="288" t="e">
        <f t="shared" si="438"/>
        <v>#DIV/0!</v>
      </c>
      <c r="V164" s="289"/>
      <c r="W164" s="290" t="e">
        <f t="shared" si="439"/>
        <v>#DIV/0!</v>
      </c>
      <c r="X164" s="287"/>
      <c r="Y164" s="313" t="e">
        <f t="shared" si="440"/>
        <v>#DIV/0!</v>
      </c>
      <c r="Z164" s="289"/>
      <c r="AA164" s="363" t="e">
        <f t="shared" si="967"/>
        <v>#DIV/0!</v>
      </c>
      <c r="AB164" s="287"/>
      <c r="AC164" s="313" t="e">
        <f t="shared" si="968"/>
        <v>#DIV/0!</v>
      </c>
      <c r="AD164" s="289"/>
      <c r="AE164" s="363" t="e">
        <f t="shared" si="969"/>
        <v>#DIV/0!</v>
      </c>
      <c r="AF164" s="287"/>
      <c r="AG164" s="313" t="e">
        <f t="shared" si="970"/>
        <v>#DIV/0!</v>
      </c>
      <c r="AH164" s="289"/>
      <c r="AI164" s="363" t="e">
        <f t="shared" si="971"/>
        <v>#DIV/0!</v>
      </c>
      <c r="AJ164" s="323" t="e">
        <f t="shared" si="927"/>
        <v>#DIV/0!</v>
      </c>
      <c r="AK164" s="81">
        <f t="shared" si="972"/>
        <v>0</v>
      </c>
      <c r="AL164" s="81"/>
      <c r="AM164" s="84">
        <f t="shared" si="973"/>
        <v>0</v>
      </c>
      <c r="AN164" s="85"/>
      <c r="AO164" s="48">
        <f t="shared" si="974"/>
        <v>0</v>
      </c>
      <c r="AP164" s="81"/>
      <c r="AQ164" s="84">
        <f t="shared" si="975"/>
        <v>0</v>
      </c>
      <c r="AR164" s="85"/>
      <c r="AS164" s="84">
        <f t="shared" si="976"/>
        <v>0</v>
      </c>
      <c r="AT164" s="81"/>
      <c r="AU164" s="84">
        <f t="shared" si="977"/>
        <v>0</v>
      </c>
      <c r="AV164" s="85"/>
      <c r="AW164" s="84">
        <f t="shared" si="978"/>
        <v>0</v>
      </c>
      <c r="AX164" s="85"/>
      <c r="AY164" s="84">
        <f t="shared" si="979"/>
        <v>0</v>
      </c>
      <c r="AZ164" s="85"/>
      <c r="BA164" s="84">
        <f t="shared" si="980"/>
        <v>0</v>
      </c>
      <c r="BB164" s="85"/>
      <c r="BC164" s="84">
        <f t="shared" si="981"/>
        <v>0</v>
      </c>
      <c r="BD164" s="85"/>
      <c r="BE164" s="84">
        <f t="shared" si="982"/>
        <v>0</v>
      </c>
      <c r="BF164" s="85"/>
      <c r="BG164" s="84">
        <f t="shared" si="983"/>
        <v>0</v>
      </c>
      <c r="BH164" s="81"/>
      <c r="BI164" s="214">
        <f t="shared" si="984"/>
        <v>0</v>
      </c>
    </row>
    <row r="165" spans="1:61" ht="14.25" hidden="1" customHeight="1" x14ac:dyDescent="0.35">
      <c r="A165" s="41" t="s">
        <v>349</v>
      </c>
      <c r="B165" s="174"/>
      <c r="C165" s="83">
        <f>'2020-21'!AS55</f>
        <v>0</v>
      </c>
      <c r="D165" s="107">
        <f t="shared" si="963"/>
        <v>0</v>
      </c>
      <c r="E165" s="304">
        <f t="shared" si="963"/>
        <v>0</v>
      </c>
      <c r="F165" s="289"/>
      <c r="G165" s="363" t="e">
        <f t="shared" si="964"/>
        <v>#DIV/0!</v>
      </c>
      <c r="H165" s="287"/>
      <c r="I165" s="313" t="e">
        <f t="shared" si="965"/>
        <v>#DIV/0!</v>
      </c>
      <c r="J165" s="287"/>
      <c r="K165" s="288" t="e">
        <f t="shared" si="434"/>
        <v>#DIV/0!</v>
      </c>
      <c r="L165" s="289"/>
      <c r="M165" s="290" t="e">
        <f t="shared" si="435"/>
        <v>#DIV/0!</v>
      </c>
      <c r="N165" s="287"/>
      <c r="O165" s="288" t="e">
        <f t="shared" si="436"/>
        <v>#DIV/0!</v>
      </c>
      <c r="P165" s="289"/>
      <c r="Q165" s="290" t="e">
        <f t="shared" si="437"/>
        <v>#DIV/0!</v>
      </c>
      <c r="R165" s="287"/>
      <c r="S165" s="288" t="e">
        <f t="shared" si="966"/>
        <v>#DIV/0!</v>
      </c>
      <c r="T165" s="287"/>
      <c r="U165" s="288" t="e">
        <f t="shared" si="438"/>
        <v>#DIV/0!</v>
      </c>
      <c r="V165" s="289"/>
      <c r="W165" s="290" t="e">
        <f t="shared" si="439"/>
        <v>#DIV/0!</v>
      </c>
      <c r="X165" s="287"/>
      <c r="Y165" s="313" t="e">
        <f t="shared" si="440"/>
        <v>#DIV/0!</v>
      </c>
      <c r="Z165" s="289"/>
      <c r="AA165" s="363" t="e">
        <f t="shared" si="967"/>
        <v>#DIV/0!</v>
      </c>
      <c r="AB165" s="287"/>
      <c r="AC165" s="313" t="e">
        <f t="shared" si="968"/>
        <v>#DIV/0!</v>
      </c>
      <c r="AD165" s="289"/>
      <c r="AE165" s="363" t="e">
        <f t="shared" si="969"/>
        <v>#DIV/0!</v>
      </c>
      <c r="AF165" s="287"/>
      <c r="AG165" s="313" t="e">
        <f t="shared" si="970"/>
        <v>#DIV/0!</v>
      </c>
      <c r="AH165" s="289"/>
      <c r="AI165" s="363" t="e">
        <f t="shared" si="971"/>
        <v>#DIV/0!</v>
      </c>
      <c r="AJ165" s="323" t="e">
        <f t="shared" si="927"/>
        <v>#DIV/0!</v>
      </c>
      <c r="AK165" s="81">
        <f t="shared" si="972"/>
        <v>0</v>
      </c>
      <c r="AL165" s="81"/>
      <c r="AM165" s="84">
        <f t="shared" si="973"/>
        <v>0</v>
      </c>
      <c r="AN165" s="85"/>
      <c r="AO165" s="48">
        <f t="shared" si="974"/>
        <v>0</v>
      </c>
      <c r="AP165" s="81"/>
      <c r="AQ165" s="84">
        <f t="shared" si="975"/>
        <v>0</v>
      </c>
      <c r="AR165" s="85"/>
      <c r="AS165" s="84">
        <f t="shared" si="976"/>
        <v>0</v>
      </c>
      <c r="AT165" s="81"/>
      <c r="AU165" s="84">
        <f t="shared" si="977"/>
        <v>0</v>
      </c>
      <c r="AV165" s="85"/>
      <c r="AW165" s="84">
        <f t="shared" si="978"/>
        <v>0</v>
      </c>
      <c r="AX165" s="85"/>
      <c r="AY165" s="84">
        <f t="shared" si="979"/>
        <v>0</v>
      </c>
      <c r="AZ165" s="85"/>
      <c r="BA165" s="84">
        <f t="shared" si="980"/>
        <v>0</v>
      </c>
      <c r="BB165" s="85"/>
      <c r="BC165" s="84">
        <f t="shared" si="981"/>
        <v>0</v>
      </c>
      <c r="BD165" s="85"/>
      <c r="BE165" s="84">
        <f t="shared" si="982"/>
        <v>0</v>
      </c>
      <c r="BF165" s="85"/>
      <c r="BG165" s="84">
        <f t="shared" si="983"/>
        <v>0</v>
      </c>
      <c r="BH165" s="81"/>
      <c r="BI165" s="214">
        <f t="shared" si="984"/>
        <v>0</v>
      </c>
    </row>
    <row r="166" spans="1:61" ht="14.25" hidden="1" customHeight="1" x14ac:dyDescent="0.35">
      <c r="A166" s="149" t="s">
        <v>395</v>
      </c>
      <c r="B166" s="180"/>
      <c r="C166" s="83">
        <f>'2020-21'!AS56</f>
        <v>0</v>
      </c>
      <c r="D166" s="107">
        <f t="shared" si="963"/>
        <v>0</v>
      </c>
      <c r="E166" s="304">
        <f t="shared" si="963"/>
        <v>0</v>
      </c>
      <c r="F166" s="289"/>
      <c r="G166" s="363" t="e">
        <f t="shared" si="964"/>
        <v>#DIV/0!</v>
      </c>
      <c r="H166" s="287"/>
      <c r="I166" s="313" t="e">
        <f t="shared" si="965"/>
        <v>#DIV/0!</v>
      </c>
      <c r="J166" s="287"/>
      <c r="K166" s="288" t="e">
        <f t="shared" si="434"/>
        <v>#DIV/0!</v>
      </c>
      <c r="L166" s="289"/>
      <c r="M166" s="290" t="e">
        <f t="shared" si="435"/>
        <v>#DIV/0!</v>
      </c>
      <c r="N166" s="287"/>
      <c r="O166" s="288" t="e">
        <f t="shared" si="436"/>
        <v>#DIV/0!</v>
      </c>
      <c r="P166" s="289"/>
      <c r="Q166" s="290" t="e">
        <f t="shared" si="437"/>
        <v>#DIV/0!</v>
      </c>
      <c r="R166" s="287"/>
      <c r="S166" s="288" t="e">
        <f t="shared" si="966"/>
        <v>#DIV/0!</v>
      </c>
      <c r="T166" s="287"/>
      <c r="U166" s="288" t="e">
        <f t="shared" si="438"/>
        <v>#DIV/0!</v>
      </c>
      <c r="V166" s="289"/>
      <c r="W166" s="290" t="e">
        <f t="shared" si="439"/>
        <v>#DIV/0!</v>
      </c>
      <c r="X166" s="287"/>
      <c r="Y166" s="313" t="e">
        <f t="shared" si="440"/>
        <v>#DIV/0!</v>
      </c>
      <c r="Z166" s="289"/>
      <c r="AA166" s="363" t="e">
        <f t="shared" si="967"/>
        <v>#DIV/0!</v>
      </c>
      <c r="AB166" s="287"/>
      <c r="AC166" s="313" t="e">
        <f t="shared" si="968"/>
        <v>#DIV/0!</v>
      </c>
      <c r="AD166" s="289"/>
      <c r="AE166" s="363" t="e">
        <f t="shared" si="969"/>
        <v>#DIV/0!</v>
      </c>
      <c r="AF166" s="287"/>
      <c r="AG166" s="313" t="e">
        <f t="shared" si="970"/>
        <v>#DIV/0!</v>
      </c>
      <c r="AH166" s="289"/>
      <c r="AI166" s="363" t="e">
        <f t="shared" si="971"/>
        <v>#DIV/0!</v>
      </c>
      <c r="AJ166" s="323" t="e">
        <f t="shared" si="927"/>
        <v>#DIV/0!</v>
      </c>
      <c r="AK166" s="81">
        <f t="shared" si="972"/>
        <v>0</v>
      </c>
      <c r="AL166" s="81"/>
      <c r="AM166" s="84">
        <f t="shared" si="973"/>
        <v>0</v>
      </c>
      <c r="AN166" s="85"/>
      <c r="AO166" s="48">
        <f t="shared" si="974"/>
        <v>0</v>
      </c>
      <c r="AP166" s="81"/>
      <c r="AQ166" s="84">
        <f t="shared" si="975"/>
        <v>0</v>
      </c>
      <c r="AR166" s="85"/>
      <c r="AS166" s="84">
        <f t="shared" si="976"/>
        <v>0</v>
      </c>
      <c r="AT166" s="81"/>
      <c r="AU166" s="84">
        <f t="shared" si="977"/>
        <v>0</v>
      </c>
      <c r="AV166" s="85"/>
      <c r="AW166" s="84">
        <f t="shared" si="978"/>
        <v>0</v>
      </c>
      <c r="AX166" s="85"/>
      <c r="AY166" s="84">
        <f t="shared" si="979"/>
        <v>0</v>
      </c>
      <c r="AZ166" s="85"/>
      <c r="BA166" s="84">
        <f t="shared" si="980"/>
        <v>0</v>
      </c>
      <c r="BB166" s="85"/>
      <c r="BC166" s="84">
        <f t="shared" si="981"/>
        <v>0</v>
      </c>
      <c r="BD166" s="85"/>
      <c r="BE166" s="84">
        <f t="shared" si="982"/>
        <v>0</v>
      </c>
      <c r="BF166" s="85"/>
      <c r="BG166" s="84">
        <f t="shared" si="983"/>
        <v>0</v>
      </c>
      <c r="BH166" s="81"/>
      <c r="BI166" s="214">
        <f t="shared" si="984"/>
        <v>0</v>
      </c>
    </row>
    <row r="167" spans="1:61" ht="14.25" hidden="1" customHeight="1" x14ac:dyDescent="0.35">
      <c r="A167" s="159" t="s">
        <v>430</v>
      </c>
      <c r="B167" s="180"/>
      <c r="C167" s="83">
        <f>'2020-21'!AS57</f>
        <v>0</v>
      </c>
      <c r="D167" s="107">
        <f t="shared" si="963"/>
        <v>0</v>
      </c>
      <c r="E167" s="304">
        <f t="shared" si="963"/>
        <v>0</v>
      </c>
      <c r="F167" s="289"/>
      <c r="G167" s="363" t="e">
        <f t="shared" si="964"/>
        <v>#DIV/0!</v>
      </c>
      <c r="H167" s="287"/>
      <c r="I167" s="313" t="e">
        <f t="shared" si="965"/>
        <v>#DIV/0!</v>
      </c>
      <c r="J167" s="287"/>
      <c r="K167" s="288" t="e">
        <f t="shared" si="434"/>
        <v>#DIV/0!</v>
      </c>
      <c r="L167" s="289"/>
      <c r="M167" s="290" t="e">
        <f t="shared" si="435"/>
        <v>#DIV/0!</v>
      </c>
      <c r="N167" s="287"/>
      <c r="O167" s="288" t="e">
        <f t="shared" si="436"/>
        <v>#DIV/0!</v>
      </c>
      <c r="P167" s="289"/>
      <c r="Q167" s="290" t="e">
        <f t="shared" si="437"/>
        <v>#DIV/0!</v>
      </c>
      <c r="R167" s="287"/>
      <c r="S167" s="288" t="e">
        <f t="shared" si="966"/>
        <v>#DIV/0!</v>
      </c>
      <c r="T167" s="287"/>
      <c r="U167" s="288" t="e">
        <f t="shared" si="438"/>
        <v>#DIV/0!</v>
      </c>
      <c r="V167" s="289"/>
      <c r="W167" s="290" t="e">
        <f t="shared" si="439"/>
        <v>#DIV/0!</v>
      </c>
      <c r="X167" s="287"/>
      <c r="Y167" s="313" t="e">
        <f t="shared" si="440"/>
        <v>#DIV/0!</v>
      </c>
      <c r="Z167" s="289"/>
      <c r="AA167" s="363" t="e">
        <f t="shared" si="967"/>
        <v>#DIV/0!</v>
      </c>
      <c r="AB167" s="287"/>
      <c r="AC167" s="313" t="e">
        <f t="shared" si="968"/>
        <v>#DIV/0!</v>
      </c>
      <c r="AD167" s="289"/>
      <c r="AE167" s="363" t="e">
        <f t="shared" si="969"/>
        <v>#DIV/0!</v>
      </c>
      <c r="AF167" s="287"/>
      <c r="AG167" s="313" t="e">
        <f t="shared" si="970"/>
        <v>#DIV/0!</v>
      </c>
      <c r="AH167" s="289"/>
      <c r="AI167" s="363" t="e">
        <f t="shared" si="971"/>
        <v>#DIV/0!</v>
      </c>
      <c r="AJ167" s="323" t="e">
        <f t="shared" si="927"/>
        <v>#DIV/0!</v>
      </c>
      <c r="AK167" s="81">
        <f t="shared" si="972"/>
        <v>0</v>
      </c>
      <c r="AL167" s="81"/>
      <c r="AM167" s="84">
        <f t="shared" si="973"/>
        <v>0</v>
      </c>
      <c r="AN167" s="85"/>
      <c r="AO167" s="48">
        <f t="shared" si="974"/>
        <v>0</v>
      </c>
      <c r="AP167" s="81"/>
      <c r="AQ167" s="84">
        <f t="shared" si="975"/>
        <v>0</v>
      </c>
      <c r="AR167" s="85"/>
      <c r="AS167" s="84">
        <f t="shared" si="976"/>
        <v>0</v>
      </c>
      <c r="AT167" s="81"/>
      <c r="AU167" s="84">
        <f t="shared" si="977"/>
        <v>0</v>
      </c>
      <c r="AV167" s="85"/>
      <c r="AW167" s="84">
        <f t="shared" si="978"/>
        <v>0</v>
      </c>
      <c r="AX167" s="85"/>
      <c r="AY167" s="84">
        <f t="shared" si="979"/>
        <v>0</v>
      </c>
      <c r="AZ167" s="85"/>
      <c r="BA167" s="84">
        <f t="shared" si="980"/>
        <v>0</v>
      </c>
      <c r="BB167" s="85"/>
      <c r="BC167" s="84">
        <f t="shared" si="981"/>
        <v>0</v>
      </c>
      <c r="BD167" s="85"/>
      <c r="BE167" s="84">
        <f t="shared" si="982"/>
        <v>0</v>
      </c>
      <c r="BF167" s="85"/>
      <c r="BG167" s="84">
        <f t="shared" si="983"/>
        <v>0</v>
      </c>
      <c r="BH167" s="81"/>
      <c r="BI167" s="214">
        <f t="shared" si="984"/>
        <v>0</v>
      </c>
    </row>
    <row r="168" spans="1:61" ht="14.25" hidden="1" customHeight="1" x14ac:dyDescent="0.35">
      <c r="A168" s="159" t="s">
        <v>429</v>
      </c>
      <c r="B168" s="180"/>
      <c r="C168" s="83">
        <f>'2020-21'!AS58</f>
        <v>0</v>
      </c>
      <c r="D168" s="107">
        <f t="shared" si="963"/>
        <v>0</v>
      </c>
      <c r="E168" s="304">
        <f t="shared" si="963"/>
        <v>0</v>
      </c>
      <c r="F168" s="289"/>
      <c r="G168" s="363" t="e">
        <f t="shared" si="964"/>
        <v>#DIV/0!</v>
      </c>
      <c r="H168" s="287"/>
      <c r="I168" s="313" t="e">
        <f t="shared" si="965"/>
        <v>#DIV/0!</v>
      </c>
      <c r="J168" s="287"/>
      <c r="K168" s="288" t="e">
        <f t="shared" ref="K168:K190" si="985">J168/E168</f>
        <v>#DIV/0!</v>
      </c>
      <c r="L168" s="289"/>
      <c r="M168" s="290" t="e">
        <f t="shared" ref="M168:M190" si="986">L168/E168</f>
        <v>#DIV/0!</v>
      </c>
      <c r="N168" s="287"/>
      <c r="O168" s="288" t="e">
        <f t="shared" ref="O168:O190" si="987">N168/E168</f>
        <v>#DIV/0!</v>
      </c>
      <c r="P168" s="289"/>
      <c r="Q168" s="290" t="e">
        <f t="shared" ref="Q168:Q190" si="988">P168/E168</f>
        <v>#DIV/0!</v>
      </c>
      <c r="R168" s="287"/>
      <c r="S168" s="288" t="e">
        <f t="shared" si="966"/>
        <v>#DIV/0!</v>
      </c>
      <c r="T168" s="287"/>
      <c r="U168" s="288" t="e">
        <f t="shared" ref="U168:U190" si="989">T168/E168</f>
        <v>#DIV/0!</v>
      </c>
      <c r="V168" s="289"/>
      <c r="W168" s="290" t="e">
        <f t="shared" ref="W168:W190" si="990">V168/E168</f>
        <v>#DIV/0!</v>
      </c>
      <c r="X168" s="287"/>
      <c r="Y168" s="313" t="e">
        <f t="shared" ref="Y168:Y190" si="991">X168/E168</f>
        <v>#DIV/0!</v>
      </c>
      <c r="Z168" s="289"/>
      <c r="AA168" s="363" t="e">
        <f t="shared" si="967"/>
        <v>#DIV/0!</v>
      </c>
      <c r="AB168" s="287"/>
      <c r="AC168" s="313" t="e">
        <f t="shared" si="968"/>
        <v>#DIV/0!</v>
      </c>
      <c r="AD168" s="289"/>
      <c r="AE168" s="363" t="e">
        <f t="shared" si="969"/>
        <v>#DIV/0!</v>
      </c>
      <c r="AF168" s="287"/>
      <c r="AG168" s="313" t="e">
        <f t="shared" si="970"/>
        <v>#DIV/0!</v>
      </c>
      <c r="AH168" s="289"/>
      <c r="AI168" s="363" t="e">
        <f t="shared" si="971"/>
        <v>#DIV/0!</v>
      </c>
      <c r="AJ168" s="323" t="e">
        <f t="shared" si="927"/>
        <v>#DIV/0!</v>
      </c>
      <c r="AK168" s="81">
        <f t="shared" si="972"/>
        <v>0</v>
      </c>
      <c r="AL168" s="81"/>
      <c r="AM168" s="84">
        <f t="shared" si="973"/>
        <v>0</v>
      </c>
      <c r="AN168" s="85"/>
      <c r="AO168" s="48">
        <f t="shared" si="974"/>
        <v>0</v>
      </c>
      <c r="AP168" s="81"/>
      <c r="AQ168" s="84">
        <f t="shared" si="975"/>
        <v>0</v>
      </c>
      <c r="AR168" s="85"/>
      <c r="AS168" s="84">
        <f t="shared" si="976"/>
        <v>0</v>
      </c>
      <c r="AT168" s="81"/>
      <c r="AU168" s="84">
        <f t="shared" si="977"/>
        <v>0</v>
      </c>
      <c r="AV168" s="85"/>
      <c r="AW168" s="84">
        <f t="shared" si="978"/>
        <v>0</v>
      </c>
      <c r="AX168" s="85"/>
      <c r="AY168" s="84">
        <f t="shared" si="979"/>
        <v>0</v>
      </c>
      <c r="AZ168" s="85"/>
      <c r="BA168" s="84">
        <f t="shared" si="980"/>
        <v>0</v>
      </c>
      <c r="BB168" s="85"/>
      <c r="BC168" s="84">
        <f t="shared" si="981"/>
        <v>0</v>
      </c>
      <c r="BD168" s="85"/>
      <c r="BE168" s="84">
        <f t="shared" si="982"/>
        <v>0</v>
      </c>
      <c r="BF168" s="85"/>
      <c r="BG168" s="84">
        <f t="shared" si="983"/>
        <v>0</v>
      </c>
      <c r="BH168" s="81"/>
      <c r="BI168" s="214">
        <f t="shared" si="984"/>
        <v>0</v>
      </c>
    </row>
    <row r="169" spans="1:61" ht="14.25" hidden="1" customHeight="1" x14ac:dyDescent="0.35">
      <c r="A169" s="159" t="s">
        <v>416</v>
      </c>
      <c r="B169" s="170"/>
      <c r="C169" s="83">
        <f>'2020-21'!AS59</f>
        <v>0</v>
      </c>
      <c r="D169" s="107">
        <f t="shared" si="963"/>
        <v>0</v>
      </c>
      <c r="E169" s="304">
        <f t="shared" si="963"/>
        <v>0</v>
      </c>
      <c r="F169" s="289"/>
      <c r="G169" s="363" t="e">
        <f t="shared" si="964"/>
        <v>#DIV/0!</v>
      </c>
      <c r="H169" s="287"/>
      <c r="I169" s="313" t="e">
        <f t="shared" si="965"/>
        <v>#DIV/0!</v>
      </c>
      <c r="J169" s="287"/>
      <c r="K169" s="288" t="e">
        <f t="shared" si="985"/>
        <v>#DIV/0!</v>
      </c>
      <c r="L169" s="289"/>
      <c r="M169" s="290" t="e">
        <f t="shared" si="986"/>
        <v>#DIV/0!</v>
      </c>
      <c r="N169" s="287"/>
      <c r="O169" s="288" t="e">
        <f t="shared" si="987"/>
        <v>#DIV/0!</v>
      </c>
      <c r="P169" s="289"/>
      <c r="Q169" s="290" t="e">
        <f t="shared" si="988"/>
        <v>#DIV/0!</v>
      </c>
      <c r="R169" s="287"/>
      <c r="S169" s="288" t="e">
        <f t="shared" si="966"/>
        <v>#DIV/0!</v>
      </c>
      <c r="T169" s="287"/>
      <c r="U169" s="288" t="e">
        <f t="shared" si="989"/>
        <v>#DIV/0!</v>
      </c>
      <c r="V169" s="289"/>
      <c r="W169" s="290" t="e">
        <f t="shared" si="990"/>
        <v>#DIV/0!</v>
      </c>
      <c r="X169" s="287"/>
      <c r="Y169" s="313" t="e">
        <f t="shared" si="991"/>
        <v>#DIV/0!</v>
      </c>
      <c r="Z169" s="289"/>
      <c r="AA169" s="363" t="e">
        <f t="shared" si="967"/>
        <v>#DIV/0!</v>
      </c>
      <c r="AB169" s="287"/>
      <c r="AC169" s="313" t="e">
        <f t="shared" si="968"/>
        <v>#DIV/0!</v>
      </c>
      <c r="AD169" s="289"/>
      <c r="AE169" s="363" t="e">
        <f t="shared" si="969"/>
        <v>#DIV/0!</v>
      </c>
      <c r="AF169" s="287"/>
      <c r="AG169" s="313" t="e">
        <f t="shared" si="970"/>
        <v>#DIV/0!</v>
      </c>
      <c r="AH169" s="289"/>
      <c r="AI169" s="363" t="e">
        <f t="shared" si="971"/>
        <v>#DIV/0!</v>
      </c>
      <c r="AJ169" s="323" t="e">
        <f t="shared" si="927"/>
        <v>#DIV/0!</v>
      </c>
      <c r="AK169" s="81">
        <f t="shared" si="972"/>
        <v>0</v>
      </c>
      <c r="AL169" s="81"/>
      <c r="AM169" s="84">
        <f t="shared" si="973"/>
        <v>0</v>
      </c>
      <c r="AN169" s="85"/>
      <c r="AO169" s="48">
        <f t="shared" si="974"/>
        <v>0</v>
      </c>
      <c r="AP169" s="81"/>
      <c r="AQ169" s="84">
        <f t="shared" si="975"/>
        <v>0</v>
      </c>
      <c r="AR169" s="85"/>
      <c r="AS169" s="84">
        <f t="shared" si="976"/>
        <v>0</v>
      </c>
      <c r="AT169" s="81"/>
      <c r="AU169" s="84">
        <f t="shared" si="977"/>
        <v>0</v>
      </c>
      <c r="AV169" s="85"/>
      <c r="AW169" s="84">
        <f t="shared" si="978"/>
        <v>0</v>
      </c>
      <c r="AX169" s="85"/>
      <c r="AY169" s="84">
        <f t="shared" si="979"/>
        <v>0</v>
      </c>
      <c r="AZ169" s="85"/>
      <c r="BA169" s="84">
        <f t="shared" si="980"/>
        <v>0</v>
      </c>
      <c r="BB169" s="85"/>
      <c r="BC169" s="84">
        <f t="shared" si="981"/>
        <v>0</v>
      </c>
      <c r="BD169" s="85"/>
      <c r="BE169" s="84">
        <f t="shared" si="982"/>
        <v>0</v>
      </c>
      <c r="BF169" s="85"/>
      <c r="BG169" s="84">
        <f t="shared" si="983"/>
        <v>0</v>
      </c>
      <c r="BH169" s="81"/>
      <c r="BI169" s="214">
        <f t="shared" si="984"/>
        <v>0</v>
      </c>
    </row>
    <row r="170" spans="1:61" ht="14.25" hidden="1" customHeight="1" x14ac:dyDescent="0.35">
      <c r="A170" s="149" t="s">
        <v>396</v>
      </c>
      <c r="B170" s="170"/>
      <c r="C170" s="83">
        <f>'2020-21'!AS60</f>
        <v>0</v>
      </c>
      <c r="D170" s="107">
        <f t="shared" si="963"/>
        <v>0</v>
      </c>
      <c r="E170" s="304">
        <f t="shared" si="963"/>
        <v>0</v>
      </c>
      <c r="F170" s="289"/>
      <c r="G170" s="363" t="e">
        <f t="shared" si="964"/>
        <v>#DIV/0!</v>
      </c>
      <c r="H170" s="287"/>
      <c r="I170" s="313" t="e">
        <f t="shared" si="965"/>
        <v>#DIV/0!</v>
      </c>
      <c r="J170" s="287"/>
      <c r="K170" s="288" t="e">
        <f t="shared" si="985"/>
        <v>#DIV/0!</v>
      </c>
      <c r="L170" s="289"/>
      <c r="M170" s="290" t="e">
        <f t="shared" si="986"/>
        <v>#DIV/0!</v>
      </c>
      <c r="N170" s="287"/>
      <c r="O170" s="288" t="e">
        <f t="shared" si="987"/>
        <v>#DIV/0!</v>
      </c>
      <c r="P170" s="289"/>
      <c r="Q170" s="290" t="e">
        <f t="shared" si="988"/>
        <v>#DIV/0!</v>
      </c>
      <c r="R170" s="287"/>
      <c r="S170" s="288" t="e">
        <f t="shared" si="966"/>
        <v>#DIV/0!</v>
      </c>
      <c r="T170" s="287"/>
      <c r="U170" s="288" t="e">
        <f t="shared" si="989"/>
        <v>#DIV/0!</v>
      </c>
      <c r="V170" s="289"/>
      <c r="W170" s="290" t="e">
        <f t="shared" si="990"/>
        <v>#DIV/0!</v>
      </c>
      <c r="X170" s="287"/>
      <c r="Y170" s="313" t="e">
        <f t="shared" si="991"/>
        <v>#DIV/0!</v>
      </c>
      <c r="Z170" s="289"/>
      <c r="AA170" s="363" t="e">
        <f t="shared" si="967"/>
        <v>#DIV/0!</v>
      </c>
      <c r="AB170" s="287"/>
      <c r="AC170" s="313" t="e">
        <f t="shared" si="968"/>
        <v>#DIV/0!</v>
      </c>
      <c r="AD170" s="289"/>
      <c r="AE170" s="363" t="e">
        <f t="shared" si="969"/>
        <v>#DIV/0!</v>
      </c>
      <c r="AF170" s="287"/>
      <c r="AG170" s="313" t="e">
        <f t="shared" si="970"/>
        <v>#DIV/0!</v>
      </c>
      <c r="AH170" s="289"/>
      <c r="AI170" s="363" t="e">
        <f t="shared" si="971"/>
        <v>#DIV/0!</v>
      </c>
      <c r="AJ170" s="323" t="e">
        <f t="shared" si="927"/>
        <v>#DIV/0!</v>
      </c>
      <c r="AK170" s="81">
        <f t="shared" si="972"/>
        <v>0</v>
      </c>
      <c r="AL170" s="81"/>
      <c r="AM170" s="84">
        <f t="shared" si="973"/>
        <v>0</v>
      </c>
      <c r="AN170" s="85"/>
      <c r="AO170" s="48">
        <f t="shared" si="974"/>
        <v>0</v>
      </c>
      <c r="AP170" s="81"/>
      <c r="AQ170" s="84">
        <f t="shared" si="975"/>
        <v>0</v>
      </c>
      <c r="AR170" s="85"/>
      <c r="AS170" s="84">
        <f t="shared" si="976"/>
        <v>0</v>
      </c>
      <c r="AT170" s="81"/>
      <c r="AU170" s="84">
        <f t="shared" si="977"/>
        <v>0</v>
      </c>
      <c r="AV170" s="85"/>
      <c r="AW170" s="84">
        <f t="shared" si="978"/>
        <v>0</v>
      </c>
      <c r="AX170" s="85"/>
      <c r="AY170" s="84">
        <f t="shared" si="979"/>
        <v>0</v>
      </c>
      <c r="AZ170" s="85"/>
      <c r="BA170" s="84">
        <f t="shared" si="980"/>
        <v>0</v>
      </c>
      <c r="BB170" s="85"/>
      <c r="BC170" s="84">
        <f t="shared" si="981"/>
        <v>0</v>
      </c>
      <c r="BD170" s="85"/>
      <c r="BE170" s="84">
        <f t="shared" si="982"/>
        <v>0</v>
      </c>
      <c r="BF170" s="85"/>
      <c r="BG170" s="84">
        <f t="shared" si="983"/>
        <v>0</v>
      </c>
      <c r="BH170" s="81"/>
      <c r="BI170" s="214">
        <f t="shared" si="984"/>
        <v>0</v>
      </c>
    </row>
    <row r="171" spans="1:61" ht="14.25" hidden="1" customHeight="1" x14ac:dyDescent="0.35">
      <c r="A171" s="159" t="s">
        <v>382</v>
      </c>
      <c r="B171" s="170"/>
      <c r="C171" s="83">
        <f>'2020-21'!AS61</f>
        <v>0</v>
      </c>
      <c r="D171" s="107">
        <f t="shared" si="963"/>
        <v>0</v>
      </c>
      <c r="E171" s="304">
        <f t="shared" si="963"/>
        <v>0</v>
      </c>
      <c r="F171" s="289"/>
      <c r="G171" s="363" t="e">
        <f t="shared" si="964"/>
        <v>#DIV/0!</v>
      </c>
      <c r="H171" s="287"/>
      <c r="I171" s="313" t="e">
        <f t="shared" si="965"/>
        <v>#DIV/0!</v>
      </c>
      <c r="J171" s="287"/>
      <c r="K171" s="288" t="e">
        <f t="shared" si="985"/>
        <v>#DIV/0!</v>
      </c>
      <c r="L171" s="289"/>
      <c r="M171" s="290" t="e">
        <f t="shared" si="986"/>
        <v>#DIV/0!</v>
      </c>
      <c r="N171" s="287"/>
      <c r="O171" s="288" t="e">
        <f t="shared" si="987"/>
        <v>#DIV/0!</v>
      </c>
      <c r="P171" s="289"/>
      <c r="Q171" s="290" t="e">
        <f t="shared" si="988"/>
        <v>#DIV/0!</v>
      </c>
      <c r="R171" s="287"/>
      <c r="S171" s="288" t="e">
        <f t="shared" si="966"/>
        <v>#DIV/0!</v>
      </c>
      <c r="T171" s="287"/>
      <c r="U171" s="288" t="e">
        <f t="shared" si="989"/>
        <v>#DIV/0!</v>
      </c>
      <c r="V171" s="289"/>
      <c r="W171" s="290" t="e">
        <f t="shared" si="990"/>
        <v>#DIV/0!</v>
      </c>
      <c r="X171" s="287"/>
      <c r="Y171" s="313" t="e">
        <f t="shared" si="991"/>
        <v>#DIV/0!</v>
      </c>
      <c r="Z171" s="289"/>
      <c r="AA171" s="363" t="e">
        <f t="shared" si="967"/>
        <v>#DIV/0!</v>
      </c>
      <c r="AB171" s="287"/>
      <c r="AC171" s="313" t="e">
        <f t="shared" si="968"/>
        <v>#DIV/0!</v>
      </c>
      <c r="AD171" s="289"/>
      <c r="AE171" s="363" t="e">
        <f t="shared" si="969"/>
        <v>#DIV/0!</v>
      </c>
      <c r="AF171" s="287"/>
      <c r="AG171" s="313" t="e">
        <f t="shared" si="970"/>
        <v>#DIV/0!</v>
      </c>
      <c r="AH171" s="289"/>
      <c r="AI171" s="363" t="e">
        <f t="shared" si="971"/>
        <v>#DIV/0!</v>
      </c>
      <c r="AJ171" s="323" t="e">
        <f t="shared" si="927"/>
        <v>#DIV/0!</v>
      </c>
      <c r="AK171" s="81">
        <f t="shared" si="972"/>
        <v>0</v>
      </c>
      <c r="AL171" s="81"/>
      <c r="AM171" s="84">
        <f t="shared" si="973"/>
        <v>0</v>
      </c>
      <c r="AN171" s="85"/>
      <c r="AO171" s="48">
        <f t="shared" si="974"/>
        <v>0</v>
      </c>
      <c r="AP171" s="81"/>
      <c r="AQ171" s="84">
        <f t="shared" si="975"/>
        <v>0</v>
      </c>
      <c r="AR171" s="85"/>
      <c r="AS171" s="84">
        <f t="shared" si="976"/>
        <v>0</v>
      </c>
      <c r="AT171" s="81"/>
      <c r="AU171" s="84">
        <f t="shared" si="977"/>
        <v>0</v>
      </c>
      <c r="AV171" s="85"/>
      <c r="AW171" s="84">
        <f t="shared" si="978"/>
        <v>0</v>
      </c>
      <c r="AX171" s="85"/>
      <c r="AY171" s="84">
        <f t="shared" si="979"/>
        <v>0</v>
      </c>
      <c r="AZ171" s="85"/>
      <c r="BA171" s="84">
        <f t="shared" si="980"/>
        <v>0</v>
      </c>
      <c r="BB171" s="85"/>
      <c r="BC171" s="84">
        <f t="shared" si="981"/>
        <v>0</v>
      </c>
      <c r="BD171" s="85"/>
      <c r="BE171" s="84">
        <f t="shared" si="982"/>
        <v>0</v>
      </c>
      <c r="BF171" s="85"/>
      <c r="BG171" s="84">
        <f t="shared" si="983"/>
        <v>0</v>
      </c>
      <c r="BH171" s="81"/>
      <c r="BI171" s="214">
        <f t="shared" si="984"/>
        <v>0</v>
      </c>
    </row>
    <row r="172" spans="1:61" ht="14.25" hidden="1" customHeight="1" x14ac:dyDescent="0.35">
      <c r="A172" s="160" t="s">
        <v>433</v>
      </c>
      <c r="B172" s="170"/>
      <c r="C172" s="83">
        <f>'2020-21'!AS62</f>
        <v>0</v>
      </c>
      <c r="D172" s="107">
        <f t="shared" si="963"/>
        <v>0</v>
      </c>
      <c r="E172" s="304">
        <f t="shared" si="963"/>
        <v>0</v>
      </c>
      <c r="F172" s="289"/>
      <c r="G172" s="363" t="e">
        <f t="shared" si="964"/>
        <v>#DIV/0!</v>
      </c>
      <c r="H172" s="287"/>
      <c r="I172" s="313" t="e">
        <f t="shared" si="965"/>
        <v>#DIV/0!</v>
      </c>
      <c r="J172" s="287"/>
      <c r="K172" s="288" t="e">
        <f t="shared" si="985"/>
        <v>#DIV/0!</v>
      </c>
      <c r="L172" s="289"/>
      <c r="M172" s="290" t="e">
        <f t="shared" si="986"/>
        <v>#DIV/0!</v>
      </c>
      <c r="N172" s="287"/>
      <c r="O172" s="288" t="e">
        <f t="shared" si="987"/>
        <v>#DIV/0!</v>
      </c>
      <c r="P172" s="289"/>
      <c r="Q172" s="290" t="e">
        <f t="shared" si="988"/>
        <v>#DIV/0!</v>
      </c>
      <c r="R172" s="287"/>
      <c r="S172" s="288" t="e">
        <f t="shared" si="966"/>
        <v>#DIV/0!</v>
      </c>
      <c r="T172" s="287"/>
      <c r="U172" s="288" t="e">
        <f t="shared" si="989"/>
        <v>#DIV/0!</v>
      </c>
      <c r="V172" s="289"/>
      <c r="W172" s="290" t="e">
        <f t="shared" si="990"/>
        <v>#DIV/0!</v>
      </c>
      <c r="X172" s="287"/>
      <c r="Y172" s="313" t="e">
        <f t="shared" si="991"/>
        <v>#DIV/0!</v>
      </c>
      <c r="Z172" s="289"/>
      <c r="AA172" s="363" t="e">
        <f t="shared" si="967"/>
        <v>#DIV/0!</v>
      </c>
      <c r="AB172" s="287"/>
      <c r="AC172" s="313" t="e">
        <f t="shared" si="968"/>
        <v>#DIV/0!</v>
      </c>
      <c r="AD172" s="289"/>
      <c r="AE172" s="363" t="e">
        <f t="shared" si="969"/>
        <v>#DIV/0!</v>
      </c>
      <c r="AF172" s="287"/>
      <c r="AG172" s="313" t="e">
        <f t="shared" si="970"/>
        <v>#DIV/0!</v>
      </c>
      <c r="AH172" s="289"/>
      <c r="AI172" s="363" t="e">
        <f t="shared" si="971"/>
        <v>#DIV/0!</v>
      </c>
      <c r="AJ172" s="323" t="e">
        <f t="shared" si="927"/>
        <v>#DIV/0!</v>
      </c>
      <c r="AK172" s="81">
        <f t="shared" si="972"/>
        <v>0</v>
      </c>
      <c r="AL172" s="81"/>
      <c r="AM172" s="84">
        <f t="shared" si="973"/>
        <v>0</v>
      </c>
      <c r="AN172" s="85"/>
      <c r="AO172" s="48">
        <f t="shared" si="974"/>
        <v>0</v>
      </c>
      <c r="AP172" s="81"/>
      <c r="AQ172" s="84">
        <f t="shared" si="975"/>
        <v>0</v>
      </c>
      <c r="AR172" s="85"/>
      <c r="AS172" s="84">
        <f t="shared" si="976"/>
        <v>0</v>
      </c>
      <c r="AT172" s="81"/>
      <c r="AU172" s="84">
        <f t="shared" si="977"/>
        <v>0</v>
      </c>
      <c r="AV172" s="85"/>
      <c r="AW172" s="84">
        <f t="shared" si="978"/>
        <v>0</v>
      </c>
      <c r="AX172" s="85"/>
      <c r="AY172" s="84">
        <f t="shared" si="979"/>
        <v>0</v>
      </c>
      <c r="AZ172" s="85"/>
      <c r="BA172" s="84">
        <f t="shared" si="980"/>
        <v>0</v>
      </c>
      <c r="BB172" s="85"/>
      <c r="BC172" s="84">
        <f t="shared" si="981"/>
        <v>0</v>
      </c>
      <c r="BD172" s="85"/>
      <c r="BE172" s="84">
        <f t="shared" si="982"/>
        <v>0</v>
      </c>
      <c r="BF172" s="85"/>
      <c r="BG172" s="84">
        <f t="shared" si="983"/>
        <v>0</v>
      </c>
      <c r="BH172" s="81"/>
      <c r="BI172" s="214">
        <f t="shared" si="984"/>
        <v>0</v>
      </c>
    </row>
    <row r="173" spans="1:61" ht="14.25" hidden="1" customHeight="1" x14ac:dyDescent="0.35">
      <c r="A173" s="100" t="s">
        <v>356</v>
      </c>
      <c r="B173" s="172"/>
      <c r="C173" s="83">
        <f>'2020-21'!AS63</f>
        <v>0</v>
      </c>
      <c r="D173" s="107">
        <f t="shared" si="963"/>
        <v>0</v>
      </c>
      <c r="E173" s="304">
        <f t="shared" si="963"/>
        <v>0</v>
      </c>
      <c r="F173" s="289"/>
      <c r="G173" s="363" t="e">
        <f t="shared" si="964"/>
        <v>#DIV/0!</v>
      </c>
      <c r="H173" s="287"/>
      <c r="I173" s="313" t="e">
        <f t="shared" si="965"/>
        <v>#DIV/0!</v>
      </c>
      <c r="J173" s="287"/>
      <c r="K173" s="288" t="e">
        <f t="shared" si="985"/>
        <v>#DIV/0!</v>
      </c>
      <c r="L173" s="289"/>
      <c r="M173" s="290" t="e">
        <f t="shared" si="986"/>
        <v>#DIV/0!</v>
      </c>
      <c r="N173" s="287"/>
      <c r="O173" s="288" t="e">
        <f t="shared" si="987"/>
        <v>#DIV/0!</v>
      </c>
      <c r="P173" s="289"/>
      <c r="Q173" s="290" t="e">
        <f t="shared" si="988"/>
        <v>#DIV/0!</v>
      </c>
      <c r="R173" s="287"/>
      <c r="S173" s="288" t="e">
        <f t="shared" si="966"/>
        <v>#DIV/0!</v>
      </c>
      <c r="T173" s="287"/>
      <c r="U173" s="288" t="e">
        <f t="shared" si="989"/>
        <v>#DIV/0!</v>
      </c>
      <c r="V173" s="289"/>
      <c r="W173" s="290" t="e">
        <f t="shared" si="990"/>
        <v>#DIV/0!</v>
      </c>
      <c r="X173" s="287"/>
      <c r="Y173" s="313" t="e">
        <f t="shared" si="991"/>
        <v>#DIV/0!</v>
      </c>
      <c r="Z173" s="289"/>
      <c r="AA173" s="363" t="e">
        <f t="shared" si="967"/>
        <v>#DIV/0!</v>
      </c>
      <c r="AB173" s="287"/>
      <c r="AC173" s="313" t="e">
        <f t="shared" si="968"/>
        <v>#DIV/0!</v>
      </c>
      <c r="AD173" s="289"/>
      <c r="AE173" s="363" t="e">
        <f t="shared" si="969"/>
        <v>#DIV/0!</v>
      </c>
      <c r="AF173" s="287"/>
      <c r="AG173" s="313" t="e">
        <f t="shared" si="970"/>
        <v>#DIV/0!</v>
      </c>
      <c r="AH173" s="289"/>
      <c r="AI173" s="363" t="e">
        <f t="shared" si="971"/>
        <v>#DIV/0!</v>
      </c>
      <c r="AJ173" s="323" t="e">
        <f t="shared" si="927"/>
        <v>#DIV/0!</v>
      </c>
      <c r="AK173" s="81">
        <f t="shared" si="972"/>
        <v>0</v>
      </c>
      <c r="AL173" s="81"/>
      <c r="AM173" s="84">
        <f t="shared" si="973"/>
        <v>0</v>
      </c>
      <c r="AN173" s="85"/>
      <c r="AO173" s="48">
        <f t="shared" si="974"/>
        <v>0</v>
      </c>
      <c r="AP173" s="81"/>
      <c r="AQ173" s="84">
        <f t="shared" si="975"/>
        <v>0</v>
      </c>
      <c r="AR173" s="85"/>
      <c r="AS173" s="84">
        <f t="shared" si="976"/>
        <v>0</v>
      </c>
      <c r="AT173" s="81"/>
      <c r="AU173" s="84">
        <f t="shared" si="977"/>
        <v>0</v>
      </c>
      <c r="AV173" s="85"/>
      <c r="AW173" s="84">
        <f t="shared" si="978"/>
        <v>0</v>
      </c>
      <c r="AX173" s="85"/>
      <c r="AY173" s="84">
        <f t="shared" si="979"/>
        <v>0</v>
      </c>
      <c r="AZ173" s="85"/>
      <c r="BA173" s="84">
        <f t="shared" si="980"/>
        <v>0</v>
      </c>
      <c r="BB173" s="85"/>
      <c r="BC173" s="84">
        <f t="shared" si="981"/>
        <v>0</v>
      </c>
      <c r="BD173" s="85"/>
      <c r="BE173" s="84">
        <f t="shared" si="982"/>
        <v>0</v>
      </c>
      <c r="BF173" s="85"/>
      <c r="BG173" s="84">
        <f t="shared" si="983"/>
        <v>0</v>
      </c>
      <c r="BH173" s="81"/>
      <c r="BI173" s="214">
        <f t="shared" si="984"/>
        <v>0</v>
      </c>
    </row>
    <row r="174" spans="1:61" ht="14.25" hidden="1" customHeight="1" x14ac:dyDescent="0.35">
      <c r="A174" s="160" t="s">
        <v>423</v>
      </c>
      <c r="B174" s="170"/>
      <c r="C174" s="83">
        <f>'2020-21'!AS64</f>
        <v>0</v>
      </c>
      <c r="D174" s="107">
        <f t="shared" si="963"/>
        <v>0</v>
      </c>
      <c r="E174" s="304">
        <f t="shared" si="963"/>
        <v>0</v>
      </c>
      <c r="F174" s="289"/>
      <c r="G174" s="363" t="e">
        <f t="shared" si="964"/>
        <v>#DIV/0!</v>
      </c>
      <c r="H174" s="287"/>
      <c r="I174" s="313" t="e">
        <f t="shared" si="965"/>
        <v>#DIV/0!</v>
      </c>
      <c r="J174" s="287"/>
      <c r="K174" s="288" t="e">
        <f t="shared" si="985"/>
        <v>#DIV/0!</v>
      </c>
      <c r="L174" s="289"/>
      <c r="M174" s="290" t="e">
        <f t="shared" si="986"/>
        <v>#DIV/0!</v>
      </c>
      <c r="N174" s="287"/>
      <c r="O174" s="288" t="e">
        <f t="shared" si="987"/>
        <v>#DIV/0!</v>
      </c>
      <c r="P174" s="289"/>
      <c r="Q174" s="290" t="e">
        <f t="shared" si="988"/>
        <v>#DIV/0!</v>
      </c>
      <c r="R174" s="287"/>
      <c r="S174" s="288" t="e">
        <f t="shared" si="966"/>
        <v>#DIV/0!</v>
      </c>
      <c r="T174" s="287"/>
      <c r="U174" s="288" t="e">
        <f t="shared" si="989"/>
        <v>#DIV/0!</v>
      </c>
      <c r="V174" s="289"/>
      <c r="W174" s="290" t="e">
        <f t="shared" si="990"/>
        <v>#DIV/0!</v>
      </c>
      <c r="X174" s="287"/>
      <c r="Y174" s="313" t="e">
        <f t="shared" si="991"/>
        <v>#DIV/0!</v>
      </c>
      <c r="Z174" s="289"/>
      <c r="AA174" s="363" t="e">
        <f t="shared" si="967"/>
        <v>#DIV/0!</v>
      </c>
      <c r="AB174" s="287"/>
      <c r="AC174" s="313" t="e">
        <f t="shared" si="968"/>
        <v>#DIV/0!</v>
      </c>
      <c r="AD174" s="289"/>
      <c r="AE174" s="363" t="e">
        <f t="shared" si="969"/>
        <v>#DIV/0!</v>
      </c>
      <c r="AF174" s="287"/>
      <c r="AG174" s="313" t="e">
        <f t="shared" si="970"/>
        <v>#DIV/0!</v>
      </c>
      <c r="AH174" s="289"/>
      <c r="AI174" s="363" t="e">
        <f t="shared" si="971"/>
        <v>#DIV/0!</v>
      </c>
      <c r="AJ174" s="323" t="e">
        <f t="shared" si="927"/>
        <v>#DIV/0!</v>
      </c>
      <c r="AK174" s="81">
        <f t="shared" si="972"/>
        <v>0</v>
      </c>
      <c r="AL174" s="81"/>
      <c r="AM174" s="84">
        <f t="shared" si="973"/>
        <v>0</v>
      </c>
      <c r="AN174" s="85"/>
      <c r="AO174" s="48">
        <f t="shared" si="974"/>
        <v>0</v>
      </c>
      <c r="AP174" s="81"/>
      <c r="AQ174" s="84">
        <f t="shared" si="975"/>
        <v>0</v>
      </c>
      <c r="AR174" s="85"/>
      <c r="AS174" s="84">
        <f t="shared" si="976"/>
        <v>0</v>
      </c>
      <c r="AT174" s="81"/>
      <c r="AU174" s="84">
        <f t="shared" si="977"/>
        <v>0</v>
      </c>
      <c r="AV174" s="85"/>
      <c r="AW174" s="84">
        <f t="shared" si="978"/>
        <v>0</v>
      </c>
      <c r="AX174" s="85"/>
      <c r="AY174" s="84">
        <f t="shared" si="979"/>
        <v>0</v>
      </c>
      <c r="AZ174" s="85"/>
      <c r="BA174" s="84">
        <f t="shared" si="980"/>
        <v>0</v>
      </c>
      <c r="BB174" s="85"/>
      <c r="BC174" s="84">
        <f t="shared" si="981"/>
        <v>0</v>
      </c>
      <c r="BD174" s="85"/>
      <c r="BE174" s="84">
        <f t="shared" si="982"/>
        <v>0</v>
      </c>
      <c r="BF174" s="85"/>
      <c r="BG174" s="84">
        <f t="shared" si="983"/>
        <v>0</v>
      </c>
      <c r="BH174" s="81"/>
      <c r="BI174" s="214">
        <f t="shared" si="984"/>
        <v>0</v>
      </c>
    </row>
    <row r="175" spans="1:61" ht="14.25" hidden="1" customHeight="1" x14ac:dyDescent="0.35">
      <c r="A175" s="151" t="s">
        <v>421</v>
      </c>
      <c r="B175" s="170"/>
      <c r="C175" s="83">
        <f>'2020-21'!AS65</f>
        <v>0</v>
      </c>
      <c r="D175" s="107">
        <f t="shared" si="963"/>
        <v>0</v>
      </c>
      <c r="E175" s="304">
        <f t="shared" si="963"/>
        <v>0</v>
      </c>
      <c r="F175" s="289"/>
      <c r="G175" s="363" t="e">
        <f t="shared" si="964"/>
        <v>#DIV/0!</v>
      </c>
      <c r="H175" s="287"/>
      <c r="I175" s="313" t="e">
        <f t="shared" si="965"/>
        <v>#DIV/0!</v>
      </c>
      <c r="J175" s="287"/>
      <c r="K175" s="288" t="e">
        <f t="shared" si="985"/>
        <v>#DIV/0!</v>
      </c>
      <c r="L175" s="289"/>
      <c r="M175" s="290" t="e">
        <f t="shared" si="986"/>
        <v>#DIV/0!</v>
      </c>
      <c r="N175" s="287"/>
      <c r="O175" s="288" t="e">
        <f t="shared" si="987"/>
        <v>#DIV/0!</v>
      </c>
      <c r="P175" s="289"/>
      <c r="Q175" s="290" t="e">
        <f t="shared" si="988"/>
        <v>#DIV/0!</v>
      </c>
      <c r="R175" s="287"/>
      <c r="S175" s="288" t="e">
        <f t="shared" si="966"/>
        <v>#DIV/0!</v>
      </c>
      <c r="T175" s="287"/>
      <c r="U175" s="288" t="e">
        <f t="shared" si="989"/>
        <v>#DIV/0!</v>
      </c>
      <c r="V175" s="289"/>
      <c r="W175" s="290" t="e">
        <f t="shared" si="990"/>
        <v>#DIV/0!</v>
      </c>
      <c r="X175" s="287"/>
      <c r="Y175" s="313" t="e">
        <f t="shared" si="991"/>
        <v>#DIV/0!</v>
      </c>
      <c r="Z175" s="289"/>
      <c r="AA175" s="363" t="e">
        <f t="shared" si="967"/>
        <v>#DIV/0!</v>
      </c>
      <c r="AB175" s="287"/>
      <c r="AC175" s="313" t="e">
        <f t="shared" si="968"/>
        <v>#DIV/0!</v>
      </c>
      <c r="AD175" s="289"/>
      <c r="AE175" s="363" t="e">
        <f t="shared" si="969"/>
        <v>#DIV/0!</v>
      </c>
      <c r="AF175" s="287"/>
      <c r="AG175" s="313" t="e">
        <f t="shared" si="970"/>
        <v>#DIV/0!</v>
      </c>
      <c r="AH175" s="289"/>
      <c r="AI175" s="363" t="e">
        <f t="shared" si="971"/>
        <v>#DIV/0!</v>
      </c>
      <c r="AJ175" s="323" t="e">
        <f t="shared" si="927"/>
        <v>#DIV/0!</v>
      </c>
      <c r="AK175" s="81">
        <f t="shared" si="972"/>
        <v>0</v>
      </c>
      <c r="AL175" s="81"/>
      <c r="AM175" s="84">
        <f t="shared" si="973"/>
        <v>0</v>
      </c>
      <c r="AN175" s="51"/>
      <c r="AO175" s="48">
        <f t="shared" si="974"/>
        <v>0</v>
      </c>
      <c r="AP175" s="81"/>
      <c r="AQ175" s="84">
        <f t="shared" si="975"/>
        <v>0</v>
      </c>
      <c r="AR175" s="85"/>
      <c r="AS175" s="84">
        <f t="shared" si="976"/>
        <v>0</v>
      </c>
      <c r="AT175" s="81"/>
      <c r="AU175" s="84">
        <f t="shared" si="977"/>
        <v>0</v>
      </c>
      <c r="AV175" s="85"/>
      <c r="AW175" s="84">
        <f t="shared" si="978"/>
        <v>0</v>
      </c>
      <c r="AX175" s="85"/>
      <c r="AY175" s="84">
        <f t="shared" si="979"/>
        <v>0</v>
      </c>
      <c r="AZ175" s="85"/>
      <c r="BA175" s="84">
        <f t="shared" si="980"/>
        <v>0</v>
      </c>
      <c r="BB175" s="85"/>
      <c r="BC175" s="84">
        <f t="shared" si="981"/>
        <v>0</v>
      </c>
      <c r="BD175" s="85"/>
      <c r="BE175" s="84">
        <f t="shared" si="982"/>
        <v>0</v>
      </c>
      <c r="BF175" s="85"/>
      <c r="BG175" s="84">
        <f t="shared" si="983"/>
        <v>0</v>
      </c>
      <c r="BH175" s="81"/>
      <c r="BI175" s="214">
        <f t="shared" si="984"/>
        <v>0</v>
      </c>
    </row>
    <row r="176" spans="1:61" ht="14.25" hidden="1" customHeight="1" x14ac:dyDescent="0.35">
      <c r="A176" s="160" t="s">
        <v>422</v>
      </c>
      <c r="B176" s="170"/>
      <c r="C176" s="83">
        <f>'2020-21'!AS66</f>
        <v>0</v>
      </c>
      <c r="D176" s="107">
        <f t="shared" si="963"/>
        <v>0</v>
      </c>
      <c r="E176" s="304">
        <f t="shared" si="963"/>
        <v>0</v>
      </c>
      <c r="F176" s="289"/>
      <c r="G176" s="363" t="e">
        <f t="shared" si="964"/>
        <v>#DIV/0!</v>
      </c>
      <c r="H176" s="287"/>
      <c r="I176" s="313" t="e">
        <f t="shared" si="965"/>
        <v>#DIV/0!</v>
      </c>
      <c r="J176" s="287"/>
      <c r="K176" s="288" t="e">
        <f t="shared" si="985"/>
        <v>#DIV/0!</v>
      </c>
      <c r="L176" s="289"/>
      <c r="M176" s="290" t="e">
        <f t="shared" si="986"/>
        <v>#DIV/0!</v>
      </c>
      <c r="N176" s="287"/>
      <c r="O176" s="288" t="e">
        <f t="shared" si="987"/>
        <v>#DIV/0!</v>
      </c>
      <c r="P176" s="289"/>
      <c r="Q176" s="290" t="e">
        <f t="shared" si="988"/>
        <v>#DIV/0!</v>
      </c>
      <c r="R176" s="287"/>
      <c r="S176" s="288" t="e">
        <f t="shared" si="966"/>
        <v>#DIV/0!</v>
      </c>
      <c r="T176" s="287"/>
      <c r="U176" s="288" t="e">
        <f t="shared" si="989"/>
        <v>#DIV/0!</v>
      </c>
      <c r="V176" s="289"/>
      <c r="W176" s="290" t="e">
        <f t="shared" si="990"/>
        <v>#DIV/0!</v>
      </c>
      <c r="X176" s="287"/>
      <c r="Y176" s="313" t="e">
        <f t="shared" si="991"/>
        <v>#DIV/0!</v>
      </c>
      <c r="Z176" s="289"/>
      <c r="AA176" s="363" t="e">
        <f t="shared" si="967"/>
        <v>#DIV/0!</v>
      </c>
      <c r="AB176" s="287"/>
      <c r="AC176" s="313" t="e">
        <f t="shared" si="968"/>
        <v>#DIV/0!</v>
      </c>
      <c r="AD176" s="289"/>
      <c r="AE176" s="363" t="e">
        <f t="shared" si="969"/>
        <v>#DIV/0!</v>
      </c>
      <c r="AF176" s="287"/>
      <c r="AG176" s="313" t="e">
        <f t="shared" si="970"/>
        <v>#DIV/0!</v>
      </c>
      <c r="AH176" s="289"/>
      <c r="AI176" s="363" t="e">
        <f t="shared" si="971"/>
        <v>#DIV/0!</v>
      </c>
      <c r="AJ176" s="323" t="e">
        <f t="shared" si="927"/>
        <v>#DIV/0!</v>
      </c>
      <c r="AK176" s="81">
        <f t="shared" si="972"/>
        <v>0</v>
      </c>
      <c r="AL176" s="81"/>
      <c r="AM176" s="84">
        <f t="shared" si="973"/>
        <v>0</v>
      </c>
      <c r="AN176" s="85"/>
      <c r="AO176" s="48">
        <f t="shared" si="974"/>
        <v>0</v>
      </c>
      <c r="AP176" s="81"/>
      <c r="AQ176" s="84">
        <f t="shared" si="975"/>
        <v>0</v>
      </c>
      <c r="AR176" s="85"/>
      <c r="AS176" s="84">
        <f t="shared" si="976"/>
        <v>0</v>
      </c>
      <c r="AT176" s="81"/>
      <c r="AU176" s="84">
        <f t="shared" si="977"/>
        <v>0</v>
      </c>
      <c r="AV176" s="85"/>
      <c r="AW176" s="84">
        <f t="shared" si="978"/>
        <v>0</v>
      </c>
      <c r="AX176" s="85"/>
      <c r="AY176" s="84">
        <f t="shared" si="979"/>
        <v>0</v>
      </c>
      <c r="AZ176" s="85"/>
      <c r="BA176" s="84">
        <f t="shared" si="980"/>
        <v>0</v>
      </c>
      <c r="BB176" s="85"/>
      <c r="BC176" s="84">
        <f t="shared" si="981"/>
        <v>0</v>
      </c>
      <c r="BD176" s="85"/>
      <c r="BE176" s="84">
        <f t="shared" si="982"/>
        <v>0</v>
      </c>
      <c r="BF176" s="85"/>
      <c r="BG176" s="84">
        <f t="shared" si="983"/>
        <v>0</v>
      </c>
      <c r="BH176" s="81"/>
      <c r="BI176" s="214">
        <f t="shared" si="984"/>
        <v>0</v>
      </c>
    </row>
    <row r="177" spans="1:61" ht="14.25" hidden="1" customHeight="1" x14ac:dyDescent="0.35">
      <c r="A177" s="151" t="s">
        <v>467</v>
      </c>
      <c r="B177" s="180"/>
      <c r="C177" s="83">
        <f>'2020-21'!AS67</f>
        <v>0</v>
      </c>
      <c r="D177" s="107">
        <f t="shared" si="963"/>
        <v>0</v>
      </c>
      <c r="E177" s="304">
        <f t="shared" si="963"/>
        <v>0</v>
      </c>
      <c r="F177" s="289"/>
      <c r="G177" s="363" t="e">
        <f t="shared" si="964"/>
        <v>#DIV/0!</v>
      </c>
      <c r="H177" s="287"/>
      <c r="I177" s="313" t="e">
        <f t="shared" si="965"/>
        <v>#DIV/0!</v>
      </c>
      <c r="J177" s="287"/>
      <c r="K177" s="288" t="e">
        <f t="shared" si="985"/>
        <v>#DIV/0!</v>
      </c>
      <c r="L177" s="289"/>
      <c r="M177" s="290" t="e">
        <f t="shared" si="986"/>
        <v>#DIV/0!</v>
      </c>
      <c r="N177" s="287"/>
      <c r="O177" s="288" t="e">
        <f t="shared" si="987"/>
        <v>#DIV/0!</v>
      </c>
      <c r="P177" s="289"/>
      <c r="Q177" s="290" t="e">
        <f t="shared" si="988"/>
        <v>#DIV/0!</v>
      </c>
      <c r="R177" s="287"/>
      <c r="S177" s="288" t="e">
        <f t="shared" si="966"/>
        <v>#DIV/0!</v>
      </c>
      <c r="T177" s="287"/>
      <c r="U177" s="288" t="e">
        <f t="shared" si="989"/>
        <v>#DIV/0!</v>
      </c>
      <c r="V177" s="289"/>
      <c r="W177" s="290" t="e">
        <f t="shared" si="990"/>
        <v>#DIV/0!</v>
      </c>
      <c r="X177" s="287"/>
      <c r="Y177" s="313" t="e">
        <f t="shared" si="991"/>
        <v>#DIV/0!</v>
      </c>
      <c r="Z177" s="289"/>
      <c r="AA177" s="363" t="e">
        <f t="shared" si="967"/>
        <v>#DIV/0!</v>
      </c>
      <c r="AB177" s="287"/>
      <c r="AC177" s="313" t="e">
        <f t="shared" si="968"/>
        <v>#DIV/0!</v>
      </c>
      <c r="AD177" s="289"/>
      <c r="AE177" s="363" t="e">
        <f t="shared" si="969"/>
        <v>#DIV/0!</v>
      </c>
      <c r="AF177" s="287"/>
      <c r="AG177" s="313" t="e">
        <f t="shared" si="970"/>
        <v>#DIV/0!</v>
      </c>
      <c r="AH177" s="289"/>
      <c r="AI177" s="363" t="e">
        <f t="shared" si="971"/>
        <v>#DIV/0!</v>
      </c>
      <c r="AJ177" s="323" t="e">
        <f t="shared" si="927"/>
        <v>#DIV/0!</v>
      </c>
      <c r="AK177" s="81">
        <f t="shared" si="972"/>
        <v>0</v>
      </c>
      <c r="AL177" s="81"/>
      <c r="AM177" s="84">
        <f t="shared" si="973"/>
        <v>0</v>
      </c>
      <c r="AN177" s="85"/>
      <c r="AO177" s="48">
        <f t="shared" si="974"/>
        <v>0</v>
      </c>
      <c r="AP177" s="81"/>
      <c r="AQ177" s="84">
        <f t="shared" si="975"/>
        <v>0</v>
      </c>
      <c r="AR177" s="85"/>
      <c r="AS177" s="84">
        <f t="shared" si="976"/>
        <v>0</v>
      </c>
      <c r="AT177" s="81"/>
      <c r="AU177" s="84">
        <f t="shared" si="977"/>
        <v>0</v>
      </c>
      <c r="AV177" s="85"/>
      <c r="AW177" s="84">
        <f t="shared" si="978"/>
        <v>0</v>
      </c>
      <c r="AX177" s="85"/>
      <c r="AY177" s="84">
        <f t="shared" si="979"/>
        <v>0</v>
      </c>
      <c r="AZ177" s="85"/>
      <c r="BA177" s="84">
        <f t="shared" si="980"/>
        <v>0</v>
      </c>
      <c r="BB177" s="85"/>
      <c r="BC177" s="84">
        <f t="shared" si="981"/>
        <v>0</v>
      </c>
      <c r="BD177" s="85"/>
      <c r="BE177" s="84">
        <f t="shared" si="982"/>
        <v>0</v>
      </c>
      <c r="BF177" s="85"/>
      <c r="BG177" s="84">
        <f t="shared" si="983"/>
        <v>0</v>
      </c>
      <c r="BH177" s="81"/>
      <c r="BI177" s="214">
        <f t="shared" si="984"/>
        <v>0</v>
      </c>
    </row>
    <row r="178" spans="1:61" ht="14.25" hidden="1" customHeight="1" x14ac:dyDescent="0.35">
      <c r="A178" s="151" t="s">
        <v>308</v>
      </c>
      <c r="B178" s="180"/>
      <c r="C178" s="83">
        <f>'2020-21'!AS68</f>
        <v>0</v>
      </c>
      <c r="D178" s="107">
        <f t="shared" si="963"/>
        <v>0</v>
      </c>
      <c r="E178" s="304">
        <f t="shared" si="963"/>
        <v>0</v>
      </c>
      <c r="F178" s="289"/>
      <c r="G178" s="363" t="e">
        <f t="shared" si="964"/>
        <v>#DIV/0!</v>
      </c>
      <c r="H178" s="287"/>
      <c r="I178" s="313" t="e">
        <f t="shared" si="965"/>
        <v>#DIV/0!</v>
      </c>
      <c r="J178" s="287"/>
      <c r="K178" s="288" t="e">
        <f t="shared" si="985"/>
        <v>#DIV/0!</v>
      </c>
      <c r="L178" s="289"/>
      <c r="M178" s="290" t="e">
        <f t="shared" si="986"/>
        <v>#DIV/0!</v>
      </c>
      <c r="N178" s="287"/>
      <c r="O178" s="288" t="e">
        <f t="shared" si="987"/>
        <v>#DIV/0!</v>
      </c>
      <c r="P178" s="289"/>
      <c r="Q178" s="290" t="e">
        <f t="shared" si="988"/>
        <v>#DIV/0!</v>
      </c>
      <c r="R178" s="287"/>
      <c r="S178" s="288" t="e">
        <f t="shared" si="966"/>
        <v>#DIV/0!</v>
      </c>
      <c r="T178" s="287"/>
      <c r="U178" s="288" t="e">
        <f t="shared" si="989"/>
        <v>#DIV/0!</v>
      </c>
      <c r="V178" s="289"/>
      <c r="W178" s="290" t="e">
        <f t="shared" si="990"/>
        <v>#DIV/0!</v>
      </c>
      <c r="X178" s="287"/>
      <c r="Y178" s="313" t="e">
        <f t="shared" si="991"/>
        <v>#DIV/0!</v>
      </c>
      <c r="Z178" s="289"/>
      <c r="AA178" s="363" t="e">
        <f t="shared" si="967"/>
        <v>#DIV/0!</v>
      </c>
      <c r="AB178" s="287"/>
      <c r="AC178" s="313" t="e">
        <f t="shared" si="968"/>
        <v>#DIV/0!</v>
      </c>
      <c r="AD178" s="289"/>
      <c r="AE178" s="363" t="e">
        <f t="shared" si="969"/>
        <v>#DIV/0!</v>
      </c>
      <c r="AF178" s="287"/>
      <c r="AG178" s="313" t="e">
        <f t="shared" si="970"/>
        <v>#DIV/0!</v>
      </c>
      <c r="AH178" s="289"/>
      <c r="AI178" s="363" t="e">
        <f t="shared" si="971"/>
        <v>#DIV/0!</v>
      </c>
      <c r="AJ178" s="323" t="e">
        <f t="shared" si="927"/>
        <v>#DIV/0!</v>
      </c>
      <c r="AK178" s="81">
        <f t="shared" si="972"/>
        <v>0</v>
      </c>
      <c r="AL178" s="81"/>
      <c r="AM178" s="84">
        <f t="shared" si="973"/>
        <v>0</v>
      </c>
      <c r="AN178" s="85"/>
      <c r="AO178" s="48">
        <f t="shared" si="974"/>
        <v>0</v>
      </c>
      <c r="AP178" s="81"/>
      <c r="AQ178" s="84">
        <f t="shared" si="975"/>
        <v>0</v>
      </c>
      <c r="AR178" s="85"/>
      <c r="AS178" s="84">
        <f t="shared" si="976"/>
        <v>0</v>
      </c>
      <c r="AT178" s="81"/>
      <c r="AU178" s="84">
        <f t="shared" si="977"/>
        <v>0</v>
      </c>
      <c r="AV178" s="85"/>
      <c r="AW178" s="84">
        <f t="shared" si="978"/>
        <v>0</v>
      </c>
      <c r="AX178" s="85"/>
      <c r="AY178" s="84">
        <f t="shared" si="979"/>
        <v>0</v>
      </c>
      <c r="AZ178" s="85"/>
      <c r="BA178" s="84">
        <f t="shared" si="980"/>
        <v>0</v>
      </c>
      <c r="BB178" s="85"/>
      <c r="BC178" s="84">
        <f t="shared" si="981"/>
        <v>0</v>
      </c>
      <c r="BD178" s="85"/>
      <c r="BE178" s="84">
        <f t="shared" si="982"/>
        <v>0</v>
      </c>
      <c r="BF178" s="85"/>
      <c r="BG178" s="84">
        <f t="shared" si="983"/>
        <v>0</v>
      </c>
      <c r="BH178" s="81"/>
      <c r="BI178" s="214">
        <f t="shared" si="984"/>
        <v>0</v>
      </c>
    </row>
    <row r="179" spans="1:61" ht="14.25" hidden="1" customHeight="1" x14ac:dyDescent="0.35">
      <c r="A179" s="187" t="s">
        <v>381</v>
      </c>
      <c r="B179" s="170"/>
      <c r="C179" s="83">
        <f>'2020-21'!AS69</f>
        <v>0</v>
      </c>
      <c r="D179" s="107">
        <f t="shared" si="963"/>
        <v>0</v>
      </c>
      <c r="E179" s="304">
        <f t="shared" si="963"/>
        <v>0</v>
      </c>
      <c r="F179" s="289"/>
      <c r="G179" s="363" t="e">
        <f t="shared" si="964"/>
        <v>#DIV/0!</v>
      </c>
      <c r="H179" s="287"/>
      <c r="I179" s="313" t="e">
        <f t="shared" si="965"/>
        <v>#DIV/0!</v>
      </c>
      <c r="J179" s="287"/>
      <c r="K179" s="288" t="e">
        <f t="shared" si="985"/>
        <v>#DIV/0!</v>
      </c>
      <c r="L179" s="289"/>
      <c r="M179" s="290" t="e">
        <f t="shared" si="986"/>
        <v>#DIV/0!</v>
      </c>
      <c r="N179" s="287"/>
      <c r="O179" s="288" t="e">
        <f t="shared" si="987"/>
        <v>#DIV/0!</v>
      </c>
      <c r="P179" s="289"/>
      <c r="Q179" s="290" t="e">
        <f t="shared" si="988"/>
        <v>#DIV/0!</v>
      </c>
      <c r="R179" s="287"/>
      <c r="S179" s="288" t="e">
        <f t="shared" si="966"/>
        <v>#DIV/0!</v>
      </c>
      <c r="T179" s="287"/>
      <c r="U179" s="288" t="e">
        <f t="shared" si="989"/>
        <v>#DIV/0!</v>
      </c>
      <c r="V179" s="289"/>
      <c r="W179" s="290" t="e">
        <f t="shared" si="990"/>
        <v>#DIV/0!</v>
      </c>
      <c r="X179" s="287"/>
      <c r="Y179" s="313" t="e">
        <f t="shared" si="991"/>
        <v>#DIV/0!</v>
      </c>
      <c r="Z179" s="289"/>
      <c r="AA179" s="363" t="e">
        <f t="shared" si="967"/>
        <v>#DIV/0!</v>
      </c>
      <c r="AB179" s="287"/>
      <c r="AC179" s="313" t="e">
        <f t="shared" si="968"/>
        <v>#DIV/0!</v>
      </c>
      <c r="AD179" s="289"/>
      <c r="AE179" s="363" t="e">
        <f t="shared" si="969"/>
        <v>#DIV/0!</v>
      </c>
      <c r="AF179" s="287"/>
      <c r="AG179" s="313" t="e">
        <f t="shared" si="970"/>
        <v>#DIV/0!</v>
      </c>
      <c r="AH179" s="289"/>
      <c r="AI179" s="363" t="e">
        <f t="shared" si="971"/>
        <v>#DIV/0!</v>
      </c>
      <c r="AJ179" s="323" t="e">
        <f t="shared" si="927"/>
        <v>#DIV/0!</v>
      </c>
      <c r="AK179" s="81">
        <f t="shared" si="972"/>
        <v>0</v>
      </c>
      <c r="AL179" s="81"/>
      <c r="AM179" s="84">
        <f t="shared" si="973"/>
        <v>0</v>
      </c>
      <c r="AN179" s="85"/>
      <c r="AO179" s="48">
        <f t="shared" si="974"/>
        <v>0</v>
      </c>
      <c r="AP179" s="81"/>
      <c r="AQ179" s="84">
        <f t="shared" si="975"/>
        <v>0</v>
      </c>
      <c r="AR179" s="85"/>
      <c r="AS179" s="84">
        <f t="shared" si="976"/>
        <v>0</v>
      </c>
      <c r="AT179" s="81"/>
      <c r="AU179" s="84">
        <f t="shared" si="977"/>
        <v>0</v>
      </c>
      <c r="AV179" s="85"/>
      <c r="AW179" s="84">
        <f t="shared" si="978"/>
        <v>0</v>
      </c>
      <c r="AX179" s="85"/>
      <c r="AY179" s="84">
        <f t="shared" si="979"/>
        <v>0</v>
      </c>
      <c r="AZ179" s="85"/>
      <c r="BA179" s="84">
        <f t="shared" si="980"/>
        <v>0</v>
      </c>
      <c r="BB179" s="85"/>
      <c r="BC179" s="84">
        <f t="shared" si="981"/>
        <v>0</v>
      </c>
      <c r="BD179" s="85"/>
      <c r="BE179" s="84">
        <f t="shared" si="982"/>
        <v>0</v>
      </c>
      <c r="BF179" s="85"/>
      <c r="BG179" s="84">
        <f t="shared" si="983"/>
        <v>0</v>
      </c>
      <c r="BH179" s="81"/>
      <c r="BI179" s="214">
        <f t="shared" si="984"/>
        <v>0</v>
      </c>
    </row>
    <row r="180" spans="1:61" ht="14.25" hidden="1" customHeight="1" x14ac:dyDescent="0.35">
      <c r="A180" s="159" t="s">
        <v>399</v>
      </c>
      <c r="B180" s="170"/>
      <c r="C180" s="83">
        <f>'2020-21'!AS70</f>
        <v>0</v>
      </c>
      <c r="D180" s="107">
        <f t="shared" si="963"/>
        <v>0</v>
      </c>
      <c r="E180" s="304">
        <f t="shared" si="963"/>
        <v>0</v>
      </c>
      <c r="F180" s="289"/>
      <c r="G180" s="363" t="e">
        <f t="shared" si="964"/>
        <v>#DIV/0!</v>
      </c>
      <c r="H180" s="287"/>
      <c r="I180" s="313" t="e">
        <f t="shared" si="965"/>
        <v>#DIV/0!</v>
      </c>
      <c r="J180" s="287"/>
      <c r="K180" s="288" t="e">
        <f t="shared" si="985"/>
        <v>#DIV/0!</v>
      </c>
      <c r="L180" s="289"/>
      <c r="M180" s="290" t="e">
        <f t="shared" si="986"/>
        <v>#DIV/0!</v>
      </c>
      <c r="N180" s="287"/>
      <c r="O180" s="288" t="e">
        <f t="shared" si="987"/>
        <v>#DIV/0!</v>
      </c>
      <c r="P180" s="289"/>
      <c r="Q180" s="290" t="e">
        <f t="shared" si="988"/>
        <v>#DIV/0!</v>
      </c>
      <c r="R180" s="287"/>
      <c r="S180" s="288" t="e">
        <f t="shared" si="966"/>
        <v>#DIV/0!</v>
      </c>
      <c r="T180" s="287"/>
      <c r="U180" s="288" t="e">
        <f t="shared" si="989"/>
        <v>#DIV/0!</v>
      </c>
      <c r="V180" s="289"/>
      <c r="W180" s="290" t="e">
        <f t="shared" si="990"/>
        <v>#DIV/0!</v>
      </c>
      <c r="X180" s="287"/>
      <c r="Y180" s="313" t="e">
        <f t="shared" si="991"/>
        <v>#DIV/0!</v>
      </c>
      <c r="Z180" s="289"/>
      <c r="AA180" s="363" t="e">
        <f t="shared" si="967"/>
        <v>#DIV/0!</v>
      </c>
      <c r="AB180" s="287"/>
      <c r="AC180" s="313" t="e">
        <f t="shared" si="968"/>
        <v>#DIV/0!</v>
      </c>
      <c r="AD180" s="289"/>
      <c r="AE180" s="363" t="e">
        <f t="shared" si="969"/>
        <v>#DIV/0!</v>
      </c>
      <c r="AF180" s="287"/>
      <c r="AG180" s="313" t="e">
        <f t="shared" si="970"/>
        <v>#DIV/0!</v>
      </c>
      <c r="AH180" s="289"/>
      <c r="AI180" s="363" t="e">
        <f t="shared" si="971"/>
        <v>#DIV/0!</v>
      </c>
      <c r="AJ180" s="323" t="e">
        <f t="shared" si="927"/>
        <v>#DIV/0!</v>
      </c>
      <c r="AK180" s="81">
        <f t="shared" si="972"/>
        <v>0</v>
      </c>
      <c r="AL180" s="81"/>
      <c r="AM180" s="84">
        <f t="shared" si="973"/>
        <v>0</v>
      </c>
      <c r="AN180" s="85"/>
      <c r="AO180" s="48">
        <f t="shared" si="974"/>
        <v>0</v>
      </c>
      <c r="AP180" s="81"/>
      <c r="AQ180" s="84">
        <f t="shared" si="975"/>
        <v>0</v>
      </c>
      <c r="AR180" s="85"/>
      <c r="AS180" s="84">
        <f t="shared" si="976"/>
        <v>0</v>
      </c>
      <c r="AT180" s="81"/>
      <c r="AU180" s="84">
        <f t="shared" si="977"/>
        <v>0</v>
      </c>
      <c r="AV180" s="85"/>
      <c r="AW180" s="84">
        <f t="shared" si="978"/>
        <v>0</v>
      </c>
      <c r="AX180" s="85"/>
      <c r="AY180" s="84">
        <f t="shared" si="979"/>
        <v>0</v>
      </c>
      <c r="AZ180" s="85"/>
      <c r="BA180" s="84">
        <f t="shared" si="980"/>
        <v>0</v>
      </c>
      <c r="BB180" s="85"/>
      <c r="BC180" s="84">
        <f t="shared" si="981"/>
        <v>0</v>
      </c>
      <c r="BD180" s="85"/>
      <c r="BE180" s="84">
        <f t="shared" si="982"/>
        <v>0</v>
      </c>
      <c r="BF180" s="85"/>
      <c r="BG180" s="84">
        <f t="shared" si="983"/>
        <v>0</v>
      </c>
      <c r="BH180" s="81"/>
      <c r="BI180" s="214">
        <f t="shared" si="984"/>
        <v>0</v>
      </c>
    </row>
    <row r="181" spans="1:61" ht="14.25" hidden="1" customHeight="1" x14ac:dyDescent="0.35">
      <c r="A181" s="161" t="s">
        <v>397</v>
      </c>
      <c r="B181" s="170"/>
      <c r="C181" s="83">
        <f>'2020-21'!AS71</f>
        <v>0</v>
      </c>
      <c r="D181" s="107">
        <f t="shared" si="963"/>
        <v>0</v>
      </c>
      <c r="E181" s="304">
        <f t="shared" si="963"/>
        <v>0</v>
      </c>
      <c r="F181" s="289"/>
      <c r="G181" s="363" t="e">
        <f t="shared" si="964"/>
        <v>#DIV/0!</v>
      </c>
      <c r="H181" s="287"/>
      <c r="I181" s="313" t="e">
        <f t="shared" si="965"/>
        <v>#DIV/0!</v>
      </c>
      <c r="J181" s="287"/>
      <c r="K181" s="288" t="e">
        <f t="shared" si="985"/>
        <v>#DIV/0!</v>
      </c>
      <c r="L181" s="289"/>
      <c r="M181" s="290" t="e">
        <f t="shared" si="986"/>
        <v>#DIV/0!</v>
      </c>
      <c r="N181" s="287"/>
      <c r="O181" s="288" t="e">
        <f t="shared" si="987"/>
        <v>#DIV/0!</v>
      </c>
      <c r="P181" s="289"/>
      <c r="Q181" s="290" t="e">
        <f t="shared" si="988"/>
        <v>#DIV/0!</v>
      </c>
      <c r="R181" s="287"/>
      <c r="S181" s="288" t="e">
        <f t="shared" si="966"/>
        <v>#DIV/0!</v>
      </c>
      <c r="T181" s="287"/>
      <c r="U181" s="288" t="e">
        <f t="shared" si="989"/>
        <v>#DIV/0!</v>
      </c>
      <c r="V181" s="289"/>
      <c r="W181" s="290" t="e">
        <f t="shared" si="990"/>
        <v>#DIV/0!</v>
      </c>
      <c r="X181" s="287"/>
      <c r="Y181" s="313" t="e">
        <f t="shared" si="991"/>
        <v>#DIV/0!</v>
      </c>
      <c r="Z181" s="289"/>
      <c r="AA181" s="363" t="e">
        <f t="shared" si="967"/>
        <v>#DIV/0!</v>
      </c>
      <c r="AB181" s="287"/>
      <c r="AC181" s="313" t="e">
        <f t="shared" si="968"/>
        <v>#DIV/0!</v>
      </c>
      <c r="AD181" s="289"/>
      <c r="AE181" s="363" t="e">
        <f t="shared" si="969"/>
        <v>#DIV/0!</v>
      </c>
      <c r="AF181" s="287"/>
      <c r="AG181" s="313" t="e">
        <f t="shared" si="970"/>
        <v>#DIV/0!</v>
      </c>
      <c r="AH181" s="289"/>
      <c r="AI181" s="363" t="e">
        <f t="shared" si="971"/>
        <v>#DIV/0!</v>
      </c>
      <c r="AJ181" s="323" t="e">
        <f t="shared" si="927"/>
        <v>#DIV/0!</v>
      </c>
      <c r="AK181" s="81">
        <f t="shared" si="972"/>
        <v>0</v>
      </c>
      <c r="AL181" s="81"/>
      <c r="AM181" s="84">
        <f t="shared" si="973"/>
        <v>0</v>
      </c>
      <c r="AN181" s="85"/>
      <c r="AO181" s="48">
        <f t="shared" si="974"/>
        <v>0</v>
      </c>
      <c r="AP181" s="81"/>
      <c r="AQ181" s="84">
        <f t="shared" si="975"/>
        <v>0</v>
      </c>
      <c r="AR181" s="85"/>
      <c r="AS181" s="84">
        <f t="shared" si="976"/>
        <v>0</v>
      </c>
      <c r="AT181" s="81"/>
      <c r="AU181" s="84">
        <f t="shared" si="977"/>
        <v>0</v>
      </c>
      <c r="AV181" s="85"/>
      <c r="AW181" s="84">
        <f t="shared" si="978"/>
        <v>0</v>
      </c>
      <c r="AX181" s="85"/>
      <c r="AY181" s="84">
        <f t="shared" si="979"/>
        <v>0</v>
      </c>
      <c r="AZ181" s="85"/>
      <c r="BA181" s="84">
        <f t="shared" si="980"/>
        <v>0</v>
      </c>
      <c r="BB181" s="85"/>
      <c r="BC181" s="84">
        <f t="shared" si="981"/>
        <v>0</v>
      </c>
      <c r="BD181" s="85"/>
      <c r="BE181" s="84">
        <f t="shared" si="982"/>
        <v>0</v>
      </c>
      <c r="BF181" s="85"/>
      <c r="BG181" s="84">
        <f t="shared" si="983"/>
        <v>0</v>
      </c>
      <c r="BH181" s="81"/>
      <c r="BI181" s="214">
        <f t="shared" si="984"/>
        <v>0</v>
      </c>
    </row>
    <row r="182" spans="1:61" ht="14.25" hidden="1" customHeight="1" x14ac:dyDescent="0.35">
      <c r="A182" s="159" t="s">
        <v>428</v>
      </c>
      <c r="B182" s="180"/>
      <c r="C182" s="83">
        <f>'2020-21'!AS72</f>
        <v>0</v>
      </c>
      <c r="D182" s="107">
        <f t="shared" si="963"/>
        <v>0</v>
      </c>
      <c r="E182" s="304">
        <f t="shared" si="963"/>
        <v>0</v>
      </c>
      <c r="F182" s="289"/>
      <c r="G182" s="363" t="e">
        <f t="shared" si="964"/>
        <v>#DIV/0!</v>
      </c>
      <c r="H182" s="287"/>
      <c r="I182" s="313" t="e">
        <f t="shared" si="965"/>
        <v>#DIV/0!</v>
      </c>
      <c r="J182" s="287"/>
      <c r="K182" s="288" t="e">
        <f t="shared" si="985"/>
        <v>#DIV/0!</v>
      </c>
      <c r="L182" s="289"/>
      <c r="M182" s="290" t="e">
        <f t="shared" si="986"/>
        <v>#DIV/0!</v>
      </c>
      <c r="N182" s="287"/>
      <c r="O182" s="288" t="e">
        <f t="shared" si="987"/>
        <v>#DIV/0!</v>
      </c>
      <c r="P182" s="289"/>
      <c r="Q182" s="290" t="e">
        <f t="shared" si="988"/>
        <v>#DIV/0!</v>
      </c>
      <c r="R182" s="287"/>
      <c r="S182" s="288" t="e">
        <f t="shared" si="966"/>
        <v>#DIV/0!</v>
      </c>
      <c r="T182" s="287"/>
      <c r="U182" s="288" t="e">
        <f t="shared" si="989"/>
        <v>#DIV/0!</v>
      </c>
      <c r="V182" s="289"/>
      <c r="W182" s="290" t="e">
        <f t="shared" si="990"/>
        <v>#DIV/0!</v>
      </c>
      <c r="X182" s="287"/>
      <c r="Y182" s="313" t="e">
        <f t="shared" si="991"/>
        <v>#DIV/0!</v>
      </c>
      <c r="Z182" s="289"/>
      <c r="AA182" s="363" t="e">
        <f t="shared" si="967"/>
        <v>#DIV/0!</v>
      </c>
      <c r="AB182" s="287"/>
      <c r="AC182" s="313" t="e">
        <f t="shared" si="968"/>
        <v>#DIV/0!</v>
      </c>
      <c r="AD182" s="289"/>
      <c r="AE182" s="363" t="e">
        <f t="shared" si="969"/>
        <v>#DIV/0!</v>
      </c>
      <c r="AF182" s="287"/>
      <c r="AG182" s="313" t="e">
        <f t="shared" si="970"/>
        <v>#DIV/0!</v>
      </c>
      <c r="AH182" s="289"/>
      <c r="AI182" s="363" t="e">
        <f t="shared" si="971"/>
        <v>#DIV/0!</v>
      </c>
      <c r="AJ182" s="323" t="e">
        <f t="shared" si="927"/>
        <v>#DIV/0!</v>
      </c>
      <c r="AK182" s="81">
        <f t="shared" si="972"/>
        <v>0</v>
      </c>
      <c r="AL182" s="81"/>
      <c r="AM182" s="84">
        <f t="shared" si="973"/>
        <v>0</v>
      </c>
      <c r="AN182" s="85"/>
      <c r="AO182" s="48">
        <f t="shared" si="974"/>
        <v>0</v>
      </c>
      <c r="AP182" s="81"/>
      <c r="AQ182" s="84">
        <f t="shared" si="975"/>
        <v>0</v>
      </c>
      <c r="AR182" s="85"/>
      <c r="AS182" s="84">
        <f t="shared" si="976"/>
        <v>0</v>
      </c>
      <c r="AT182" s="81"/>
      <c r="AU182" s="84">
        <f t="shared" si="977"/>
        <v>0</v>
      </c>
      <c r="AV182" s="85"/>
      <c r="AW182" s="84">
        <f t="shared" si="978"/>
        <v>0</v>
      </c>
      <c r="AX182" s="85"/>
      <c r="AY182" s="84">
        <f t="shared" si="979"/>
        <v>0</v>
      </c>
      <c r="AZ182" s="85"/>
      <c r="BA182" s="84">
        <f t="shared" si="980"/>
        <v>0</v>
      </c>
      <c r="BB182" s="85"/>
      <c r="BC182" s="84">
        <f t="shared" si="981"/>
        <v>0</v>
      </c>
      <c r="BD182" s="85"/>
      <c r="BE182" s="84">
        <f t="shared" si="982"/>
        <v>0</v>
      </c>
      <c r="BF182" s="85"/>
      <c r="BG182" s="84">
        <f t="shared" si="983"/>
        <v>0</v>
      </c>
      <c r="BH182" s="81"/>
      <c r="BI182" s="214">
        <f t="shared" si="984"/>
        <v>0</v>
      </c>
    </row>
    <row r="183" spans="1:61" ht="14.25" hidden="1" customHeight="1" x14ac:dyDescent="0.35">
      <c r="A183" s="159" t="s">
        <v>410</v>
      </c>
      <c r="B183" s="172"/>
      <c r="C183" s="83">
        <f>'2020-21'!AS73</f>
        <v>0</v>
      </c>
      <c r="D183" s="107">
        <f t="shared" si="963"/>
        <v>0</v>
      </c>
      <c r="E183" s="304">
        <f t="shared" si="963"/>
        <v>0</v>
      </c>
      <c r="F183" s="289"/>
      <c r="G183" s="363" t="e">
        <f t="shared" si="964"/>
        <v>#DIV/0!</v>
      </c>
      <c r="H183" s="287"/>
      <c r="I183" s="313" t="e">
        <f t="shared" si="965"/>
        <v>#DIV/0!</v>
      </c>
      <c r="J183" s="287"/>
      <c r="K183" s="288" t="e">
        <f t="shared" si="985"/>
        <v>#DIV/0!</v>
      </c>
      <c r="L183" s="289"/>
      <c r="M183" s="290" t="e">
        <f t="shared" si="986"/>
        <v>#DIV/0!</v>
      </c>
      <c r="N183" s="287"/>
      <c r="O183" s="288" t="e">
        <f t="shared" si="987"/>
        <v>#DIV/0!</v>
      </c>
      <c r="P183" s="289"/>
      <c r="Q183" s="290" t="e">
        <f t="shared" si="988"/>
        <v>#DIV/0!</v>
      </c>
      <c r="R183" s="287"/>
      <c r="S183" s="288" t="e">
        <f t="shared" si="966"/>
        <v>#DIV/0!</v>
      </c>
      <c r="T183" s="287"/>
      <c r="U183" s="288" t="e">
        <f t="shared" si="989"/>
        <v>#DIV/0!</v>
      </c>
      <c r="V183" s="289"/>
      <c r="W183" s="290" t="e">
        <f t="shared" si="990"/>
        <v>#DIV/0!</v>
      </c>
      <c r="X183" s="287"/>
      <c r="Y183" s="313" t="e">
        <f t="shared" si="991"/>
        <v>#DIV/0!</v>
      </c>
      <c r="Z183" s="289"/>
      <c r="AA183" s="363" t="e">
        <f t="shared" si="967"/>
        <v>#DIV/0!</v>
      </c>
      <c r="AB183" s="287"/>
      <c r="AC183" s="313" t="e">
        <f t="shared" si="968"/>
        <v>#DIV/0!</v>
      </c>
      <c r="AD183" s="289"/>
      <c r="AE183" s="363" t="e">
        <f t="shared" si="969"/>
        <v>#DIV/0!</v>
      </c>
      <c r="AF183" s="287"/>
      <c r="AG183" s="313" t="e">
        <f t="shared" si="970"/>
        <v>#DIV/0!</v>
      </c>
      <c r="AH183" s="289"/>
      <c r="AI183" s="363" t="e">
        <f t="shared" si="971"/>
        <v>#DIV/0!</v>
      </c>
      <c r="AJ183" s="323" t="e">
        <f t="shared" si="927"/>
        <v>#DIV/0!</v>
      </c>
      <c r="AK183" s="81">
        <f t="shared" si="972"/>
        <v>0</v>
      </c>
      <c r="AL183" s="81"/>
      <c r="AM183" s="84">
        <f t="shared" si="973"/>
        <v>0</v>
      </c>
      <c r="AN183" s="85"/>
      <c r="AO183" s="48">
        <f t="shared" si="974"/>
        <v>0</v>
      </c>
      <c r="AP183" s="81"/>
      <c r="AQ183" s="84">
        <f t="shared" si="975"/>
        <v>0</v>
      </c>
      <c r="AR183" s="85"/>
      <c r="AS183" s="84">
        <f t="shared" si="976"/>
        <v>0</v>
      </c>
      <c r="AT183" s="81"/>
      <c r="AU183" s="84">
        <f t="shared" si="977"/>
        <v>0</v>
      </c>
      <c r="AV183" s="85"/>
      <c r="AW183" s="84">
        <f t="shared" si="978"/>
        <v>0</v>
      </c>
      <c r="AX183" s="85"/>
      <c r="AY183" s="84">
        <f t="shared" si="979"/>
        <v>0</v>
      </c>
      <c r="AZ183" s="85"/>
      <c r="BA183" s="84">
        <f t="shared" si="980"/>
        <v>0</v>
      </c>
      <c r="BB183" s="85"/>
      <c r="BC183" s="84">
        <f t="shared" si="981"/>
        <v>0</v>
      </c>
      <c r="BD183" s="85"/>
      <c r="BE183" s="84">
        <f t="shared" si="982"/>
        <v>0</v>
      </c>
      <c r="BF183" s="85"/>
      <c r="BG183" s="84">
        <f t="shared" si="983"/>
        <v>0</v>
      </c>
      <c r="BH183" s="81"/>
      <c r="BI183" s="214">
        <f t="shared" si="984"/>
        <v>0</v>
      </c>
    </row>
    <row r="184" spans="1:61" ht="14.25" hidden="1" customHeight="1" x14ac:dyDescent="0.35">
      <c r="A184" s="100" t="s">
        <v>363</v>
      </c>
      <c r="B184" s="172"/>
      <c r="C184" s="83">
        <f>'2020-21'!AS74</f>
        <v>0</v>
      </c>
      <c r="D184" s="107">
        <f t="shared" si="963"/>
        <v>0</v>
      </c>
      <c r="E184" s="304">
        <f t="shared" si="963"/>
        <v>0</v>
      </c>
      <c r="F184" s="289"/>
      <c r="G184" s="363" t="e">
        <f t="shared" si="964"/>
        <v>#DIV/0!</v>
      </c>
      <c r="H184" s="287"/>
      <c r="I184" s="313" t="e">
        <f t="shared" si="965"/>
        <v>#DIV/0!</v>
      </c>
      <c r="J184" s="287"/>
      <c r="K184" s="288" t="e">
        <f t="shared" si="985"/>
        <v>#DIV/0!</v>
      </c>
      <c r="L184" s="289"/>
      <c r="M184" s="290" t="e">
        <f t="shared" si="986"/>
        <v>#DIV/0!</v>
      </c>
      <c r="N184" s="287"/>
      <c r="O184" s="288" t="e">
        <f t="shared" si="987"/>
        <v>#DIV/0!</v>
      </c>
      <c r="P184" s="289"/>
      <c r="Q184" s="290" t="e">
        <f t="shared" si="988"/>
        <v>#DIV/0!</v>
      </c>
      <c r="R184" s="287"/>
      <c r="S184" s="288" t="e">
        <f t="shared" si="966"/>
        <v>#DIV/0!</v>
      </c>
      <c r="T184" s="287"/>
      <c r="U184" s="288" t="e">
        <f t="shared" si="989"/>
        <v>#DIV/0!</v>
      </c>
      <c r="V184" s="289"/>
      <c r="W184" s="290" t="e">
        <f t="shared" si="990"/>
        <v>#DIV/0!</v>
      </c>
      <c r="X184" s="287"/>
      <c r="Y184" s="313" t="e">
        <f t="shared" si="991"/>
        <v>#DIV/0!</v>
      </c>
      <c r="Z184" s="289"/>
      <c r="AA184" s="363" t="e">
        <f t="shared" si="967"/>
        <v>#DIV/0!</v>
      </c>
      <c r="AB184" s="287"/>
      <c r="AC184" s="313" t="e">
        <f t="shared" si="968"/>
        <v>#DIV/0!</v>
      </c>
      <c r="AD184" s="289"/>
      <c r="AE184" s="363" t="e">
        <f t="shared" si="969"/>
        <v>#DIV/0!</v>
      </c>
      <c r="AF184" s="287"/>
      <c r="AG184" s="313" t="e">
        <f t="shared" si="970"/>
        <v>#DIV/0!</v>
      </c>
      <c r="AH184" s="289"/>
      <c r="AI184" s="363" t="e">
        <f t="shared" si="971"/>
        <v>#DIV/0!</v>
      </c>
      <c r="AJ184" s="323" t="e">
        <f t="shared" si="927"/>
        <v>#DIV/0!</v>
      </c>
      <c r="AK184" s="81">
        <f t="shared" si="972"/>
        <v>0</v>
      </c>
      <c r="AL184" s="81"/>
      <c r="AM184" s="84">
        <f t="shared" si="973"/>
        <v>0</v>
      </c>
      <c r="AN184" s="85"/>
      <c r="AO184" s="48">
        <f t="shared" si="974"/>
        <v>0</v>
      </c>
      <c r="AP184" s="81"/>
      <c r="AQ184" s="84">
        <f t="shared" si="975"/>
        <v>0</v>
      </c>
      <c r="AR184" s="85"/>
      <c r="AS184" s="84">
        <f t="shared" si="976"/>
        <v>0</v>
      </c>
      <c r="AT184" s="81"/>
      <c r="AU184" s="84">
        <f t="shared" si="977"/>
        <v>0</v>
      </c>
      <c r="AV184" s="85"/>
      <c r="AW184" s="84">
        <f t="shared" si="978"/>
        <v>0</v>
      </c>
      <c r="AX184" s="85"/>
      <c r="AY184" s="84">
        <f t="shared" si="979"/>
        <v>0</v>
      </c>
      <c r="AZ184" s="85"/>
      <c r="BA184" s="84">
        <f t="shared" si="980"/>
        <v>0</v>
      </c>
      <c r="BB184" s="85"/>
      <c r="BC184" s="84">
        <f t="shared" si="981"/>
        <v>0</v>
      </c>
      <c r="BD184" s="85"/>
      <c r="BE184" s="84">
        <f t="shared" si="982"/>
        <v>0</v>
      </c>
      <c r="BF184" s="85"/>
      <c r="BG184" s="84">
        <f t="shared" si="983"/>
        <v>0</v>
      </c>
      <c r="BH184" s="81"/>
      <c r="BI184" s="214">
        <f t="shared" si="984"/>
        <v>0</v>
      </c>
    </row>
    <row r="185" spans="1:61" ht="14.25" hidden="1" customHeight="1" x14ac:dyDescent="0.35">
      <c r="A185" s="159" t="s">
        <v>402</v>
      </c>
      <c r="B185" s="170"/>
      <c r="C185" s="83">
        <f>'2020-21'!AS75</f>
        <v>0</v>
      </c>
      <c r="D185" s="107">
        <f t="shared" si="963"/>
        <v>0</v>
      </c>
      <c r="E185" s="304">
        <f t="shared" si="963"/>
        <v>0</v>
      </c>
      <c r="F185" s="289"/>
      <c r="G185" s="363" t="e">
        <f t="shared" si="964"/>
        <v>#DIV/0!</v>
      </c>
      <c r="H185" s="287"/>
      <c r="I185" s="313" t="e">
        <f t="shared" si="965"/>
        <v>#DIV/0!</v>
      </c>
      <c r="J185" s="287"/>
      <c r="K185" s="288" t="e">
        <f t="shared" si="985"/>
        <v>#DIV/0!</v>
      </c>
      <c r="L185" s="289"/>
      <c r="M185" s="290" t="e">
        <f t="shared" si="986"/>
        <v>#DIV/0!</v>
      </c>
      <c r="N185" s="287"/>
      <c r="O185" s="288" t="e">
        <f t="shared" si="987"/>
        <v>#DIV/0!</v>
      </c>
      <c r="P185" s="289"/>
      <c r="Q185" s="290" t="e">
        <f t="shared" si="988"/>
        <v>#DIV/0!</v>
      </c>
      <c r="R185" s="287"/>
      <c r="S185" s="288" t="e">
        <f t="shared" si="966"/>
        <v>#DIV/0!</v>
      </c>
      <c r="T185" s="287"/>
      <c r="U185" s="288" t="e">
        <f t="shared" si="989"/>
        <v>#DIV/0!</v>
      </c>
      <c r="V185" s="289"/>
      <c r="W185" s="290" t="e">
        <f t="shared" si="990"/>
        <v>#DIV/0!</v>
      </c>
      <c r="X185" s="287"/>
      <c r="Y185" s="313" t="e">
        <f t="shared" si="991"/>
        <v>#DIV/0!</v>
      </c>
      <c r="Z185" s="289"/>
      <c r="AA185" s="363" t="e">
        <f t="shared" si="967"/>
        <v>#DIV/0!</v>
      </c>
      <c r="AB185" s="287"/>
      <c r="AC185" s="313" t="e">
        <f t="shared" si="968"/>
        <v>#DIV/0!</v>
      </c>
      <c r="AD185" s="289"/>
      <c r="AE185" s="363" t="e">
        <f t="shared" si="969"/>
        <v>#DIV/0!</v>
      </c>
      <c r="AF185" s="287"/>
      <c r="AG185" s="313" t="e">
        <f t="shared" si="970"/>
        <v>#DIV/0!</v>
      </c>
      <c r="AH185" s="289"/>
      <c r="AI185" s="363" t="e">
        <f t="shared" si="971"/>
        <v>#DIV/0!</v>
      </c>
      <c r="AJ185" s="323" t="e">
        <f t="shared" si="927"/>
        <v>#DIV/0!</v>
      </c>
      <c r="AK185" s="81">
        <f t="shared" si="972"/>
        <v>0</v>
      </c>
      <c r="AL185" s="81"/>
      <c r="AM185" s="84">
        <f t="shared" si="973"/>
        <v>0</v>
      </c>
      <c r="AN185" s="85"/>
      <c r="AO185" s="48">
        <f t="shared" si="974"/>
        <v>0</v>
      </c>
      <c r="AP185" s="81"/>
      <c r="AQ185" s="84">
        <f t="shared" si="975"/>
        <v>0</v>
      </c>
      <c r="AR185" s="85"/>
      <c r="AS185" s="84">
        <f t="shared" si="976"/>
        <v>0</v>
      </c>
      <c r="AT185" s="81"/>
      <c r="AU185" s="84">
        <f t="shared" si="977"/>
        <v>0</v>
      </c>
      <c r="AV185" s="85"/>
      <c r="AW185" s="84">
        <f t="shared" si="978"/>
        <v>0</v>
      </c>
      <c r="AX185" s="85"/>
      <c r="AY185" s="84">
        <f t="shared" si="979"/>
        <v>0</v>
      </c>
      <c r="AZ185" s="85"/>
      <c r="BA185" s="84">
        <f t="shared" si="980"/>
        <v>0</v>
      </c>
      <c r="BB185" s="85"/>
      <c r="BC185" s="84">
        <f t="shared" si="981"/>
        <v>0</v>
      </c>
      <c r="BD185" s="85"/>
      <c r="BE185" s="84">
        <f t="shared" si="982"/>
        <v>0</v>
      </c>
      <c r="BF185" s="85"/>
      <c r="BG185" s="84">
        <f t="shared" si="983"/>
        <v>0</v>
      </c>
      <c r="BH185" s="81"/>
      <c r="BI185" s="214">
        <f t="shared" si="984"/>
        <v>0</v>
      </c>
    </row>
    <row r="186" spans="1:61" ht="14.25" hidden="1" customHeight="1" x14ac:dyDescent="0.35">
      <c r="A186" s="41" t="s">
        <v>221</v>
      </c>
      <c r="B186" s="172"/>
      <c r="C186" s="83">
        <f>'2020-21'!AS76</f>
        <v>0</v>
      </c>
      <c r="D186" s="107">
        <f t="shared" si="963"/>
        <v>0</v>
      </c>
      <c r="E186" s="304">
        <f t="shared" si="963"/>
        <v>0</v>
      </c>
      <c r="F186" s="289"/>
      <c r="G186" s="363" t="e">
        <f t="shared" si="964"/>
        <v>#DIV/0!</v>
      </c>
      <c r="H186" s="287"/>
      <c r="I186" s="313" t="e">
        <f t="shared" si="965"/>
        <v>#DIV/0!</v>
      </c>
      <c r="J186" s="287"/>
      <c r="K186" s="288" t="e">
        <f t="shared" si="985"/>
        <v>#DIV/0!</v>
      </c>
      <c r="L186" s="289"/>
      <c r="M186" s="290" t="e">
        <f t="shared" si="986"/>
        <v>#DIV/0!</v>
      </c>
      <c r="N186" s="287"/>
      <c r="O186" s="288" t="e">
        <f t="shared" si="987"/>
        <v>#DIV/0!</v>
      </c>
      <c r="P186" s="289"/>
      <c r="Q186" s="290" t="e">
        <f t="shared" si="988"/>
        <v>#DIV/0!</v>
      </c>
      <c r="R186" s="287"/>
      <c r="S186" s="288" t="e">
        <f t="shared" si="966"/>
        <v>#DIV/0!</v>
      </c>
      <c r="T186" s="287"/>
      <c r="U186" s="288" t="e">
        <f t="shared" si="989"/>
        <v>#DIV/0!</v>
      </c>
      <c r="V186" s="289"/>
      <c r="W186" s="290" t="e">
        <f t="shared" si="990"/>
        <v>#DIV/0!</v>
      </c>
      <c r="X186" s="287"/>
      <c r="Y186" s="313" t="e">
        <f t="shared" si="991"/>
        <v>#DIV/0!</v>
      </c>
      <c r="Z186" s="289"/>
      <c r="AA186" s="363" t="e">
        <f t="shared" si="967"/>
        <v>#DIV/0!</v>
      </c>
      <c r="AB186" s="287"/>
      <c r="AC186" s="313" t="e">
        <f t="shared" si="968"/>
        <v>#DIV/0!</v>
      </c>
      <c r="AD186" s="289"/>
      <c r="AE186" s="363" t="e">
        <f t="shared" si="969"/>
        <v>#DIV/0!</v>
      </c>
      <c r="AF186" s="287"/>
      <c r="AG186" s="313" t="e">
        <f t="shared" si="970"/>
        <v>#DIV/0!</v>
      </c>
      <c r="AH186" s="289"/>
      <c r="AI186" s="363" t="e">
        <f t="shared" si="971"/>
        <v>#DIV/0!</v>
      </c>
      <c r="AJ186" s="323" t="e">
        <f t="shared" si="927"/>
        <v>#DIV/0!</v>
      </c>
      <c r="AK186" s="81">
        <f t="shared" si="972"/>
        <v>0</v>
      </c>
      <c r="AL186" s="81"/>
      <c r="AM186" s="84">
        <f t="shared" si="973"/>
        <v>0</v>
      </c>
      <c r="AN186" s="85"/>
      <c r="AO186" s="48">
        <f t="shared" si="974"/>
        <v>0</v>
      </c>
      <c r="AP186" s="81"/>
      <c r="AQ186" s="84">
        <f t="shared" si="975"/>
        <v>0</v>
      </c>
      <c r="AR186" s="85"/>
      <c r="AS186" s="84">
        <f t="shared" si="976"/>
        <v>0</v>
      </c>
      <c r="AT186" s="81"/>
      <c r="AU186" s="84">
        <f t="shared" si="977"/>
        <v>0</v>
      </c>
      <c r="AV186" s="85"/>
      <c r="AW186" s="84">
        <f t="shared" si="978"/>
        <v>0</v>
      </c>
      <c r="AX186" s="85"/>
      <c r="AY186" s="84">
        <f t="shared" si="979"/>
        <v>0</v>
      </c>
      <c r="AZ186" s="85"/>
      <c r="BA186" s="84">
        <f t="shared" si="980"/>
        <v>0</v>
      </c>
      <c r="BB186" s="85"/>
      <c r="BC186" s="84">
        <f t="shared" si="981"/>
        <v>0</v>
      </c>
      <c r="BD186" s="85"/>
      <c r="BE186" s="84">
        <f t="shared" si="982"/>
        <v>0</v>
      </c>
      <c r="BF186" s="85"/>
      <c r="BG186" s="84">
        <f t="shared" si="983"/>
        <v>0</v>
      </c>
      <c r="BH186" s="81"/>
      <c r="BI186" s="214">
        <f t="shared" si="984"/>
        <v>0</v>
      </c>
    </row>
    <row r="187" spans="1:61" ht="14.25" hidden="1" customHeight="1" x14ac:dyDescent="0.35">
      <c r="A187" s="66" t="s">
        <v>434</v>
      </c>
      <c r="B187" s="174"/>
      <c r="C187" s="83">
        <f>'2020-21'!AS77</f>
        <v>0</v>
      </c>
      <c r="D187" s="107">
        <f t="shared" si="963"/>
        <v>0</v>
      </c>
      <c r="E187" s="304">
        <f t="shared" si="963"/>
        <v>0</v>
      </c>
      <c r="F187" s="289"/>
      <c r="G187" s="363" t="e">
        <f t="shared" si="964"/>
        <v>#DIV/0!</v>
      </c>
      <c r="H187" s="287"/>
      <c r="I187" s="313" t="e">
        <f t="shared" si="965"/>
        <v>#DIV/0!</v>
      </c>
      <c r="J187" s="287"/>
      <c r="K187" s="288" t="e">
        <f t="shared" si="985"/>
        <v>#DIV/0!</v>
      </c>
      <c r="L187" s="289"/>
      <c r="M187" s="290" t="e">
        <f t="shared" si="986"/>
        <v>#DIV/0!</v>
      </c>
      <c r="N187" s="287"/>
      <c r="O187" s="288" t="e">
        <f t="shared" si="987"/>
        <v>#DIV/0!</v>
      </c>
      <c r="P187" s="289"/>
      <c r="Q187" s="290" t="e">
        <f t="shared" si="988"/>
        <v>#DIV/0!</v>
      </c>
      <c r="R187" s="287"/>
      <c r="S187" s="288" t="e">
        <f t="shared" si="966"/>
        <v>#DIV/0!</v>
      </c>
      <c r="T187" s="287"/>
      <c r="U187" s="288" t="e">
        <f t="shared" si="989"/>
        <v>#DIV/0!</v>
      </c>
      <c r="V187" s="289"/>
      <c r="W187" s="290" t="e">
        <f t="shared" si="990"/>
        <v>#DIV/0!</v>
      </c>
      <c r="X187" s="287"/>
      <c r="Y187" s="313" t="e">
        <f t="shared" si="991"/>
        <v>#DIV/0!</v>
      </c>
      <c r="Z187" s="289"/>
      <c r="AA187" s="363" t="e">
        <f t="shared" si="967"/>
        <v>#DIV/0!</v>
      </c>
      <c r="AB187" s="287"/>
      <c r="AC187" s="313" t="e">
        <f t="shared" si="968"/>
        <v>#DIV/0!</v>
      </c>
      <c r="AD187" s="289"/>
      <c r="AE187" s="363" t="e">
        <f t="shared" si="969"/>
        <v>#DIV/0!</v>
      </c>
      <c r="AF187" s="287"/>
      <c r="AG187" s="313" t="e">
        <f t="shared" si="970"/>
        <v>#DIV/0!</v>
      </c>
      <c r="AH187" s="289"/>
      <c r="AI187" s="363" t="e">
        <f t="shared" si="971"/>
        <v>#DIV/0!</v>
      </c>
      <c r="AJ187" s="323" t="e">
        <f t="shared" si="927"/>
        <v>#DIV/0!</v>
      </c>
      <c r="AK187" s="81">
        <f t="shared" si="972"/>
        <v>0</v>
      </c>
      <c r="AL187" s="81"/>
      <c r="AM187" s="84">
        <f t="shared" si="973"/>
        <v>0</v>
      </c>
      <c r="AN187" s="85"/>
      <c r="AO187" s="48">
        <f t="shared" si="974"/>
        <v>0</v>
      </c>
      <c r="AP187" s="81"/>
      <c r="AQ187" s="84">
        <f t="shared" si="975"/>
        <v>0</v>
      </c>
      <c r="AR187" s="85"/>
      <c r="AS187" s="84">
        <f t="shared" si="976"/>
        <v>0</v>
      </c>
      <c r="AT187" s="81"/>
      <c r="AU187" s="84">
        <f t="shared" si="977"/>
        <v>0</v>
      </c>
      <c r="AV187" s="85"/>
      <c r="AW187" s="84">
        <f t="shared" si="978"/>
        <v>0</v>
      </c>
      <c r="AX187" s="85"/>
      <c r="AY187" s="84">
        <f t="shared" si="979"/>
        <v>0</v>
      </c>
      <c r="AZ187" s="85"/>
      <c r="BA187" s="84">
        <f t="shared" si="980"/>
        <v>0</v>
      </c>
      <c r="BB187" s="85"/>
      <c r="BC187" s="84">
        <f t="shared" si="981"/>
        <v>0</v>
      </c>
      <c r="BD187" s="85"/>
      <c r="BE187" s="84">
        <f t="shared" si="982"/>
        <v>0</v>
      </c>
      <c r="BF187" s="85"/>
      <c r="BG187" s="84">
        <f t="shared" si="983"/>
        <v>0</v>
      </c>
      <c r="BH187" s="81"/>
      <c r="BI187" s="214">
        <f t="shared" si="984"/>
        <v>0</v>
      </c>
    </row>
    <row r="188" spans="1:61" ht="14.25" hidden="1" customHeight="1" x14ac:dyDescent="0.35">
      <c r="A188" s="161" t="s">
        <v>414</v>
      </c>
      <c r="B188" s="177"/>
      <c r="C188" s="83">
        <f>'2020-21'!AS78</f>
        <v>0</v>
      </c>
      <c r="D188" s="107">
        <f t="shared" si="963"/>
        <v>0</v>
      </c>
      <c r="E188" s="304">
        <f t="shared" si="963"/>
        <v>0</v>
      </c>
      <c r="F188" s="289"/>
      <c r="G188" s="363" t="e">
        <f t="shared" si="964"/>
        <v>#DIV/0!</v>
      </c>
      <c r="H188" s="287"/>
      <c r="I188" s="313" t="e">
        <f t="shared" si="965"/>
        <v>#DIV/0!</v>
      </c>
      <c r="J188" s="287"/>
      <c r="K188" s="288" t="e">
        <f t="shared" si="985"/>
        <v>#DIV/0!</v>
      </c>
      <c r="L188" s="289"/>
      <c r="M188" s="290" t="e">
        <f t="shared" si="986"/>
        <v>#DIV/0!</v>
      </c>
      <c r="N188" s="287"/>
      <c r="O188" s="288" t="e">
        <f t="shared" si="987"/>
        <v>#DIV/0!</v>
      </c>
      <c r="P188" s="289"/>
      <c r="Q188" s="290" t="e">
        <f t="shared" si="988"/>
        <v>#DIV/0!</v>
      </c>
      <c r="R188" s="287"/>
      <c r="S188" s="288" t="e">
        <f t="shared" si="966"/>
        <v>#DIV/0!</v>
      </c>
      <c r="T188" s="287"/>
      <c r="U188" s="288" t="e">
        <f t="shared" si="989"/>
        <v>#DIV/0!</v>
      </c>
      <c r="V188" s="289"/>
      <c r="W188" s="290" t="e">
        <f t="shared" si="990"/>
        <v>#DIV/0!</v>
      </c>
      <c r="X188" s="287"/>
      <c r="Y188" s="313" t="e">
        <f t="shared" si="991"/>
        <v>#DIV/0!</v>
      </c>
      <c r="Z188" s="289"/>
      <c r="AA188" s="363" t="e">
        <f t="shared" si="967"/>
        <v>#DIV/0!</v>
      </c>
      <c r="AB188" s="287"/>
      <c r="AC188" s="313" t="e">
        <f t="shared" si="968"/>
        <v>#DIV/0!</v>
      </c>
      <c r="AD188" s="289"/>
      <c r="AE188" s="363" t="e">
        <f t="shared" si="969"/>
        <v>#DIV/0!</v>
      </c>
      <c r="AF188" s="287"/>
      <c r="AG188" s="313" t="e">
        <f t="shared" si="970"/>
        <v>#DIV/0!</v>
      </c>
      <c r="AH188" s="289"/>
      <c r="AI188" s="363" t="e">
        <f t="shared" si="971"/>
        <v>#DIV/0!</v>
      </c>
      <c r="AJ188" s="323" t="e">
        <f t="shared" si="927"/>
        <v>#DIV/0!</v>
      </c>
      <c r="AK188" s="81">
        <f t="shared" si="972"/>
        <v>0</v>
      </c>
      <c r="AL188" s="81"/>
      <c r="AM188" s="84">
        <f t="shared" si="973"/>
        <v>0</v>
      </c>
      <c r="AN188" s="85"/>
      <c r="AO188" s="48">
        <f t="shared" si="974"/>
        <v>0</v>
      </c>
      <c r="AP188" s="81"/>
      <c r="AQ188" s="84">
        <f t="shared" si="975"/>
        <v>0</v>
      </c>
      <c r="AR188" s="85"/>
      <c r="AS188" s="84">
        <f t="shared" si="976"/>
        <v>0</v>
      </c>
      <c r="AT188" s="81"/>
      <c r="AU188" s="84">
        <f t="shared" si="977"/>
        <v>0</v>
      </c>
      <c r="AV188" s="85"/>
      <c r="AW188" s="84">
        <f t="shared" si="978"/>
        <v>0</v>
      </c>
      <c r="AX188" s="85"/>
      <c r="AY188" s="84">
        <f t="shared" si="979"/>
        <v>0</v>
      </c>
      <c r="AZ188" s="85"/>
      <c r="BA188" s="84">
        <f t="shared" si="980"/>
        <v>0</v>
      </c>
      <c r="BB188" s="85"/>
      <c r="BC188" s="84">
        <f t="shared" si="981"/>
        <v>0</v>
      </c>
      <c r="BD188" s="85"/>
      <c r="BE188" s="84">
        <f t="shared" si="982"/>
        <v>0</v>
      </c>
      <c r="BF188" s="85"/>
      <c r="BG188" s="84">
        <f t="shared" si="983"/>
        <v>0</v>
      </c>
      <c r="BH188" s="81"/>
      <c r="BI188" s="214">
        <f t="shared" si="984"/>
        <v>0</v>
      </c>
    </row>
    <row r="189" spans="1:61" ht="14.25" hidden="1" customHeight="1" x14ac:dyDescent="0.35">
      <c r="A189" s="159" t="s">
        <v>387</v>
      </c>
      <c r="B189" s="174"/>
      <c r="C189" s="83">
        <f>'2020-21'!AS79</f>
        <v>0</v>
      </c>
      <c r="D189" s="107">
        <f t="shared" si="963"/>
        <v>0</v>
      </c>
      <c r="E189" s="304">
        <f t="shared" si="963"/>
        <v>0</v>
      </c>
      <c r="F189" s="289"/>
      <c r="G189" s="363" t="e">
        <f t="shared" si="964"/>
        <v>#DIV/0!</v>
      </c>
      <c r="H189" s="287"/>
      <c r="I189" s="313" t="e">
        <f t="shared" si="965"/>
        <v>#DIV/0!</v>
      </c>
      <c r="J189" s="287"/>
      <c r="K189" s="288" t="e">
        <f t="shared" si="985"/>
        <v>#DIV/0!</v>
      </c>
      <c r="L189" s="289"/>
      <c r="M189" s="290" t="e">
        <f t="shared" si="986"/>
        <v>#DIV/0!</v>
      </c>
      <c r="N189" s="287"/>
      <c r="O189" s="288" t="e">
        <f t="shared" si="987"/>
        <v>#DIV/0!</v>
      </c>
      <c r="P189" s="289"/>
      <c r="Q189" s="290" t="e">
        <f t="shared" si="988"/>
        <v>#DIV/0!</v>
      </c>
      <c r="R189" s="287"/>
      <c r="S189" s="288" t="e">
        <f t="shared" si="966"/>
        <v>#DIV/0!</v>
      </c>
      <c r="T189" s="287"/>
      <c r="U189" s="288" t="e">
        <f t="shared" si="989"/>
        <v>#DIV/0!</v>
      </c>
      <c r="V189" s="289"/>
      <c r="W189" s="290" t="e">
        <f t="shared" si="990"/>
        <v>#DIV/0!</v>
      </c>
      <c r="X189" s="287"/>
      <c r="Y189" s="313" t="e">
        <f t="shared" si="991"/>
        <v>#DIV/0!</v>
      </c>
      <c r="Z189" s="289"/>
      <c r="AA189" s="363" t="e">
        <f t="shared" si="967"/>
        <v>#DIV/0!</v>
      </c>
      <c r="AB189" s="287"/>
      <c r="AC189" s="313" t="e">
        <f t="shared" si="968"/>
        <v>#DIV/0!</v>
      </c>
      <c r="AD189" s="289"/>
      <c r="AE189" s="363" t="e">
        <f t="shared" si="969"/>
        <v>#DIV/0!</v>
      </c>
      <c r="AF189" s="287"/>
      <c r="AG189" s="313" t="e">
        <f t="shared" si="970"/>
        <v>#DIV/0!</v>
      </c>
      <c r="AH189" s="289"/>
      <c r="AI189" s="363" t="e">
        <f t="shared" si="971"/>
        <v>#DIV/0!</v>
      </c>
      <c r="AJ189" s="323" t="e">
        <f t="shared" si="927"/>
        <v>#DIV/0!</v>
      </c>
      <c r="AK189" s="81">
        <f t="shared" si="972"/>
        <v>0</v>
      </c>
      <c r="AL189" s="81"/>
      <c r="AM189" s="84">
        <f t="shared" si="973"/>
        <v>0</v>
      </c>
      <c r="AN189" s="85"/>
      <c r="AO189" s="48">
        <f t="shared" si="974"/>
        <v>0</v>
      </c>
      <c r="AP189" s="81"/>
      <c r="AQ189" s="84">
        <f t="shared" si="975"/>
        <v>0</v>
      </c>
      <c r="AR189" s="85"/>
      <c r="AS189" s="84">
        <f t="shared" si="976"/>
        <v>0</v>
      </c>
      <c r="AT189" s="81"/>
      <c r="AU189" s="84">
        <f t="shared" si="977"/>
        <v>0</v>
      </c>
      <c r="AV189" s="85"/>
      <c r="AW189" s="84">
        <f t="shared" si="978"/>
        <v>0</v>
      </c>
      <c r="AX189" s="85"/>
      <c r="AY189" s="84">
        <f t="shared" si="979"/>
        <v>0</v>
      </c>
      <c r="AZ189" s="85"/>
      <c r="BA189" s="84">
        <f t="shared" si="980"/>
        <v>0</v>
      </c>
      <c r="BB189" s="85"/>
      <c r="BC189" s="84">
        <f t="shared" si="981"/>
        <v>0</v>
      </c>
      <c r="BD189" s="85"/>
      <c r="BE189" s="84">
        <f t="shared" si="982"/>
        <v>0</v>
      </c>
      <c r="BF189" s="85"/>
      <c r="BG189" s="84">
        <f t="shared" si="983"/>
        <v>0</v>
      </c>
      <c r="BH189" s="81"/>
      <c r="BI189" s="214">
        <f t="shared" si="984"/>
        <v>0</v>
      </c>
    </row>
    <row r="190" spans="1:61" ht="14.25" hidden="1" customHeight="1" x14ac:dyDescent="0.35">
      <c r="A190" s="187" t="s">
        <v>408</v>
      </c>
      <c r="B190" s="173"/>
      <c r="C190" s="83">
        <f>'2020-21'!AS80</f>
        <v>0</v>
      </c>
      <c r="D190" s="107">
        <f t="shared" si="963"/>
        <v>0</v>
      </c>
      <c r="E190" s="304">
        <f t="shared" si="963"/>
        <v>0</v>
      </c>
      <c r="F190" s="289"/>
      <c r="G190" s="363" t="e">
        <f t="shared" si="964"/>
        <v>#DIV/0!</v>
      </c>
      <c r="H190" s="287"/>
      <c r="I190" s="313" t="e">
        <f t="shared" si="965"/>
        <v>#DIV/0!</v>
      </c>
      <c r="J190" s="287"/>
      <c r="K190" s="288" t="e">
        <f t="shared" si="985"/>
        <v>#DIV/0!</v>
      </c>
      <c r="L190" s="289"/>
      <c r="M190" s="290" t="e">
        <f t="shared" si="986"/>
        <v>#DIV/0!</v>
      </c>
      <c r="N190" s="287"/>
      <c r="O190" s="288" t="e">
        <f t="shared" si="987"/>
        <v>#DIV/0!</v>
      </c>
      <c r="P190" s="289"/>
      <c r="Q190" s="290" t="e">
        <f t="shared" si="988"/>
        <v>#DIV/0!</v>
      </c>
      <c r="R190" s="287"/>
      <c r="S190" s="288" t="e">
        <f t="shared" si="966"/>
        <v>#DIV/0!</v>
      </c>
      <c r="T190" s="287"/>
      <c r="U190" s="288" t="e">
        <f t="shared" si="989"/>
        <v>#DIV/0!</v>
      </c>
      <c r="V190" s="289"/>
      <c r="W190" s="290" t="e">
        <f t="shared" si="990"/>
        <v>#DIV/0!</v>
      </c>
      <c r="X190" s="287"/>
      <c r="Y190" s="313" t="e">
        <f t="shared" si="991"/>
        <v>#DIV/0!</v>
      </c>
      <c r="Z190" s="289"/>
      <c r="AA190" s="363" t="e">
        <f t="shared" si="967"/>
        <v>#DIV/0!</v>
      </c>
      <c r="AB190" s="287"/>
      <c r="AC190" s="313" t="e">
        <f t="shared" si="968"/>
        <v>#DIV/0!</v>
      </c>
      <c r="AD190" s="289"/>
      <c r="AE190" s="363" t="e">
        <f t="shared" si="969"/>
        <v>#DIV/0!</v>
      </c>
      <c r="AF190" s="287"/>
      <c r="AG190" s="313" t="e">
        <f t="shared" si="970"/>
        <v>#DIV/0!</v>
      </c>
      <c r="AH190" s="289"/>
      <c r="AI190" s="363" t="e">
        <f t="shared" si="971"/>
        <v>#DIV/0!</v>
      </c>
      <c r="AJ190" s="323" t="e">
        <f t="shared" si="927"/>
        <v>#DIV/0!</v>
      </c>
      <c r="AK190" s="81">
        <f t="shared" si="972"/>
        <v>0</v>
      </c>
      <c r="AL190" s="81"/>
      <c r="AM190" s="84">
        <f t="shared" si="973"/>
        <v>0</v>
      </c>
      <c r="AN190" s="85"/>
      <c r="AO190" s="48">
        <f t="shared" si="974"/>
        <v>0</v>
      </c>
      <c r="AP190" s="81"/>
      <c r="AQ190" s="84">
        <f t="shared" si="975"/>
        <v>0</v>
      </c>
      <c r="AR190" s="85"/>
      <c r="AS190" s="84">
        <f t="shared" si="976"/>
        <v>0</v>
      </c>
      <c r="AT190" s="81"/>
      <c r="AU190" s="84">
        <f t="shared" si="977"/>
        <v>0</v>
      </c>
      <c r="AV190" s="85"/>
      <c r="AW190" s="84">
        <f t="shared" si="978"/>
        <v>0</v>
      </c>
      <c r="AX190" s="85"/>
      <c r="AY190" s="84">
        <f t="shared" si="979"/>
        <v>0</v>
      </c>
      <c r="AZ190" s="85"/>
      <c r="BA190" s="84">
        <f t="shared" si="980"/>
        <v>0</v>
      </c>
      <c r="BB190" s="85"/>
      <c r="BC190" s="84">
        <f t="shared" si="981"/>
        <v>0</v>
      </c>
      <c r="BD190" s="85"/>
      <c r="BE190" s="84">
        <f t="shared" si="982"/>
        <v>0</v>
      </c>
      <c r="BF190" s="85"/>
      <c r="BG190" s="84">
        <f t="shared" si="983"/>
        <v>0</v>
      </c>
      <c r="BH190" s="81"/>
      <c r="BI190" s="214">
        <f t="shared" si="984"/>
        <v>0</v>
      </c>
    </row>
    <row r="191" spans="1:61" ht="14.25" hidden="1" customHeight="1" x14ac:dyDescent="0.35">
      <c r="A191" s="100"/>
      <c r="B191" s="172"/>
      <c r="C191" s="107"/>
      <c r="D191" s="107"/>
      <c r="E191" s="304"/>
      <c r="F191" s="289"/>
      <c r="G191" s="363" t="e">
        <f t="shared" si="964"/>
        <v>#DIV/0!</v>
      </c>
      <c r="H191" s="287"/>
      <c r="I191" s="313" t="e">
        <f t="shared" si="965"/>
        <v>#DIV/0!</v>
      </c>
      <c r="J191" s="287"/>
      <c r="K191" s="288"/>
      <c r="L191" s="289"/>
      <c r="M191" s="289"/>
      <c r="N191" s="287"/>
      <c r="O191" s="287"/>
      <c r="P191" s="289"/>
      <c r="Q191" s="289"/>
      <c r="R191" s="287"/>
      <c r="S191" s="287"/>
      <c r="T191" s="287"/>
      <c r="U191" s="287"/>
      <c r="V191" s="289"/>
      <c r="W191" s="289"/>
      <c r="X191" s="287"/>
      <c r="Y191" s="314"/>
      <c r="Z191" s="289"/>
      <c r="AA191" s="364"/>
      <c r="AB191" s="287"/>
      <c r="AC191" s="313" t="e">
        <f t="shared" si="968"/>
        <v>#DIV/0!</v>
      </c>
      <c r="AD191" s="289"/>
      <c r="AE191" s="364"/>
      <c r="AF191" s="287"/>
      <c r="AG191" s="313" t="e">
        <f t="shared" si="970"/>
        <v>#DIV/0!</v>
      </c>
      <c r="AH191" s="289"/>
      <c r="AI191" s="363" t="e">
        <f t="shared" si="971"/>
        <v>#DIV/0!</v>
      </c>
      <c r="AJ191" s="323" t="e">
        <f t="shared" si="927"/>
        <v>#DIV/0!</v>
      </c>
      <c r="AK191" s="81"/>
      <c r="AL191" s="81"/>
      <c r="AM191" s="84"/>
      <c r="AN191" s="85"/>
      <c r="AO191" s="81"/>
      <c r="AP191" s="81"/>
      <c r="AQ191" s="84"/>
      <c r="AR191" s="85"/>
      <c r="AS191" s="84"/>
      <c r="AT191" s="81"/>
      <c r="AU191" s="84"/>
      <c r="AV191" s="85"/>
      <c r="AW191" s="84"/>
      <c r="AX191" s="85"/>
      <c r="AY191" s="84"/>
      <c r="AZ191" s="85"/>
      <c r="BA191" s="84"/>
      <c r="BB191" s="85"/>
      <c r="BC191" s="84"/>
      <c r="BD191" s="85"/>
      <c r="BE191" s="84"/>
      <c r="BF191" s="85"/>
      <c r="BG191" s="84"/>
      <c r="BH191" s="81"/>
      <c r="BI191" s="214"/>
    </row>
    <row r="192" spans="1:61" x14ac:dyDescent="0.35">
      <c r="A192" s="159"/>
      <c r="B192" s="172"/>
      <c r="C192" s="107"/>
      <c r="D192" s="107"/>
      <c r="E192" s="304"/>
      <c r="F192" s="293"/>
      <c r="G192" s="365"/>
      <c r="H192" s="291"/>
      <c r="I192" s="315"/>
      <c r="J192" s="291"/>
      <c r="K192" s="292"/>
      <c r="L192" s="293"/>
      <c r="M192" s="293"/>
      <c r="N192" s="291"/>
      <c r="O192" s="291"/>
      <c r="P192" s="293"/>
      <c r="Q192" s="293"/>
      <c r="R192" s="291"/>
      <c r="S192" s="291"/>
      <c r="T192" s="291"/>
      <c r="U192" s="291"/>
      <c r="V192" s="293"/>
      <c r="W192" s="293"/>
      <c r="X192" s="291"/>
      <c r="Y192" s="315"/>
      <c r="Z192" s="293"/>
      <c r="AA192" s="365"/>
      <c r="AB192" s="291"/>
      <c r="AC192" s="313"/>
      <c r="AD192" s="293"/>
      <c r="AE192" s="365"/>
      <c r="AF192" s="291"/>
      <c r="AG192" s="313"/>
      <c r="AH192" s="293"/>
      <c r="AI192" s="363"/>
      <c r="AJ192" s="323">
        <f t="shared" si="927"/>
        <v>0</v>
      </c>
      <c r="AK192" s="81"/>
      <c r="AL192" s="81"/>
      <c r="AM192" s="84"/>
      <c r="AN192" s="85"/>
      <c r="AO192" s="81"/>
      <c r="AP192" s="81"/>
      <c r="AQ192" s="84"/>
      <c r="AR192" s="85"/>
      <c r="AS192" s="84"/>
      <c r="AT192" s="81"/>
      <c r="AU192" s="84"/>
      <c r="AV192" s="85"/>
      <c r="AW192" s="84"/>
      <c r="AX192" s="85"/>
      <c r="AY192" s="84"/>
      <c r="AZ192" s="85"/>
      <c r="BA192" s="84"/>
      <c r="BB192" s="85"/>
      <c r="BC192" s="84"/>
      <c r="BD192" s="85"/>
      <c r="BE192" s="84"/>
      <c r="BF192" s="85"/>
      <c r="BG192" s="84"/>
      <c r="BH192" s="81"/>
      <c r="BI192" s="214"/>
    </row>
    <row r="193" spans="1:63" x14ac:dyDescent="0.35">
      <c r="A193" s="159"/>
      <c r="B193" s="173"/>
      <c r="C193" s="83"/>
      <c r="D193" s="83"/>
      <c r="E193" s="301"/>
      <c r="F193" s="286"/>
      <c r="G193" s="360"/>
      <c r="H193" s="285"/>
      <c r="I193" s="312"/>
      <c r="J193" s="285"/>
      <c r="K193" s="294"/>
      <c r="L193" s="286"/>
      <c r="M193" s="286"/>
      <c r="N193" s="285"/>
      <c r="O193" s="285"/>
      <c r="P193" s="286"/>
      <c r="Q193" s="286"/>
      <c r="R193" s="285"/>
      <c r="S193" s="285"/>
      <c r="T193" s="285"/>
      <c r="U193" s="285"/>
      <c r="V193" s="286"/>
      <c r="W193" s="286"/>
      <c r="X193" s="285"/>
      <c r="Y193" s="312"/>
      <c r="Z193" s="286"/>
      <c r="AA193" s="360"/>
      <c r="AB193" s="285"/>
      <c r="AC193" s="313"/>
      <c r="AD193" s="286"/>
      <c r="AE193" s="360"/>
      <c r="AF193" s="285"/>
      <c r="AG193" s="313"/>
      <c r="AH193" s="286"/>
      <c r="AI193" s="360"/>
      <c r="AJ193" s="323">
        <f t="shared" si="927"/>
        <v>0</v>
      </c>
      <c r="AL193" s="81"/>
      <c r="AM193" s="84"/>
      <c r="AN193" s="85"/>
      <c r="AO193" s="81"/>
      <c r="AP193" s="81"/>
      <c r="AQ193" s="84"/>
      <c r="AR193" s="85"/>
      <c r="AS193" s="84"/>
      <c r="AT193" s="81"/>
      <c r="AU193" s="84"/>
      <c r="AV193" s="85"/>
      <c r="AW193" s="84"/>
      <c r="AX193" s="85"/>
      <c r="AY193" s="84"/>
      <c r="AZ193" s="85"/>
      <c r="BA193" s="84"/>
      <c r="BB193" s="85"/>
      <c r="BC193" s="84"/>
      <c r="BD193" s="85"/>
      <c r="BE193" s="84"/>
      <c r="BF193" s="85"/>
      <c r="BG193" s="84"/>
      <c r="BH193" s="81"/>
      <c r="BI193" s="214"/>
    </row>
    <row r="194" spans="1:63" ht="13.9" thickBot="1" x14ac:dyDescent="0.4">
      <c r="A194" s="159"/>
      <c r="B194" s="206"/>
      <c r="C194" s="207">
        <f>SUM(C8:C193)</f>
        <v>6116610.4100000001</v>
      </c>
      <c r="D194" s="207">
        <f>SUM(D8:D193)</f>
        <v>3608226.7600000002</v>
      </c>
      <c r="E194" s="310">
        <f>SUM(E8:E191)</f>
        <v>2580004.2399999988</v>
      </c>
      <c r="F194" s="308">
        <f>SUM(F23:F155)</f>
        <v>40575</v>
      </c>
      <c r="G194" s="366">
        <f>F194/E194</f>
        <v>1.572671834058692E-2</v>
      </c>
      <c r="H194" s="306">
        <f>SUM(H23:H155)</f>
        <v>51783.43</v>
      </c>
      <c r="I194" s="316">
        <f>H194/E194</f>
        <v>2.0071063914220554E-2</v>
      </c>
      <c r="J194" s="306">
        <f>SUM(J23:J155)</f>
        <v>355274.16399999999</v>
      </c>
      <c r="K194" s="307">
        <f>J194/E194</f>
        <v>0.1377029380385825</v>
      </c>
      <c r="L194" s="308">
        <f>SUM(L22:L155)</f>
        <v>361031.82</v>
      </c>
      <c r="M194" s="309">
        <f>L194/E194</f>
        <v>0.13993458398347444</v>
      </c>
      <c r="N194" s="306">
        <f>SUM(N23:N155)</f>
        <v>402204.31</v>
      </c>
      <c r="O194" s="307">
        <f>N194/E194</f>
        <v>0.15589288721479008</v>
      </c>
      <c r="P194" s="308">
        <f>SUM(P23:P155)</f>
        <v>318877.51</v>
      </c>
      <c r="Q194" s="309">
        <f>P194/E194</f>
        <v>0.12359573098996153</v>
      </c>
      <c r="R194" s="306">
        <f>SUM(R23:R155)</f>
        <v>139899.56999999998</v>
      </c>
      <c r="S194" s="307">
        <f>R194/C194</f>
        <v>2.2872074665942304E-2</v>
      </c>
      <c r="T194" s="306">
        <f>SUM(T23:T155)</f>
        <v>202805.43999999997</v>
      </c>
      <c r="U194" s="307">
        <f>T194/E194</f>
        <v>7.860663050693284E-2</v>
      </c>
      <c r="V194" s="308">
        <f>SUM(V23:V155)</f>
        <v>245362.08</v>
      </c>
      <c r="W194" s="309">
        <f>V194/E194</f>
        <v>9.5101425104634749E-2</v>
      </c>
      <c r="X194" s="306">
        <f>SUM(X23:X155)</f>
        <v>39610.28</v>
      </c>
      <c r="Y194" s="316">
        <f>X194/E194</f>
        <v>1.5352796474474018E-2</v>
      </c>
      <c r="Z194" s="308">
        <f>SUM(Z23:Z155)</f>
        <v>78622.05</v>
      </c>
      <c r="AA194" s="366">
        <f>Z194/E194</f>
        <v>3.0473612710031839E-2</v>
      </c>
      <c r="AB194" s="306">
        <f>SUM(AB23:AB155)</f>
        <v>88132.25</v>
      </c>
      <c r="AC194" s="316">
        <f>AB194/C194</f>
        <v>1.4408674754879475E-2</v>
      </c>
      <c r="AD194" s="308">
        <f>SUM(AD23:AD155)</f>
        <v>7004.73</v>
      </c>
      <c r="AE194" s="366">
        <f>AD194/I194</f>
        <v>348996.44732021791</v>
      </c>
      <c r="AF194" s="306">
        <f>SUM(AF23:AF155)</f>
        <v>10139.48</v>
      </c>
      <c r="AG194" s="316">
        <f>AF194/E194</f>
        <v>3.9300245491069438E-3</v>
      </c>
      <c r="AH194" s="308">
        <f>SUM(AH23:AH155)</f>
        <v>325076.63999999996</v>
      </c>
      <c r="AI194" s="366">
        <f>AH194/E194</f>
        <v>0.12599849060713175</v>
      </c>
      <c r="AJ194" s="324">
        <f t="shared" ref="AJ194" si="992">AI194+G194+Y194+W194+U194+Q194+O194+M194+K194</f>
        <v>0.8879122012605688</v>
      </c>
      <c r="AK194" s="76"/>
      <c r="AL194" s="220"/>
      <c r="AM194" s="153"/>
      <c r="AN194" s="144"/>
      <c r="AO194" s="147"/>
      <c r="AP194" s="147"/>
      <c r="AQ194" s="153"/>
      <c r="AR194" s="144"/>
      <c r="AS194" s="153"/>
      <c r="AT194" s="147"/>
      <c r="AU194" s="153"/>
      <c r="AV194" s="144"/>
      <c r="AW194" s="153"/>
      <c r="AX194" s="144"/>
      <c r="AY194" s="153"/>
      <c r="AZ194" s="144"/>
      <c r="BA194" s="153"/>
      <c r="BB194" s="144"/>
      <c r="BC194" s="153"/>
      <c r="BD194" s="144"/>
      <c r="BE194" s="153"/>
      <c r="BF194" s="144"/>
      <c r="BG194" s="153"/>
      <c r="BH194" s="147"/>
      <c r="BI194" s="215"/>
    </row>
    <row r="195" spans="1:63" ht="13.9" thickTop="1" x14ac:dyDescent="0.35">
      <c r="A195" s="188"/>
      <c r="B195" s="189"/>
      <c r="C195" s="190"/>
      <c r="D195" s="190"/>
      <c r="E195" s="190"/>
      <c r="F195" s="190"/>
      <c r="G195" s="190"/>
      <c r="H195" s="190"/>
      <c r="I195" s="190"/>
      <c r="J195" s="190"/>
      <c r="K195" s="295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L195" s="48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5"/>
      <c r="BI195" s="48"/>
      <c r="BJ195" s="69">
        <f>SUM(BJ23:BJ194)</f>
        <v>97981</v>
      </c>
      <c r="BK195" s="69">
        <f>SUM(BK23:BK194)</f>
        <v>80559</v>
      </c>
    </row>
    <row r="196" spans="1:63" x14ac:dyDescent="0.35">
      <c r="A196" s="88" t="s">
        <v>155</v>
      </c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53">
        <f>SUM(AK8:AK193)</f>
        <v>181874.11000000002</v>
      </c>
      <c r="AL196" s="53"/>
      <c r="AM196" s="53">
        <f>SUM(AM8:AM193)</f>
        <v>222492.38</v>
      </c>
      <c r="AN196" s="53"/>
      <c r="AO196" s="53">
        <f>SUM(AO8:AO193)</f>
        <v>126707.90999999999</v>
      </c>
      <c r="AP196" s="53"/>
      <c r="AQ196" s="53">
        <f>SUM(AQ8:AQ193)</f>
        <v>130865.48000000001</v>
      </c>
      <c r="AR196" s="53"/>
      <c r="AS196" s="53">
        <f>SUM(AS8:AS193)</f>
        <v>162118.79</v>
      </c>
      <c r="AT196" s="53"/>
      <c r="AU196" s="53">
        <f>SUM(AU8:AU193)</f>
        <v>150870.56</v>
      </c>
      <c r="AV196" s="53"/>
      <c r="AW196" s="53">
        <f>SUM(AW8:AW193)</f>
        <v>190818.43000000002</v>
      </c>
      <c r="AX196" s="53"/>
      <c r="AY196" s="89">
        <f>SUM(AY8:AY191)</f>
        <v>167230.47</v>
      </c>
      <c r="AZ196" s="89"/>
      <c r="BA196" s="89">
        <f>SUM(BA8:BA191)</f>
        <v>194810.31</v>
      </c>
      <c r="BB196" s="89"/>
      <c r="BC196" s="53">
        <f>SUM(BC8:BC195)</f>
        <v>270680.11</v>
      </c>
      <c r="BD196" s="89"/>
      <c r="BE196" s="89">
        <f>SUM(BE8:BE191)</f>
        <v>60478.5</v>
      </c>
      <c r="BF196" s="89"/>
      <c r="BG196" s="89">
        <f>SUM(BG8:BG191)</f>
        <v>199420.36999999991</v>
      </c>
      <c r="BH196" s="90"/>
    </row>
    <row r="197" spans="1:63" x14ac:dyDescent="0.35">
      <c r="A197" s="26" t="s">
        <v>729</v>
      </c>
      <c r="B197" s="157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>
        <f>SUM(AL8:AL194)</f>
        <v>181874.42</v>
      </c>
      <c r="AM197" s="93"/>
      <c r="AN197" s="93">
        <f>SUM(AN8:AN194)</f>
        <v>123740.13</v>
      </c>
      <c r="AO197" s="93"/>
      <c r="AP197" s="93">
        <f>SUM(AP8:AP194)</f>
        <v>126708.18</v>
      </c>
      <c r="AQ197" s="93"/>
      <c r="AR197" s="93">
        <f>SUM(AR8:AR194)</f>
        <v>130865.35</v>
      </c>
      <c r="AS197" s="93"/>
      <c r="AT197" s="93">
        <f>SUM(AT8:AT194)</f>
        <v>162119.92000000001</v>
      </c>
      <c r="AU197" s="93"/>
      <c r="AV197" s="93">
        <f>SUM(AV8:AV194)</f>
        <v>150870.73000000001</v>
      </c>
      <c r="AW197" s="93"/>
      <c r="AX197" s="93">
        <f>SUM(AX8:AX194)</f>
        <v>190817.89</v>
      </c>
      <c r="AY197" s="93"/>
      <c r="AZ197" s="93">
        <f>SUM(AZ8:AZ194)</f>
        <v>167229.59</v>
      </c>
      <c r="BA197" s="93"/>
      <c r="BB197" s="93">
        <f>SUM(BB8:BB194)</f>
        <v>194809.95</v>
      </c>
      <c r="BC197" s="93"/>
      <c r="BD197" s="93">
        <f>SUM(BD8:BD194)</f>
        <v>270680.03999999998</v>
      </c>
      <c r="BE197" s="93"/>
      <c r="BF197" s="93">
        <f>SUM(BF8:BF194)</f>
        <v>60478.32</v>
      </c>
      <c r="BG197" s="93"/>
      <c r="BH197" s="93">
        <f>SUM(BH8:BH194)</f>
        <v>191144.32999999996</v>
      </c>
      <c r="BI197" s="81"/>
    </row>
    <row r="198" spans="1:63" x14ac:dyDescent="0.35">
      <c r="A198" s="199" t="s">
        <v>439</v>
      </c>
      <c r="B198" s="200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>
        <f>'2023-24'!AH184</f>
        <v>158416.10999999999</v>
      </c>
      <c r="AM198" s="201"/>
      <c r="AN198" s="201">
        <f>'2023-24'!AJ184</f>
        <v>180398.53</v>
      </c>
      <c r="AO198" s="201"/>
      <c r="AP198" s="201">
        <f>'2023-24'!AL184</f>
        <v>119253.95999999999</v>
      </c>
      <c r="AQ198" s="201"/>
      <c r="AR198" s="201">
        <f>'2023-24'!AN184</f>
        <v>189167.12</v>
      </c>
      <c r="AS198" s="201"/>
      <c r="AT198" s="201">
        <f>'2023-24'!AP184</f>
        <v>161943.24999999997</v>
      </c>
      <c r="AU198" s="201"/>
      <c r="AV198" s="201">
        <f>'2023-24'!AR184</f>
        <v>205372.55000000005</v>
      </c>
      <c r="AW198" s="201"/>
      <c r="AX198" s="201">
        <f>'2023-24'!AT184</f>
        <v>176570.41</v>
      </c>
      <c r="AY198" s="201"/>
      <c r="AZ198" s="201">
        <f>'2023-24'!AV184</f>
        <v>165823.42000000001</v>
      </c>
      <c r="BA198" s="201"/>
      <c r="BB198" s="201">
        <f>'2023-24'!AX184</f>
        <v>260808.57000000004</v>
      </c>
      <c r="BC198" s="201"/>
      <c r="BD198" s="201">
        <f>'2023-24'!AZ184</f>
        <v>247889.09</v>
      </c>
      <c r="BE198" s="201"/>
      <c r="BF198" s="201">
        <f>'2023-24'!BB184</f>
        <v>82500.649999999994</v>
      </c>
      <c r="BG198" s="201"/>
      <c r="BH198" s="201">
        <f>'2023-24'!BD184</f>
        <v>237189.19000000003</v>
      </c>
      <c r="BI198" s="48"/>
    </row>
    <row r="199" spans="1:63" x14ac:dyDescent="0.35">
      <c r="A199" s="199" t="s">
        <v>440</v>
      </c>
      <c r="B199" s="200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>
        <f>'2023-24'!AH185</f>
        <v>154898</v>
      </c>
      <c r="AM199" s="201"/>
      <c r="AN199" s="201">
        <f>'2023-24'!AJ185</f>
        <v>158376.25</v>
      </c>
      <c r="AO199" s="201"/>
      <c r="AP199" s="201">
        <f>'2023-24'!AL185</f>
        <v>133613.82</v>
      </c>
      <c r="AQ199" s="201"/>
      <c r="AR199" s="201">
        <f>'2023-24'!AN185</f>
        <v>120404.76000000001</v>
      </c>
      <c r="AS199" s="201"/>
      <c r="AT199" s="201">
        <f>'2023-24'!AP185</f>
        <v>154926.74</v>
      </c>
      <c r="AU199" s="201"/>
      <c r="AV199" s="201">
        <f>'2023-24'!AR185</f>
        <v>169090.65</v>
      </c>
      <c r="AW199" s="201"/>
      <c r="AX199" s="201">
        <f>'2023-24'!AT185</f>
        <v>144675.49000000002</v>
      </c>
      <c r="AY199" s="358" t="s">
        <v>91</v>
      </c>
      <c r="AZ199" s="201">
        <f>'2023-24'!AV185</f>
        <v>135375.44999999998</v>
      </c>
      <c r="BA199" s="201"/>
      <c r="BB199" s="201">
        <f>'2023-24'!AX185</f>
        <v>202173.71000000002</v>
      </c>
      <c r="BC199" s="201"/>
      <c r="BD199" s="201">
        <f>'2023-24'!AZ185</f>
        <v>205389.38999999998</v>
      </c>
      <c r="BE199" s="201"/>
      <c r="BF199" s="201">
        <f>'2023-24'!BB185</f>
        <v>76944.89</v>
      </c>
      <c r="BG199" s="201"/>
      <c r="BH199" s="201">
        <f>'2023-24'!BD185</f>
        <v>181104.2</v>
      </c>
      <c r="BI199" s="48"/>
    </row>
    <row r="200" spans="1:63" x14ac:dyDescent="0.35"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48" t="s">
        <v>728</v>
      </c>
    </row>
    <row r="201" spans="1:63" x14ac:dyDescent="0.35">
      <c r="A201" s="88" t="s">
        <v>225</v>
      </c>
      <c r="B201" s="184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>
        <f>AK196</f>
        <v>181874.11000000002</v>
      </c>
      <c r="AL201" s="89"/>
      <c r="AM201" s="89">
        <f>AM196+AK201</f>
        <v>404366.49</v>
      </c>
      <c r="AN201" s="89"/>
      <c r="AO201" s="354">
        <f>AO196+AM201</f>
        <v>531074.4</v>
      </c>
      <c r="AP201" s="89"/>
      <c r="AQ201" s="89">
        <f>AQ196+AO201</f>
        <v>661939.88</v>
      </c>
      <c r="AR201" s="89"/>
      <c r="AS201" s="89">
        <f>AS196+AQ201</f>
        <v>824058.67</v>
      </c>
      <c r="AT201" s="89"/>
      <c r="AU201" s="89">
        <f>AU196+AS201</f>
        <v>974929.23</v>
      </c>
      <c r="AV201" s="89"/>
      <c r="AW201" s="89">
        <f>AW196+AU201</f>
        <v>1165747.6599999999</v>
      </c>
      <c r="AX201" s="89"/>
      <c r="AY201" s="89">
        <f>AY196+AW201</f>
        <v>1332978.1299999999</v>
      </c>
      <c r="AZ201" s="89"/>
      <c r="BA201" s="89">
        <f>BA196+AY201</f>
        <v>1527788.44</v>
      </c>
      <c r="BB201" s="89"/>
      <c r="BC201" s="89">
        <f>BC196+BA201</f>
        <v>1798468.5499999998</v>
      </c>
      <c r="BD201" s="89"/>
      <c r="BE201" s="89">
        <f>BE196+BC201</f>
        <v>1858947.0499999998</v>
      </c>
      <c r="BF201" s="89"/>
      <c r="BG201" s="89">
        <f>BG196+BE201</f>
        <v>2058367.4199999997</v>
      </c>
      <c r="BH201" s="90"/>
      <c r="BI201" s="81">
        <f>SUM(BI8:BI194)</f>
        <v>1510574.3000000003</v>
      </c>
    </row>
    <row r="202" spans="1:63" x14ac:dyDescent="0.35">
      <c r="A202" s="26" t="s">
        <v>727</v>
      </c>
      <c r="B202" s="157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>
        <f>AL197</f>
        <v>181874.42</v>
      </c>
      <c r="AM202" s="93"/>
      <c r="AN202" s="93">
        <f>AN197+AL202</f>
        <v>305614.55000000005</v>
      </c>
      <c r="AO202" s="93"/>
      <c r="AP202" s="93">
        <f>AP197+AN202</f>
        <v>432322.73000000004</v>
      </c>
      <c r="AQ202" s="93"/>
      <c r="AR202" s="93">
        <f>AR197+AP202</f>
        <v>563188.08000000007</v>
      </c>
      <c r="AS202" s="93"/>
      <c r="AT202" s="93">
        <f>AT197+AR202</f>
        <v>725308.00000000012</v>
      </c>
      <c r="AU202" s="93"/>
      <c r="AV202" s="93">
        <f>AV197+AT202</f>
        <v>876178.7300000001</v>
      </c>
      <c r="AW202" s="93"/>
      <c r="AX202" s="93">
        <f>AX197+AV202</f>
        <v>1066996.6200000001</v>
      </c>
      <c r="AY202" s="93"/>
      <c r="AZ202" s="93">
        <f>AZ197+AX202</f>
        <v>1234226.2100000002</v>
      </c>
      <c r="BA202" s="93"/>
      <c r="BB202" s="93">
        <f>BB197+AZ202</f>
        <v>1429036.1600000001</v>
      </c>
      <c r="BC202" s="93"/>
      <c r="BD202" s="93">
        <f>BD197+BB202</f>
        <v>1699716.2000000002</v>
      </c>
      <c r="BE202" s="93"/>
      <c r="BF202" s="93">
        <f>BF197+BD202</f>
        <v>1760194.5200000003</v>
      </c>
      <c r="BG202" s="93"/>
      <c r="BH202" s="203">
        <f>BH197+BF202</f>
        <v>1951338.85</v>
      </c>
      <c r="BI202" s="81"/>
    </row>
    <row r="203" spans="1:63" x14ac:dyDescent="0.35">
      <c r="A203" s="191" t="s">
        <v>442</v>
      </c>
      <c r="B203" s="192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  <c r="AH203" s="193"/>
      <c r="AI203" s="193"/>
      <c r="AJ203" s="193"/>
      <c r="AK203" s="193"/>
      <c r="AL203" s="193">
        <f>'2023-24'!AH189</f>
        <v>158416.10999999999</v>
      </c>
      <c r="AM203" s="193"/>
      <c r="AN203" s="193">
        <f>'2023-24'!AJ189</f>
        <v>338814.64</v>
      </c>
      <c r="AO203" s="193"/>
      <c r="AP203" s="193">
        <f>'2023-24'!AL189</f>
        <v>458068.6</v>
      </c>
      <c r="AQ203" s="193"/>
      <c r="AR203" s="193">
        <f>'2023-24'!AN189</f>
        <v>647235.72</v>
      </c>
      <c r="AS203" s="193"/>
      <c r="AT203" s="193">
        <f>'2023-24'!AP189</f>
        <v>809178.97</v>
      </c>
      <c r="AU203" s="193"/>
      <c r="AV203" s="193">
        <f>'2023-24'!AR189</f>
        <v>1014551.52</v>
      </c>
      <c r="AW203" s="193"/>
      <c r="AX203" s="193">
        <f>'2023-24'!AT189</f>
        <v>1191121.93</v>
      </c>
      <c r="AY203" s="193"/>
      <c r="AZ203" s="193">
        <f>'2023-24'!AV189</f>
        <v>1356945.3499999999</v>
      </c>
      <c r="BA203" s="193"/>
      <c r="BB203" s="193">
        <f>'2023-24'!AX189</f>
        <v>1617753.92</v>
      </c>
      <c r="BC203" s="193"/>
      <c r="BD203" s="193">
        <f>'2023-24'!AZ189</f>
        <v>1865643.01</v>
      </c>
      <c r="BE203" s="193"/>
      <c r="BF203" s="193">
        <f>'2023-24'!BB189</f>
        <v>1948143.66</v>
      </c>
      <c r="BG203" s="193"/>
      <c r="BH203" s="193">
        <f>'2023-24'!BD189</f>
        <v>2185332.85</v>
      </c>
      <c r="BI203" s="81"/>
    </row>
    <row r="204" spans="1:63" x14ac:dyDescent="0.35">
      <c r="A204" s="210" t="s">
        <v>443</v>
      </c>
      <c r="B204" s="208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>
        <f>'2023-24'!AH190</f>
        <v>154898</v>
      </c>
      <c r="AM204" s="209"/>
      <c r="AN204" s="209">
        <f>'2023-24'!AJ190</f>
        <v>313274.25</v>
      </c>
      <c r="AO204" s="209"/>
      <c r="AP204" s="209">
        <f>'2023-24'!AL190</f>
        <v>446888.07</v>
      </c>
      <c r="AQ204" s="209"/>
      <c r="AR204" s="209">
        <f>'2023-24'!AN190</f>
        <v>567292.83000000007</v>
      </c>
      <c r="AS204" s="209"/>
      <c r="AT204" s="209">
        <f>'2023-24'!AP190</f>
        <v>722219.57000000007</v>
      </c>
      <c r="AU204" s="209"/>
      <c r="AV204" s="209">
        <f>'2023-24'!AR190</f>
        <v>891310.22000000009</v>
      </c>
      <c r="AW204" s="209"/>
      <c r="AX204" s="209">
        <f>'2023-24'!AT190</f>
        <v>1035985.7100000001</v>
      </c>
      <c r="AY204" s="209"/>
      <c r="AZ204" s="209">
        <f>'2023-24'!AV190</f>
        <v>1171361.1600000001</v>
      </c>
      <c r="BA204" s="209"/>
      <c r="BB204" s="209">
        <f>'2023-24'!AX190</f>
        <v>1373534.87</v>
      </c>
      <c r="BC204" s="209"/>
      <c r="BD204" s="209">
        <f>'2023-24'!AZ190</f>
        <v>1578924.26</v>
      </c>
      <c r="BE204" s="209"/>
      <c r="BF204" s="209">
        <f>'2023-24'!BB190</f>
        <v>1655869.15</v>
      </c>
      <c r="BG204" s="209"/>
      <c r="BH204" s="209">
        <f>'2023-24'!BD190</f>
        <v>1836973.3499999999</v>
      </c>
      <c r="BI204" s="81"/>
    </row>
    <row r="205" spans="1:63" x14ac:dyDescent="0.35"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>
        <f>'2017-18'!E71</f>
        <v>111463</v>
      </c>
      <c r="AM205" s="81"/>
      <c r="AN205" s="81">
        <f>'2017-18'!G71</f>
        <v>208926.18</v>
      </c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</row>
    <row r="207" spans="1:63" x14ac:dyDescent="0.35"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>
        <f>AL202-AL203</f>
        <v>23458.310000000027</v>
      </c>
      <c r="AM207" s="81"/>
      <c r="AN207" s="81">
        <f t="shared" ref="AN207" si="993">AN202-AN203</f>
        <v>-33200.089999999967</v>
      </c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48"/>
    </row>
    <row r="208" spans="1:63" x14ac:dyDescent="0.35">
      <c r="AL208" s="81"/>
      <c r="AN208" s="81"/>
      <c r="AP208" s="81"/>
      <c r="AR208" s="81"/>
    </row>
    <row r="210" spans="38:46" x14ac:dyDescent="0.35">
      <c r="AT210"/>
    </row>
    <row r="213" spans="38:46" x14ac:dyDescent="0.35">
      <c r="AL213" s="81"/>
    </row>
  </sheetData>
  <mergeCells count="15">
    <mergeCell ref="BC4:BD4"/>
    <mergeCell ref="BE4:BF4"/>
    <mergeCell ref="BG4:BH4"/>
    <mergeCell ref="AQ4:AR4"/>
    <mergeCell ref="AS4:AT4"/>
    <mergeCell ref="AU4:AV4"/>
    <mergeCell ref="AW4:AX4"/>
    <mergeCell ref="AY4:AZ4"/>
    <mergeCell ref="BA4:BB4"/>
    <mergeCell ref="AO4:AP4"/>
    <mergeCell ref="F4:F5"/>
    <mergeCell ref="H4:H5"/>
    <mergeCell ref="AH4:AH5"/>
    <mergeCell ref="AK4:AL4"/>
    <mergeCell ref="AM4:AN4"/>
  </mergeCells>
  <pageMargins left="0.7" right="0.7" top="0.75" bottom="0.75" header="0.3" footer="0.3"/>
  <pageSetup paperSize="9" scale="21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32A5-0513-447D-A4F0-2676CD8EDDA8}">
  <sheetPr>
    <pageSetUpPr fitToPage="1"/>
  </sheetPr>
  <dimension ref="A2:BP190"/>
  <sheetViews>
    <sheetView tabSelected="1" zoomScale="74" zoomScaleNormal="84" workbookViewId="0">
      <pane xSplit="5" ySplit="5" topLeftCell="F94" activePane="bottomRight" state="frozen"/>
      <selection pane="topRight" activeCell="E1" sqref="E1"/>
      <selection pane="bottomLeft" activeCell="A3" sqref="A3"/>
      <selection pane="bottomRight" activeCell="A124" sqref="A124"/>
    </sheetView>
  </sheetViews>
  <sheetFormatPr baseColWidth="10" defaultColWidth="11" defaultRowHeight="13.5" x14ac:dyDescent="0.35"/>
  <cols>
    <col min="1" max="1" width="11" style="69"/>
    <col min="2" max="2" width="32.875" style="69" bestFit="1" customWidth="1"/>
    <col min="3" max="3" width="2" style="69" customWidth="1"/>
    <col min="4" max="5" width="10.625" style="69" customWidth="1"/>
    <col min="6" max="6" width="12.875" style="69" customWidth="1"/>
    <col min="7" max="7" width="8.625" style="69" customWidth="1"/>
    <col min="8" max="8" width="6.625" style="69" bestFit="1" customWidth="1"/>
    <col min="9" max="9" width="8.625" style="69" customWidth="1"/>
    <col min="10" max="10" width="7" style="69" customWidth="1"/>
    <col min="11" max="11" width="8.625" style="69" customWidth="1"/>
    <col min="12" max="12" width="6.5" style="69" bestFit="1" customWidth="1"/>
    <col min="13" max="13" width="8.625" style="69" customWidth="1"/>
    <col min="14" max="14" width="6.375" style="69" customWidth="1"/>
    <col min="15" max="15" width="7.625" style="69" customWidth="1"/>
    <col min="16" max="16" width="7.375" style="69" customWidth="1"/>
    <col min="17" max="17" width="8.625" style="69" customWidth="1"/>
    <col min="18" max="18" width="8.625" style="69" bestFit="1" customWidth="1"/>
    <col min="19" max="19" width="7.125" style="69" customWidth="1"/>
    <col min="20" max="20" width="6.5" style="69" customWidth="1"/>
    <col min="21" max="21" width="8.625" style="69" customWidth="1"/>
    <col min="22" max="22" width="6.625" style="69" customWidth="1"/>
    <col min="23" max="23" width="8.625" style="69" customWidth="1"/>
    <col min="24" max="24" width="7.125" style="69" customWidth="1"/>
    <col min="25" max="25" width="7.625" style="69" customWidth="1"/>
    <col min="26" max="26" width="6.625" style="69" customWidth="1"/>
    <col min="27" max="27" width="7.625" style="69" customWidth="1"/>
    <col min="28" max="28" width="8.625" style="69" customWidth="1"/>
    <col min="29" max="29" width="7.125" style="69" customWidth="1"/>
    <col min="30" max="30" width="6.5" style="69" customWidth="1"/>
    <col min="31" max="31" width="7.5" style="69" customWidth="1"/>
    <col min="32" max="32" width="8.625" style="69" customWidth="1"/>
    <col min="33" max="33" width="7.625" style="69" customWidth="1"/>
    <col min="34" max="34" width="7.125" style="69" customWidth="1"/>
    <col min="35" max="35" width="9" style="69" customWidth="1"/>
    <col min="36" max="36" width="7.5" style="69" customWidth="1"/>
    <col min="37" max="37" width="9" style="69" customWidth="1"/>
    <col min="38" max="38" width="7.5" style="69" customWidth="1"/>
    <col min="39" max="39" width="9" style="69" customWidth="1"/>
    <col min="40" max="40" width="7.5" style="69" customWidth="1"/>
    <col min="41" max="41" width="9" style="69" customWidth="1"/>
    <col min="42" max="42" width="7.5" style="69" customWidth="1"/>
    <col min="43" max="43" width="10.375" style="69" customWidth="1"/>
    <col min="44" max="45" width="8.125" style="69" customWidth="1"/>
    <col min="46" max="46" width="8.875" style="69" customWidth="1"/>
    <col min="47" max="47" width="8.125" style="69" customWidth="1"/>
    <col min="48" max="48" width="8.875" style="69" customWidth="1"/>
    <col min="49" max="49" width="8.125" style="69" customWidth="1"/>
    <col min="50" max="50" width="9.375" style="69" customWidth="1"/>
    <col min="51" max="51" width="8.125" style="69" customWidth="1"/>
    <col min="52" max="52" width="9.625" style="69" customWidth="1"/>
    <col min="53" max="53" width="8.125" style="69" customWidth="1"/>
    <col min="54" max="54" width="10.125" style="69" customWidth="1"/>
    <col min="55" max="55" width="10" style="69" customWidth="1"/>
    <col min="56" max="56" width="10.125" style="69" customWidth="1"/>
    <col min="57" max="57" width="9" style="69" customWidth="1"/>
    <col min="58" max="58" width="10.625" style="69" customWidth="1"/>
    <col min="59" max="59" width="9" style="69" customWidth="1"/>
    <col min="60" max="60" width="9.375" style="69" customWidth="1"/>
    <col min="61" max="61" width="9.875" style="69" bestFit="1" customWidth="1"/>
    <col min="62" max="65" width="9.625" style="69" bestFit="1" customWidth="1"/>
    <col min="66" max="67" width="9.625" style="69" customWidth="1"/>
    <col min="68" max="68" width="11" style="69"/>
    <col min="69" max="69" width="14.875" style="69" bestFit="1" customWidth="1"/>
    <col min="70" max="16384" width="11" style="69"/>
  </cols>
  <sheetData>
    <row r="2" spans="1:68" x14ac:dyDescent="0.35">
      <c r="AV2" s="81"/>
    </row>
    <row r="3" spans="1:68" ht="13.9" thickBot="1" x14ac:dyDescent="0.4"/>
    <row r="4" spans="1:68" ht="13.9" thickTop="1" x14ac:dyDescent="0.35">
      <c r="A4" s="443" t="s">
        <v>867</v>
      </c>
      <c r="B4" s="419"/>
      <c r="C4" s="68"/>
      <c r="D4" s="68"/>
      <c r="E4" s="68"/>
      <c r="F4" s="296"/>
      <c r="G4" s="441" t="s">
        <v>660</v>
      </c>
      <c r="H4" s="297" t="s">
        <v>665</v>
      </c>
      <c r="I4" s="441" t="s">
        <v>659</v>
      </c>
      <c r="J4" s="297" t="s">
        <v>664</v>
      </c>
      <c r="K4" s="297" t="s">
        <v>538</v>
      </c>
      <c r="L4" s="297" t="s">
        <v>540</v>
      </c>
      <c r="M4" s="297" t="s">
        <v>542</v>
      </c>
      <c r="N4" s="297" t="s">
        <v>543</v>
      </c>
      <c r="O4" s="297" t="s">
        <v>544</v>
      </c>
      <c r="P4" s="297" t="s">
        <v>546</v>
      </c>
      <c r="Q4" s="297" t="s">
        <v>505</v>
      </c>
      <c r="R4" s="297" t="s">
        <v>547</v>
      </c>
      <c r="S4" s="297" t="s">
        <v>666</v>
      </c>
      <c r="T4" s="297" t="s">
        <v>667</v>
      </c>
      <c r="U4" s="297" t="s">
        <v>548</v>
      </c>
      <c r="V4" s="297" t="s">
        <v>668</v>
      </c>
      <c r="W4" s="297" t="s">
        <v>551</v>
      </c>
      <c r="X4" s="297" t="s">
        <v>731</v>
      </c>
      <c r="Y4" s="297" t="s">
        <v>661</v>
      </c>
      <c r="Z4" s="297" t="s">
        <v>663</v>
      </c>
      <c r="AA4" s="297" t="s">
        <v>662</v>
      </c>
      <c r="AB4" s="297" t="s">
        <v>662</v>
      </c>
      <c r="AC4" s="297" t="s">
        <v>507</v>
      </c>
      <c r="AD4" s="297" t="s">
        <v>553</v>
      </c>
      <c r="AE4" s="297" t="s">
        <v>756</v>
      </c>
      <c r="AF4" s="297" t="s">
        <v>756</v>
      </c>
      <c r="AG4" s="297" t="s">
        <v>757</v>
      </c>
      <c r="AH4" s="297" t="s">
        <v>758</v>
      </c>
      <c r="AI4" s="441" t="s">
        <v>805</v>
      </c>
      <c r="AJ4" s="297" t="s">
        <v>730</v>
      </c>
      <c r="AK4" s="441" t="s">
        <v>829</v>
      </c>
      <c r="AL4" s="297" t="s">
        <v>730</v>
      </c>
      <c r="AM4" s="441" t="s">
        <v>828</v>
      </c>
      <c r="AN4" s="297" t="s">
        <v>730</v>
      </c>
      <c r="AO4" s="441" t="s">
        <v>636</v>
      </c>
      <c r="AP4" s="297" t="s">
        <v>730</v>
      </c>
      <c r="AQ4" s="317"/>
      <c r="AR4" s="437" t="s">
        <v>142</v>
      </c>
      <c r="AS4" s="439"/>
      <c r="AT4" s="438" t="s">
        <v>143</v>
      </c>
      <c r="AU4" s="439"/>
      <c r="AV4" s="437" t="s">
        <v>144</v>
      </c>
      <c r="AW4" s="437"/>
      <c r="AX4" s="440" t="s">
        <v>138</v>
      </c>
      <c r="AY4" s="439"/>
      <c r="AZ4" s="437" t="s">
        <v>139</v>
      </c>
      <c r="BA4" s="437"/>
      <c r="BB4" s="438" t="s">
        <v>140</v>
      </c>
      <c r="BC4" s="439"/>
      <c r="BD4" s="437" t="s">
        <v>141</v>
      </c>
      <c r="BE4" s="437"/>
      <c r="BF4" s="438" t="s">
        <v>145</v>
      </c>
      <c r="BG4" s="439"/>
      <c r="BH4" s="437" t="s">
        <v>146</v>
      </c>
      <c r="BI4" s="437"/>
      <c r="BJ4" s="438" t="s">
        <v>147</v>
      </c>
      <c r="BK4" s="439"/>
      <c r="BL4" s="437" t="s">
        <v>148</v>
      </c>
      <c r="BM4" s="437"/>
      <c r="BN4" s="438" t="s">
        <v>149</v>
      </c>
      <c r="BO4" s="439"/>
    </row>
    <row r="5" spans="1:68" ht="15" x14ac:dyDescent="0.4">
      <c r="A5" s="444"/>
      <c r="B5" s="420" t="s">
        <v>137</v>
      </c>
      <c r="C5" s="155"/>
      <c r="D5" s="35" t="s">
        <v>268</v>
      </c>
      <c r="E5" s="35" t="s">
        <v>152</v>
      </c>
      <c r="F5" s="298"/>
      <c r="G5" s="442"/>
      <c r="H5" s="282" t="s">
        <v>541</v>
      </c>
      <c r="I5" s="442"/>
      <c r="J5" s="282" t="s">
        <v>541</v>
      </c>
      <c r="K5" s="282" t="s">
        <v>539</v>
      </c>
      <c r="L5" s="282" t="s">
        <v>541</v>
      </c>
      <c r="M5" s="282" t="s">
        <v>539</v>
      </c>
      <c r="N5" s="282" t="s">
        <v>541</v>
      </c>
      <c r="O5" s="282" t="s">
        <v>554</v>
      </c>
      <c r="P5" s="282" t="s">
        <v>541</v>
      </c>
      <c r="Q5" s="282" t="s">
        <v>545</v>
      </c>
      <c r="R5" s="282" t="s">
        <v>541</v>
      </c>
      <c r="S5" s="282"/>
      <c r="T5" s="282" t="s">
        <v>541</v>
      </c>
      <c r="U5" s="282" t="s">
        <v>732</v>
      </c>
      <c r="V5" s="282" t="s">
        <v>541</v>
      </c>
      <c r="W5" s="282" t="s">
        <v>555</v>
      </c>
      <c r="X5" s="282" t="s">
        <v>541</v>
      </c>
      <c r="Y5" s="282"/>
      <c r="Z5" s="282" t="s">
        <v>541</v>
      </c>
      <c r="AA5" s="282"/>
      <c r="AB5" s="282" t="s">
        <v>541</v>
      </c>
      <c r="AC5" s="282"/>
      <c r="AD5" s="282" t="s">
        <v>541</v>
      </c>
      <c r="AE5" s="282"/>
      <c r="AF5" s="282" t="s">
        <v>541</v>
      </c>
      <c r="AG5" s="282"/>
      <c r="AH5" s="282" t="s">
        <v>541</v>
      </c>
      <c r="AI5" s="442"/>
      <c r="AJ5" s="282" t="s">
        <v>541</v>
      </c>
      <c r="AK5" s="442"/>
      <c r="AL5" s="282" t="s">
        <v>541</v>
      </c>
      <c r="AM5" s="442"/>
      <c r="AN5" s="282" t="s">
        <v>541</v>
      </c>
      <c r="AO5" s="442"/>
      <c r="AP5" s="282" t="s">
        <v>541</v>
      </c>
      <c r="AQ5" s="318"/>
      <c r="AR5" s="75" t="s">
        <v>150</v>
      </c>
      <c r="AS5" s="73" t="s">
        <v>151</v>
      </c>
      <c r="AT5" s="72" t="s">
        <v>150</v>
      </c>
      <c r="AU5" s="73" t="s">
        <v>151</v>
      </c>
      <c r="AV5" s="75" t="s">
        <v>150</v>
      </c>
      <c r="AW5" s="158" t="s">
        <v>151</v>
      </c>
      <c r="AX5" s="72" t="s">
        <v>150</v>
      </c>
      <c r="AY5" s="73" t="s">
        <v>151</v>
      </c>
      <c r="AZ5" s="75" t="s">
        <v>150</v>
      </c>
      <c r="BA5" s="158" t="s">
        <v>151</v>
      </c>
      <c r="BB5" s="72" t="s">
        <v>150</v>
      </c>
      <c r="BC5" s="73" t="s">
        <v>151</v>
      </c>
      <c r="BD5" s="75" t="s">
        <v>150</v>
      </c>
      <c r="BE5" s="158" t="s">
        <v>151</v>
      </c>
      <c r="BF5" s="72" t="s">
        <v>150</v>
      </c>
      <c r="BG5" s="73" t="s">
        <v>151</v>
      </c>
      <c r="BH5" s="75" t="s">
        <v>150</v>
      </c>
      <c r="BI5" s="158" t="s">
        <v>151</v>
      </c>
      <c r="BJ5" s="72" t="s">
        <v>150</v>
      </c>
      <c r="BK5" s="73" t="s">
        <v>151</v>
      </c>
      <c r="BL5" s="75" t="s">
        <v>150</v>
      </c>
      <c r="BM5" s="158" t="s">
        <v>151</v>
      </c>
      <c r="BN5" s="72" t="s">
        <v>150</v>
      </c>
      <c r="BO5" s="73" t="s">
        <v>151</v>
      </c>
      <c r="BP5" s="216" t="s">
        <v>806</v>
      </c>
    </row>
    <row r="6" spans="1:68" ht="15" x14ac:dyDescent="0.4">
      <c r="A6" s="425"/>
      <c r="B6" s="421"/>
      <c r="C6" s="218"/>
      <c r="D6"/>
      <c r="E6"/>
      <c r="F6" s="299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s="319"/>
      <c r="AS6" s="219"/>
      <c r="AT6" s="163"/>
      <c r="AU6" s="219"/>
      <c r="AX6" s="163"/>
      <c r="AY6" s="219"/>
      <c r="BB6" s="163"/>
      <c r="BC6" s="219"/>
      <c r="BF6" s="163"/>
      <c r="BG6" s="219"/>
      <c r="BJ6" s="163"/>
      <c r="BK6" s="219"/>
      <c r="BN6" s="163"/>
      <c r="BP6"/>
    </row>
    <row r="7" spans="1:68" ht="13.9" thickBot="1" x14ac:dyDescent="0.4">
      <c r="A7" s="425"/>
      <c r="B7" s="422" t="s">
        <v>720</v>
      </c>
      <c r="C7" s="143"/>
      <c r="D7" s="83"/>
      <c r="E7" s="83"/>
      <c r="F7" s="381"/>
      <c r="G7" s="382"/>
      <c r="H7" s="382"/>
      <c r="I7" s="383"/>
      <c r="J7" s="383"/>
      <c r="K7" s="383"/>
      <c r="L7" s="383"/>
      <c r="M7" s="382"/>
      <c r="N7" s="382"/>
      <c r="O7" s="383"/>
      <c r="P7" s="383"/>
      <c r="Q7" s="382"/>
      <c r="R7" s="382"/>
      <c r="S7" s="383"/>
      <c r="T7" s="383"/>
      <c r="U7" s="383"/>
      <c r="V7" s="383"/>
      <c r="W7" s="382"/>
      <c r="X7" s="382"/>
      <c r="Y7" s="383"/>
      <c r="Z7" s="383"/>
      <c r="AA7" s="382"/>
      <c r="AB7" s="382"/>
      <c r="AC7" s="383"/>
      <c r="AD7" s="383"/>
      <c r="AE7" s="382"/>
      <c r="AF7" s="382"/>
      <c r="AG7" s="383"/>
      <c r="AH7" s="383"/>
      <c r="AI7" s="382"/>
      <c r="AJ7" s="382"/>
      <c r="AK7" s="382"/>
      <c r="AL7" s="382"/>
      <c r="AM7" s="382"/>
      <c r="AN7" s="382"/>
      <c r="AO7" s="382"/>
      <c r="AP7" s="382"/>
      <c r="AQ7" s="321"/>
      <c r="AR7" s="81"/>
      <c r="AS7" s="81"/>
      <c r="AT7" s="50"/>
      <c r="AU7" s="85"/>
      <c r="AV7" s="81"/>
      <c r="AW7" s="81"/>
      <c r="AX7" s="236"/>
      <c r="AY7" s="85"/>
      <c r="AZ7" s="81"/>
      <c r="BA7" s="81"/>
      <c r="BB7" s="84"/>
      <c r="BC7" s="85"/>
      <c r="BD7" s="81"/>
      <c r="BE7" s="81"/>
      <c r="BF7" s="84"/>
      <c r="BG7" s="85"/>
      <c r="BH7" s="81"/>
      <c r="BI7" s="81"/>
      <c r="BJ7" s="84"/>
      <c r="BK7" s="85"/>
      <c r="BL7" s="81"/>
      <c r="BM7" s="81"/>
      <c r="BN7" s="84"/>
      <c r="BO7" s="81"/>
      <c r="BP7" s="81"/>
    </row>
    <row r="8" spans="1:68" x14ac:dyDescent="0.35">
      <c r="A8" s="425"/>
      <c r="B8" s="423"/>
      <c r="C8" s="165"/>
      <c r="D8" s="77"/>
      <c r="E8" s="77"/>
      <c r="F8" s="300"/>
      <c r="G8" s="284"/>
      <c r="H8" s="359"/>
      <c r="I8" s="283"/>
      <c r="J8" s="311"/>
      <c r="K8" s="283"/>
      <c r="L8" s="283"/>
      <c r="M8" s="284"/>
      <c r="N8" s="284"/>
      <c r="O8" s="283"/>
      <c r="P8" s="283"/>
      <c r="Q8" s="284"/>
      <c r="R8" s="284"/>
      <c r="S8" s="283"/>
      <c r="T8" s="283"/>
      <c r="U8" s="283"/>
      <c r="V8" s="283"/>
      <c r="W8" s="284"/>
      <c r="X8" s="284"/>
      <c r="Y8" s="283"/>
      <c r="Z8" s="311"/>
      <c r="AA8" s="284"/>
      <c r="AB8" s="359"/>
      <c r="AC8" s="283"/>
      <c r="AD8" s="311"/>
      <c r="AE8" s="284"/>
      <c r="AF8" s="359"/>
      <c r="AG8" s="283"/>
      <c r="AH8" s="311"/>
      <c r="AI8" s="284"/>
      <c r="AJ8" s="359"/>
      <c r="AK8" s="284"/>
      <c r="AL8" s="359"/>
      <c r="AM8" s="284"/>
      <c r="AN8" s="359"/>
      <c r="AO8" s="284"/>
      <c r="AP8" s="359"/>
      <c r="AQ8" s="320"/>
      <c r="AR8" s="80"/>
      <c r="AS8" s="80"/>
      <c r="AT8" s="45"/>
      <c r="AU8" s="79"/>
      <c r="AV8" s="80"/>
      <c r="AW8" s="80"/>
      <c r="AX8" s="154"/>
      <c r="AY8" s="79"/>
      <c r="AZ8" s="78"/>
      <c r="BA8" s="80"/>
      <c r="BB8" s="78"/>
      <c r="BC8" s="79"/>
      <c r="BD8" s="78"/>
      <c r="BE8" s="79"/>
      <c r="BF8" s="78"/>
      <c r="BG8" s="79"/>
      <c r="BH8" s="78"/>
      <c r="BI8" s="79"/>
      <c r="BJ8" s="78"/>
      <c r="BK8" s="79"/>
      <c r="BL8" s="78"/>
      <c r="BM8" s="79"/>
      <c r="BN8" s="78"/>
      <c r="BO8" s="80"/>
      <c r="BP8" s="212"/>
    </row>
    <row r="9" spans="1:68" x14ac:dyDescent="0.35">
      <c r="A9" s="425"/>
      <c r="B9" s="422" t="s">
        <v>795</v>
      </c>
      <c r="C9" s="235"/>
      <c r="D9" s="83"/>
      <c r="E9" s="83"/>
      <c r="F9" s="301"/>
      <c r="G9" s="286"/>
      <c r="H9" s="360"/>
      <c r="I9" s="285"/>
      <c r="J9" s="312"/>
      <c r="K9" s="285"/>
      <c r="L9" s="285"/>
      <c r="M9" s="286"/>
      <c r="N9" s="286"/>
      <c r="O9" s="285"/>
      <c r="P9" s="285"/>
      <c r="Q9" s="286"/>
      <c r="R9" s="286"/>
      <c r="S9" s="285"/>
      <c r="T9" s="285"/>
      <c r="U9" s="285"/>
      <c r="V9" s="285"/>
      <c r="W9" s="286"/>
      <c r="X9" s="286"/>
      <c r="Y9" s="285"/>
      <c r="Z9" s="312"/>
      <c r="AA9" s="286"/>
      <c r="AB9" s="360"/>
      <c r="AC9" s="285"/>
      <c r="AD9" s="312"/>
      <c r="AE9" s="286"/>
      <c r="AF9" s="360"/>
      <c r="AG9" s="285"/>
      <c r="AH9" s="312"/>
      <c r="AI9" s="286"/>
      <c r="AJ9" s="360"/>
      <c r="AK9" s="286"/>
      <c r="AL9" s="360"/>
      <c r="AM9" s="286"/>
      <c r="AN9" s="360"/>
      <c r="AO9" s="286"/>
      <c r="AP9" s="360"/>
      <c r="AQ9" s="321"/>
      <c r="AR9" s="81"/>
      <c r="AS9" s="81"/>
      <c r="AT9" s="50"/>
      <c r="AU9" s="85"/>
      <c r="AV9" s="81"/>
      <c r="AW9" s="81"/>
      <c r="AX9" s="236"/>
      <c r="AY9" s="85"/>
      <c r="AZ9" s="84"/>
      <c r="BA9" s="81"/>
      <c r="BB9" s="84"/>
      <c r="BC9" s="85"/>
      <c r="BD9" s="84"/>
      <c r="BE9" s="85"/>
      <c r="BF9" s="84"/>
      <c r="BG9" s="85"/>
      <c r="BH9" s="84"/>
      <c r="BI9" s="85"/>
      <c r="BJ9" s="84"/>
      <c r="BK9" s="85"/>
      <c r="BL9" s="84"/>
      <c r="BM9" s="85"/>
      <c r="BN9" s="84"/>
      <c r="BO9" s="81"/>
      <c r="BP9" s="213"/>
    </row>
    <row r="10" spans="1:68" x14ac:dyDescent="0.35">
      <c r="A10" s="425"/>
      <c r="B10" s="422" t="s">
        <v>794</v>
      </c>
      <c r="C10" s="235"/>
      <c r="D10" s="83"/>
      <c r="E10" s="83"/>
      <c r="F10" s="301"/>
      <c r="G10" s="286"/>
      <c r="H10" s="360"/>
      <c r="I10" s="285"/>
      <c r="J10" s="312"/>
      <c r="K10" s="285"/>
      <c r="L10" s="285"/>
      <c r="M10" s="286"/>
      <c r="N10" s="286"/>
      <c r="O10" s="285"/>
      <c r="P10" s="285"/>
      <c r="Q10" s="286"/>
      <c r="R10" s="286"/>
      <c r="S10" s="285"/>
      <c r="T10" s="285"/>
      <c r="U10" s="285"/>
      <c r="V10" s="285"/>
      <c r="W10" s="286"/>
      <c r="X10" s="286"/>
      <c r="Y10" s="285"/>
      <c r="Z10" s="312"/>
      <c r="AA10" s="286"/>
      <c r="AB10" s="360"/>
      <c r="AC10" s="285"/>
      <c r="AD10" s="312"/>
      <c r="AE10" s="286"/>
      <c r="AF10" s="360"/>
      <c r="AG10" s="285"/>
      <c r="AH10" s="312"/>
      <c r="AI10" s="286"/>
      <c r="AJ10" s="360"/>
      <c r="AK10" s="286"/>
      <c r="AL10" s="360"/>
      <c r="AM10" s="286"/>
      <c r="AN10" s="360"/>
      <c r="AO10" s="286"/>
      <c r="AP10" s="360"/>
      <c r="AQ10" s="321"/>
      <c r="AR10" s="81"/>
      <c r="AS10" s="81"/>
      <c r="AT10" s="50"/>
      <c r="AU10" s="85"/>
      <c r="AV10" s="81"/>
      <c r="AW10" s="81"/>
      <c r="AX10" s="236"/>
      <c r="AY10" s="85"/>
      <c r="AZ10" s="84"/>
      <c r="BA10" s="81"/>
      <c r="BB10" s="84"/>
      <c r="BC10" s="85"/>
      <c r="BD10" s="84"/>
      <c r="BE10" s="85"/>
      <c r="BF10" s="84"/>
      <c r="BG10" s="85"/>
      <c r="BH10" s="84"/>
      <c r="BI10" s="85"/>
      <c r="BJ10" s="84"/>
      <c r="BK10" s="85"/>
      <c r="BL10" s="84"/>
      <c r="BM10" s="85"/>
      <c r="BN10" s="84"/>
      <c r="BO10" s="81"/>
      <c r="BP10" s="213"/>
    </row>
    <row r="11" spans="1:68" x14ac:dyDescent="0.35">
      <c r="A11" s="425"/>
      <c r="B11" s="422" t="s">
        <v>793</v>
      </c>
      <c r="C11" s="235"/>
      <c r="D11" s="83"/>
      <c r="E11" s="83"/>
      <c r="F11" s="301"/>
      <c r="G11" s="286"/>
      <c r="H11" s="360"/>
      <c r="I11" s="285"/>
      <c r="J11" s="312"/>
      <c r="K11" s="285"/>
      <c r="L11" s="285"/>
      <c r="M11" s="286"/>
      <c r="N11" s="286"/>
      <c r="O11" s="285"/>
      <c r="P11" s="285"/>
      <c r="Q11" s="286"/>
      <c r="R11" s="286"/>
      <c r="S11" s="285"/>
      <c r="T11" s="285"/>
      <c r="U11" s="285"/>
      <c r="V11" s="285"/>
      <c r="W11" s="286"/>
      <c r="X11" s="286"/>
      <c r="Y11" s="285"/>
      <c r="Z11" s="312"/>
      <c r="AA11" s="286"/>
      <c r="AB11" s="360"/>
      <c r="AC11" s="285"/>
      <c r="AD11" s="312"/>
      <c r="AE11" s="286"/>
      <c r="AF11" s="360"/>
      <c r="AG11" s="285"/>
      <c r="AH11" s="312"/>
      <c r="AI11" s="286"/>
      <c r="AJ11" s="360"/>
      <c r="AK11" s="286"/>
      <c r="AL11" s="360"/>
      <c r="AM11" s="286"/>
      <c r="AN11" s="360"/>
      <c r="AO11" s="286"/>
      <c r="AP11" s="360"/>
      <c r="AQ11" s="321"/>
      <c r="AR11" s="81"/>
      <c r="AS11" s="81"/>
      <c r="AT11" s="64">
        <v>615.07000000000005</v>
      </c>
      <c r="AU11" s="231">
        <v>615.07000000000005</v>
      </c>
      <c r="AV11" s="81"/>
      <c r="AW11" s="81"/>
      <c r="AX11" s="236"/>
      <c r="AY11" s="85"/>
      <c r="AZ11" s="84"/>
      <c r="BA11" s="81"/>
      <c r="BB11" s="84"/>
      <c r="BC11" s="85"/>
      <c r="BD11" s="84"/>
      <c r="BE11" s="85"/>
      <c r="BF11" s="84"/>
      <c r="BG11" s="85"/>
      <c r="BH11" s="84"/>
      <c r="BI11" s="85"/>
      <c r="BJ11" s="84"/>
      <c r="BK11" s="85"/>
      <c r="BL11" s="84"/>
      <c r="BM11" s="85"/>
      <c r="BN11" s="84"/>
      <c r="BO11" s="81"/>
      <c r="BP11" s="213"/>
    </row>
    <row r="12" spans="1:68" x14ac:dyDescent="0.35">
      <c r="A12" s="425"/>
      <c r="B12" s="422" t="s">
        <v>792</v>
      </c>
      <c r="C12" s="235"/>
      <c r="D12" s="83"/>
      <c r="E12" s="83"/>
      <c r="F12" s="301"/>
      <c r="G12" s="286"/>
      <c r="H12" s="360"/>
      <c r="I12" s="285"/>
      <c r="J12" s="312"/>
      <c r="K12" s="285"/>
      <c r="L12" s="285"/>
      <c r="M12" s="286"/>
      <c r="N12" s="286"/>
      <c r="O12" s="285"/>
      <c r="P12" s="285"/>
      <c r="Q12" s="286"/>
      <c r="R12" s="286"/>
      <c r="S12" s="285"/>
      <c r="T12" s="285"/>
      <c r="U12" s="285"/>
      <c r="V12" s="285"/>
      <c r="W12" s="286"/>
      <c r="X12" s="286"/>
      <c r="Y12" s="285"/>
      <c r="Z12" s="312"/>
      <c r="AA12" s="286"/>
      <c r="AB12" s="360"/>
      <c r="AC12" s="285"/>
      <c r="AD12" s="312"/>
      <c r="AE12" s="286"/>
      <c r="AF12" s="360"/>
      <c r="AG12" s="285"/>
      <c r="AH12" s="312"/>
      <c r="AI12" s="286"/>
      <c r="AJ12" s="360"/>
      <c r="AK12" s="286"/>
      <c r="AL12" s="360"/>
      <c r="AM12" s="286"/>
      <c r="AN12" s="360"/>
      <c r="AO12" s="286"/>
      <c r="AP12" s="360"/>
      <c r="AQ12" s="321"/>
      <c r="AR12" s="81"/>
      <c r="AS12" s="81"/>
      <c r="AT12" s="50"/>
      <c r="AU12" s="85"/>
      <c r="AV12" s="81"/>
      <c r="AW12" s="81"/>
      <c r="AX12" s="236"/>
      <c r="AY12" s="85"/>
      <c r="AZ12" s="84"/>
      <c r="BA12" s="81"/>
      <c r="BB12" s="84"/>
      <c r="BC12" s="85"/>
      <c r="BD12" s="84"/>
      <c r="BE12" s="85"/>
      <c r="BF12" s="84"/>
      <c r="BG12" s="85"/>
      <c r="BH12" s="84"/>
      <c r="BI12" s="85"/>
      <c r="BJ12" s="84"/>
      <c r="BK12" s="85"/>
      <c r="BL12" s="84"/>
      <c r="BM12" s="85"/>
      <c r="BN12" s="84"/>
      <c r="BO12" s="81"/>
      <c r="BP12" s="213"/>
    </row>
    <row r="13" spans="1:68" x14ac:dyDescent="0.35">
      <c r="A13" s="425"/>
      <c r="B13" s="422" t="s">
        <v>768</v>
      </c>
      <c r="C13" s="235"/>
      <c r="D13" s="83"/>
      <c r="E13" s="83"/>
      <c r="F13" s="301"/>
      <c r="G13" s="286"/>
      <c r="H13" s="360"/>
      <c r="I13" s="285"/>
      <c r="J13" s="312"/>
      <c r="K13" s="285"/>
      <c r="L13" s="285"/>
      <c r="M13" s="286"/>
      <c r="N13" s="286"/>
      <c r="O13" s="285"/>
      <c r="P13" s="285"/>
      <c r="Q13" s="286"/>
      <c r="R13" s="286"/>
      <c r="S13" s="285"/>
      <c r="T13" s="285"/>
      <c r="U13" s="285"/>
      <c r="V13" s="285"/>
      <c r="W13" s="286"/>
      <c r="X13" s="286"/>
      <c r="Y13" s="285"/>
      <c r="Z13" s="312"/>
      <c r="AA13" s="286"/>
      <c r="AB13" s="360"/>
      <c r="AC13" s="285"/>
      <c r="AD13" s="312"/>
      <c r="AE13" s="286"/>
      <c r="AF13" s="360"/>
      <c r="AG13" s="285"/>
      <c r="AH13" s="312"/>
      <c r="AI13" s="286"/>
      <c r="AJ13" s="360"/>
      <c r="AK13" s="286"/>
      <c r="AL13" s="360"/>
      <c r="AM13" s="286"/>
      <c r="AN13" s="360"/>
      <c r="AO13" s="286"/>
      <c r="AP13" s="360"/>
      <c r="AQ13" s="321"/>
      <c r="AR13" s="81"/>
      <c r="AS13" s="81"/>
      <c r="AT13" s="50"/>
      <c r="AU13" s="85"/>
      <c r="AV13" s="81"/>
      <c r="AW13" s="81"/>
      <c r="AX13" s="236"/>
      <c r="AY13" s="85"/>
      <c r="AZ13" s="84"/>
      <c r="BA13" s="81"/>
      <c r="BB13" s="84"/>
      <c r="BC13" s="85"/>
      <c r="BD13" s="84"/>
      <c r="BE13" s="85"/>
      <c r="BF13" s="84"/>
      <c r="BG13" s="85"/>
      <c r="BH13" s="84"/>
      <c r="BI13" s="85"/>
      <c r="BJ13" s="84"/>
      <c r="BK13" s="85"/>
      <c r="BL13" s="84"/>
      <c r="BM13" s="85"/>
      <c r="BN13" s="84"/>
      <c r="BO13" s="81"/>
      <c r="BP13" s="213"/>
    </row>
    <row r="14" spans="1:68" x14ac:dyDescent="0.35">
      <c r="A14" s="425"/>
      <c r="B14" s="422" t="s">
        <v>761</v>
      </c>
      <c r="C14" s="235"/>
      <c r="D14" s="49" t="s">
        <v>91</v>
      </c>
      <c r="E14" s="83"/>
      <c r="F14" s="301"/>
      <c r="G14" s="286"/>
      <c r="H14" s="360"/>
      <c r="I14" s="285"/>
      <c r="J14" s="312"/>
      <c r="K14" s="285"/>
      <c r="L14" s="285"/>
      <c r="M14" s="286"/>
      <c r="N14" s="286"/>
      <c r="O14" s="285"/>
      <c r="P14" s="285"/>
      <c r="Q14" s="286"/>
      <c r="R14" s="286"/>
      <c r="S14" s="285"/>
      <c r="T14" s="285"/>
      <c r="U14" s="285"/>
      <c r="V14" s="285"/>
      <c r="W14" s="286"/>
      <c r="X14" s="286"/>
      <c r="Y14" s="285"/>
      <c r="Z14" s="312"/>
      <c r="AA14" s="286"/>
      <c r="AB14" s="360"/>
      <c r="AC14" s="285"/>
      <c r="AD14" s="312"/>
      <c r="AE14" s="286"/>
      <c r="AF14" s="360"/>
      <c r="AG14" s="285"/>
      <c r="AH14" s="312"/>
      <c r="AI14" s="286"/>
      <c r="AJ14" s="360"/>
      <c r="AK14" s="286"/>
      <c r="AL14" s="360"/>
      <c r="AM14" s="286"/>
      <c r="AN14" s="360"/>
      <c r="AO14" s="286"/>
      <c r="AP14" s="360"/>
      <c r="AQ14" s="321"/>
      <c r="AR14" s="81"/>
      <c r="AS14" s="81"/>
      <c r="AT14" s="50"/>
      <c r="AU14" s="85"/>
      <c r="AV14" s="81"/>
      <c r="AW14" s="81"/>
      <c r="AX14" s="236"/>
      <c r="AY14" s="85"/>
      <c r="AZ14" s="230">
        <f>BA14</f>
        <v>208.78</v>
      </c>
      <c r="BA14" s="195">
        <v>208.78</v>
      </c>
      <c r="BD14" s="84"/>
      <c r="BE14" s="85"/>
      <c r="BF14" s="84"/>
      <c r="BG14" s="85"/>
      <c r="BH14" s="84"/>
      <c r="BI14" s="85"/>
      <c r="BJ14" s="84"/>
      <c r="BK14" s="85"/>
      <c r="BL14" s="84"/>
      <c r="BM14" s="85"/>
      <c r="BN14" s="84"/>
      <c r="BO14" s="81"/>
      <c r="BP14" s="213"/>
    </row>
    <row r="15" spans="1:68" x14ac:dyDescent="0.35">
      <c r="A15" s="425"/>
      <c r="B15" s="422" t="s">
        <v>721</v>
      </c>
      <c r="C15" s="235"/>
      <c r="D15" s="83"/>
      <c r="E15" s="83"/>
      <c r="F15" s="301"/>
      <c r="G15" s="286"/>
      <c r="H15" s="360"/>
      <c r="I15" s="285"/>
      <c r="J15" s="312"/>
      <c r="K15" s="285"/>
      <c r="L15" s="285"/>
      <c r="M15" s="286"/>
      <c r="N15" s="286"/>
      <c r="O15" s="285"/>
      <c r="P15" s="285"/>
      <c r="Q15" s="286"/>
      <c r="R15" s="286"/>
      <c r="S15" s="285"/>
      <c r="T15" s="285"/>
      <c r="U15" s="285"/>
      <c r="V15" s="285"/>
      <c r="W15" s="286"/>
      <c r="X15" s="286"/>
      <c r="Y15" s="285"/>
      <c r="Z15" s="312"/>
      <c r="AA15" s="286"/>
      <c r="AB15" s="360"/>
      <c r="AC15" s="285"/>
      <c r="AD15" s="312"/>
      <c r="AE15" s="286"/>
      <c r="AF15" s="360"/>
      <c r="AG15" s="285"/>
      <c r="AH15" s="312"/>
      <c r="AI15" s="286"/>
      <c r="AJ15" s="360"/>
      <c r="AK15" s="286"/>
      <c r="AL15" s="360"/>
      <c r="AM15" s="286"/>
      <c r="AN15" s="360"/>
      <c r="AO15" s="286"/>
      <c r="AP15" s="360"/>
      <c r="AQ15" s="321"/>
      <c r="AR15" s="81"/>
      <c r="AS15" s="81"/>
      <c r="AT15" s="64">
        <v>117.69</v>
      </c>
      <c r="AU15" s="231">
        <f>AT15</f>
        <v>117.69</v>
      </c>
      <c r="AV15" s="81"/>
      <c r="AW15" s="81"/>
      <c r="AX15" s="236"/>
      <c r="AY15" s="85"/>
      <c r="AZ15" s="84"/>
      <c r="BA15" s="81"/>
      <c r="BB15" s="84"/>
      <c r="BC15" s="85"/>
      <c r="BD15" s="84"/>
      <c r="BE15" s="85"/>
      <c r="BF15" s="84"/>
      <c r="BG15" s="85"/>
      <c r="BH15" s="84"/>
      <c r="BI15" s="85"/>
      <c r="BJ15" s="84"/>
      <c r="BK15" s="85"/>
      <c r="BL15" s="84"/>
      <c r="BM15" s="85"/>
      <c r="BN15" s="84"/>
      <c r="BO15" s="81"/>
      <c r="BP15" s="213"/>
    </row>
    <row r="16" spans="1:68" x14ac:dyDescent="0.35">
      <c r="A16" s="425"/>
      <c r="B16" s="422" t="s">
        <v>719</v>
      </c>
      <c r="C16" s="235"/>
      <c r="D16" s="83">
        <f>'2021-22'!AU7</f>
        <v>0</v>
      </c>
      <c r="E16" s="83"/>
      <c r="F16" s="301"/>
      <c r="G16" s="286"/>
      <c r="H16" s="360"/>
      <c r="I16" s="285"/>
      <c r="J16" s="312"/>
      <c r="K16" s="285"/>
      <c r="L16" s="285"/>
      <c r="M16" s="286"/>
      <c r="N16" s="286"/>
      <c r="O16" s="285"/>
      <c r="P16" s="285"/>
      <c r="Q16" s="286"/>
      <c r="R16" s="286"/>
      <c r="S16" s="285"/>
      <c r="T16" s="285"/>
      <c r="U16" s="285"/>
      <c r="V16" s="285"/>
      <c r="W16" s="286"/>
      <c r="X16" s="286"/>
      <c r="Y16" s="285"/>
      <c r="Z16" s="312"/>
      <c r="AA16" s="286"/>
      <c r="AB16" s="360"/>
      <c r="AC16" s="285"/>
      <c r="AD16" s="312"/>
      <c r="AE16" s="286"/>
      <c r="AF16" s="360"/>
      <c r="AG16" s="285"/>
      <c r="AH16" s="312"/>
      <c r="AI16" s="286"/>
      <c r="AJ16" s="360"/>
      <c r="AK16" s="286"/>
      <c r="AL16" s="360"/>
      <c r="AM16" s="286"/>
      <c r="AN16" s="360"/>
      <c r="AO16" s="286"/>
      <c r="AP16" s="360"/>
      <c r="AQ16" s="321"/>
      <c r="AR16" s="81"/>
      <c r="AS16" s="81"/>
      <c r="AT16" s="64">
        <v>1931.5</v>
      </c>
      <c r="AU16" s="231">
        <v>1931.5</v>
      </c>
      <c r="AV16" s="81"/>
      <c r="AW16" s="81"/>
      <c r="AX16" s="236"/>
      <c r="AY16" s="85"/>
      <c r="AZ16" s="84"/>
      <c r="BA16" s="81"/>
      <c r="BB16" s="84"/>
      <c r="BC16" s="85"/>
      <c r="BD16" s="84"/>
      <c r="BE16" s="85"/>
      <c r="BF16" s="84"/>
      <c r="BG16" s="85"/>
      <c r="BH16" s="84"/>
      <c r="BI16" s="85"/>
      <c r="BJ16" s="84"/>
      <c r="BK16" s="85"/>
      <c r="BL16" s="84"/>
      <c r="BM16" s="85"/>
      <c r="BN16" s="84"/>
      <c r="BO16" s="81"/>
      <c r="BP16" s="213"/>
    </row>
    <row r="17" spans="1:68" x14ac:dyDescent="0.35">
      <c r="A17" s="425"/>
      <c r="B17" s="424" t="s">
        <v>854</v>
      </c>
      <c r="C17" s="235"/>
      <c r="D17" s="83">
        <f>'2021-22'!AU8</f>
        <v>0</v>
      </c>
      <c r="E17" s="83"/>
      <c r="F17" s="301"/>
      <c r="G17" s="286"/>
      <c r="H17" s="360"/>
      <c r="I17" s="285"/>
      <c r="J17" s="312"/>
      <c r="K17" s="285"/>
      <c r="L17" s="285"/>
      <c r="M17" s="286"/>
      <c r="N17" s="286"/>
      <c r="O17" s="285"/>
      <c r="P17" s="285"/>
      <c r="Q17" s="286"/>
      <c r="R17" s="286"/>
      <c r="S17" s="285"/>
      <c r="T17" s="285"/>
      <c r="U17" s="285"/>
      <c r="V17" s="285"/>
      <c r="W17" s="286"/>
      <c r="X17" s="286"/>
      <c r="Y17" s="285"/>
      <c r="Z17" s="312"/>
      <c r="AA17" s="286"/>
      <c r="AB17" s="360"/>
      <c r="AC17" s="285"/>
      <c r="AD17" s="312"/>
      <c r="AE17" s="286"/>
      <c r="AF17" s="360"/>
      <c r="AG17" s="285"/>
      <c r="AH17" s="312"/>
      <c r="AI17" s="286"/>
      <c r="AJ17" s="360"/>
      <c r="AK17" s="286"/>
      <c r="AL17" s="360"/>
      <c r="AM17" s="286"/>
      <c r="AN17" s="360"/>
      <c r="AO17" s="286"/>
      <c r="AP17" s="360"/>
      <c r="AQ17" s="321"/>
      <c r="AR17" s="81"/>
      <c r="AS17" s="81"/>
      <c r="AT17" s="64">
        <v>768.3</v>
      </c>
      <c r="AU17" s="231">
        <v>768.3</v>
      </c>
      <c r="AV17" s="81"/>
      <c r="AW17" s="81"/>
      <c r="AX17" s="236"/>
      <c r="AY17" s="85"/>
      <c r="AZ17" s="84"/>
      <c r="BA17" s="81"/>
      <c r="BB17" s="84"/>
      <c r="BC17" s="85"/>
      <c r="BD17" s="84"/>
      <c r="BE17" s="85"/>
      <c r="BF17" s="84"/>
      <c r="BG17" s="85"/>
      <c r="BH17" s="84"/>
      <c r="BI17" s="85"/>
      <c r="BJ17" s="84"/>
      <c r="BK17" s="85"/>
      <c r="BL17" s="84"/>
      <c r="BM17" s="85"/>
      <c r="BN17" s="84"/>
      <c r="BO17" s="81"/>
      <c r="BP17" s="213"/>
    </row>
    <row r="18" spans="1:68" x14ac:dyDescent="0.35">
      <c r="A18" s="425"/>
      <c r="B18" s="151" t="s">
        <v>716</v>
      </c>
      <c r="C18" s="180"/>
      <c r="D18" s="83"/>
      <c r="E18" s="142"/>
      <c r="F18" s="304"/>
      <c r="G18" s="289"/>
      <c r="H18" s="363" t="e">
        <f t="shared" ref="H18" si="0">G18/F18</f>
        <v>#DIV/0!</v>
      </c>
      <c r="I18" s="287"/>
      <c r="J18" s="313" t="e">
        <f t="shared" ref="J18" si="1">I18/F18</f>
        <v>#DIV/0!</v>
      </c>
      <c r="K18" s="287"/>
      <c r="L18" s="288" t="e">
        <f t="shared" ref="L18" si="2">K18/F18</f>
        <v>#DIV/0!</v>
      </c>
      <c r="M18" s="289"/>
      <c r="N18" s="290" t="e">
        <f t="shared" ref="N18" si="3">M18/F18</f>
        <v>#DIV/0!</v>
      </c>
      <c r="O18" s="287"/>
      <c r="P18" s="288" t="e">
        <f t="shared" ref="P18" si="4">O18/F18</f>
        <v>#DIV/0!</v>
      </c>
      <c r="Q18" s="289"/>
      <c r="R18" s="290" t="e">
        <f t="shared" ref="R18" si="5">Q18/F18</f>
        <v>#DIV/0!</v>
      </c>
      <c r="S18" s="287"/>
      <c r="T18" s="288" t="e">
        <f t="shared" ref="T18" si="6">S18/F18</f>
        <v>#DIV/0!</v>
      </c>
      <c r="U18" s="287"/>
      <c r="V18" s="288" t="e">
        <f t="shared" ref="V18" si="7">U18/F18</f>
        <v>#DIV/0!</v>
      </c>
      <c r="W18" s="289"/>
      <c r="X18" s="290" t="e">
        <f t="shared" ref="X18" si="8">W18/F18</f>
        <v>#DIV/0!</v>
      </c>
      <c r="Y18" s="287"/>
      <c r="Z18" s="313" t="e">
        <f t="shared" ref="Z18" si="9">Y18/F18</f>
        <v>#DIV/0!</v>
      </c>
      <c r="AA18" s="289"/>
      <c r="AB18" s="363" t="e">
        <f t="shared" ref="AB18" si="10">AA18/F18</f>
        <v>#DIV/0!</v>
      </c>
      <c r="AC18" s="287"/>
      <c r="AD18" s="313" t="e">
        <f t="shared" ref="AD18" si="11">AC18/F18</f>
        <v>#DIV/0!</v>
      </c>
      <c r="AE18" s="289"/>
      <c r="AF18" s="363" t="e">
        <f t="shared" ref="AF18" si="12">AE18/J18</f>
        <v>#DIV/0!</v>
      </c>
      <c r="AG18" s="287"/>
      <c r="AH18" s="313" t="e">
        <f t="shared" ref="AH18" si="13">AG18/H18</f>
        <v>#DIV/0!</v>
      </c>
      <c r="AI18" s="289"/>
      <c r="AJ18" s="363" t="e">
        <f>AI18/F18</f>
        <v>#DIV/0!</v>
      </c>
      <c r="AK18" s="289"/>
      <c r="AL18" s="363" t="e">
        <f>AK18/D18</f>
        <v>#DIV/0!</v>
      </c>
      <c r="AM18" s="289"/>
      <c r="AN18" s="363" t="e">
        <f>AM18/F18</f>
        <v>#DIV/0!</v>
      </c>
      <c r="AO18" s="289"/>
      <c r="AP18" s="363" t="e">
        <f>AO18/H18</f>
        <v>#DIV/0!</v>
      </c>
      <c r="AQ18" s="323" t="e">
        <f>L18+N18+P18+R18+T18+V18+X18+Z18+AB18+AD18+H18+J18+AJ18</f>
        <v>#DIV/0!</v>
      </c>
      <c r="AR18" s="81"/>
      <c r="AS18" s="81"/>
      <c r="AT18" s="84"/>
      <c r="AU18" s="85"/>
      <c r="AV18" s="84"/>
      <c r="AW18" s="81"/>
      <c r="AX18" s="84"/>
      <c r="AY18" s="85"/>
      <c r="AZ18" s="84"/>
      <c r="BA18" s="81"/>
      <c r="BB18" s="84"/>
      <c r="BC18" s="85"/>
      <c r="BD18" s="84"/>
      <c r="BE18" s="85"/>
      <c r="BF18" s="84"/>
      <c r="BG18" s="85"/>
      <c r="BH18" s="84"/>
      <c r="BI18" s="85"/>
      <c r="BJ18" s="84"/>
      <c r="BK18" s="85"/>
      <c r="BL18" s="84"/>
      <c r="BM18" s="85"/>
      <c r="BN18" s="84"/>
      <c r="BO18" s="81"/>
      <c r="BP18" s="214"/>
    </row>
    <row r="19" spans="1:68" x14ac:dyDescent="0.35">
      <c r="A19" s="425"/>
      <c r="B19" s="151" t="s">
        <v>687</v>
      </c>
      <c r="C19" s="167"/>
      <c r="D19" s="83">
        <f>'2021-22'!AU9</f>
        <v>0</v>
      </c>
      <c r="E19" s="83"/>
      <c r="F19" s="301"/>
      <c r="G19" s="286"/>
      <c r="H19" s="360"/>
      <c r="I19" s="285"/>
      <c r="J19" s="312"/>
      <c r="K19" s="285"/>
      <c r="L19" s="285"/>
      <c r="M19" s="286"/>
      <c r="N19" s="286"/>
      <c r="O19" s="285"/>
      <c r="P19" s="285"/>
      <c r="Q19" s="286"/>
      <c r="R19" s="286"/>
      <c r="S19" s="285"/>
      <c r="T19" s="285"/>
      <c r="U19" s="285"/>
      <c r="V19" s="285"/>
      <c r="W19" s="286"/>
      <c r="X19" s="286"/>
      <c r="Y19" s="285"/>
      <c r="Z19" s="312"/>
      <c r="AA19" s="286"/>
      <c r="AB19" s="360"/>
      <c r="AC19" s="285"/>
      <c r="AD19" s="312"/>
      <c r="AE19" s="286"/>
      <c r="AF19" s="360"/>
      <c r="AG19" s="285"/>
      <c r="AH19" s="312"/>
      <c r="AI19" s="286"/>
      <c r="AJ19" s="360"/>
      <c r="AK19" s="286"/>
      <c r="AL19" s="360"/>
      <c r="AM19" s="286"/>
      <c r="AN19" s="360"/>
      <c r="AO19" s="286"/>
      <c r="AP19" s="360"/>
      <c r="AQ19" s="322"/>
      <c r="AR19" s="81"/>
      <c r="AS19" s="81"/>
      <c r="AT19" s="84"/>
      <c r="AU19" s="85"/>
      <c r="AV19" s="81"/>
      <c r="AW19" s="81"/>
      <c r="AX19" s="84"/>
      <c r="AY19" s="85"/>
      <c r="AZ19" s="84"/>
      <c r="BA19" s="81"/>
      <c r="BB19" s="84"/>
      <c r="BC19" s="85"/>
      <c r="BD19" s="84"/>
      <c r="BE19" s="85"/>
      <c r="BF19" s="84"/>
      <c r="BG19" s="85"/>
      <c r="BH19" s="84"/>
      <c r="BI19" s="85"/>
      <c r="BJ19" s="84"/>
      <c r="BK19" s="85"/>
      <c r="BL19" s="84"/>
      <c r="BM19" s="85"/>
      <c r="BN19" s="84"/>
      <c r="BO19" s="81"/>
      <c r="BP19" s="213"/>
    </row>
    <row r="20" spans="1:68" x14ac:dyDescent="0.35">
      <c r="A20" s="425"/>
      <c r="B20" s="151" t="s">
        <v>878</v>
      </c>
      <c r="C20" s="167"/>
      <c r="D20" s="83">
        <f>'2021-22'!AU8</f>
        <v>0</v>
      </c>
      <c r="E20" s="83"/>
      <c r="F20" s="301"/>
      <c r="G20" s="286"/>
      <c r="H20" s="360"/>
      <c r="I20" s="285"/>
      <c r="J20" s="312"/>
      <c r="K20" s="285"/>
      <c r="L20" s="285"/>
      <c r="M20" s="286"/>
      <c r="N20" s="286"/>
      <c r="O20" s="285"/>
      <c r="P20" s="285"/>
      <c r="Q20" s="286"/>
      <c r="R20" s="286"/>
      <c r="S20" s="285"/>
      <c r="T20" s="285"/>
      <c r="U20" s="285"/>
      <c r="V20" s="285"/>
      <c r="W20" s="286"/>
      <c r="X20" s="286"/>
      <c r="Y20" s="285"/>
      <c r="Z20" s="312"/>
      <c r="AA20" s="286"/>
      <c r="AB20" s="360"/>
      <c r="AC20" s="285"/>
      <c r="AD20" s="312"/>
      <c r="AE20" s="286"/>
      <c r="AF20" s="360"/>
      <c r="AG20" s="285"/>
      <c r="AH20" s="312"/>
      <c r="AI20" s="286"/>
      <c r="AJ20" s="360"/>
      <c r="AK20" s="286"/>
      <c r="AL20" s="360"/>
      <c r="AM20" s="286"/>
      <c r="AN20" s="360"/>
      <c r="AO20" s="286"/>
      <c r="AP20" s="360"/>
      <c r="AQ20" s="322"/>
      <c r="AR20" s="81"/>
      <c r="AS20" s="81"/>
      <c r="AT20" s="84"/>
      <c r="AU20" s="85"/>
      <c r="AV20" s="81"/>
      <c r="AW20" s="81"/>
      <c r="AX20" s="84"/>
      <c r="AY20" s="85"/>
      <c r="AZ20" s="84"/>
      <c r="BA20" s="81"/>
      <c r="BB20" s="84"/>
      <c r="BC20" s="85"/>
      <c r="BD20" s="84"/>
      <c r="BE20" s="85">
        <v>3478.95</v>
      </c>
      <c r="BF20" s="84"/>
      <c r="BG20" s="85"/>
      <c r="BH20" s="84"/>
      <c r="BI20" s="85"/>
      <c r="BJ20" s="84"/>
      <c r="BK20" s="85"/>
      <c r="BL20" s="84"/>
      <c r="BM20" s="85"/>
      <c r="BN20" s="84"/>
      <c r="BO20" s="81"/>
      <c r="BP20" s="213"/>
    </row>
    <row r="21" spans="1:68" x14ac:dyDescent="0.35">
      <c r="A21" s="425"/>
      <c r="B21" s="151" t="s">
        <v>872</v>
      </c>
      <c r="C21" s="167"/>
      <c r="D21" s="83">
        <f>'2021-22'!AU9</f>
        <v>0</v>
      </c>
      <c r="E21" s="83"/>
      <c r="F21" s="301"/>
      <c r="G21" s="286"/>
      <c r="H21" s="360"/>
      <c r="I21" s="285"/>
      <c r="J21" s="312"/>
      <c r="K21" s="285"/>
      <c r="L21" s="285"/>
      <c r="M21" s="286"/>
      <c r="N21" s="286"/>
      <c r="O21" s="285"/>
      <c r="P21" s="285"/>
      <c r="Q21" s="286"/>
      <c r="R21" s="286"/>
      <c r="S21" s="285"/>
      <c r="T21" s="285"/>
      <c r="U21" s="285"/>
      <c r="V21" s="285"/>
      <c r="W21" s="286"/>
      <c r="X21" s="286"/>
      <c r="Y21" s="285"/>
      <c r="Z21" s="312"/>
      <c r="AA21" s="286"/>
      <c r="AB21" s="360"/>
      <c r="AC21" s="285"/>
      <c r="AD21" s="312"/>
      <c r="AE21" s="286"/>
      <c r="AF21" s="360"/>
      <c r="AG21" s="285"/>
      <c r="AH21" s="312"/>
      <c r="AI21" s="286"/>
      <c r="AJ21" s="360"/>
      <c r="AK21" s="286"/>
      <c r="AL21" s="360"/>
      <c r="AM21" s="286"/>
      <c r="AN21" s="360"/>
      <c r="AO21" s="286"/>
      <c r="AP21" s="360"/>
      <c r="AQ21" s="322"/>
      <c r="AR21" s="81"/>
      <c r="AS21" s="81"/>
      <c r="AT21" s="84"/>
      <c r="AU21" s="85"/>
      <c r="AV21" s="81"/>
      <c r="AW21" s="81"/>
      <c r="AX21" s="84"/>
      <c r="AY21" s="85"/>
      <c r="AZ21" s="84"/>
      <c r="BA21" s="81"/>
      <c r="BB21" s="230">
        <f>BC21</f>
        <v>1149.2</v>
      </c>
      <c r="BC21" s="231">
        <v>1149.2</v>
      </c>
      <c r="BD21" s="84"/>
      <c r="BE21" s="85"/>
      <c r="BF21" s="84"/>
      <c r="BG21" s="85"/>
      <c r="BH21" s="84"/>
      <c r="BI21" s="85"/>
      <c r="BJ21" s="84"/>
      <c r="BK21" s="85"/>
      <c r="BL21" s="84"/>
      <c r="BM21" s="85"/>
      <c r="BN21" s="84"/>
      <c r="BO21" s="81"/>
      <c r="BP21" s="213"/>
    </row>
    <row r="22" spans="1:68" x14ac:dyDescent="0.35">
      <c r="A22" s="425"/>
      <c r="B22" s="151" t="s">
        <v>685</v>
      </c>
      <c r="C22" s="167"/>
      <c r="D22" s="83">
        <f>'2021-22'!AU10</f>
        <v>0</v>
      </c>
      <c r="E22" s="83"/>
      <c r="F22" s="301"/>
      <c r="G22" s="286"/>
      <c r="H22" s="360"/>
      <c r="I22" s="285"/>
      <c r="J22" s="312"/>
      <c r="K22" s="285"/>
      <c r="L22" s="285"/>
      <c r="M22" s="286"/>
      <c r="N22" s="286"/>
      <c r="O22" s="285"/>
      <c r="P22" s="285"/>
      <c r="Q22" s="286"/>
      <c r="R22" s="286"/>
      <c r="S22" s="285"/>
      <c r="T22" s="285"/>
      <c r="U22" s="285"/>
      <c r="V22" s="285"/>
      <c r="W22" s="286"/>
      <c r="X22" s="286"/>
      <c r="Y22" s="285"/>
      <c r="Z22" s="312"/>
      <c r="AA22" s="286"/>
      <c r="AB22" s="360"/>
      <c r="AC22" s="285"/>
      <c r="AD22" s="312"/>
      <c r="AE22" s="286"/>
      <c r="AF22" s="360"/>
      <c r="AG22" s="285"/>
      <c r="AH22" s="312"/>
      <c r="AI22" s="286"/>
      <c r="AJ22" s="360"/>
      <c r="AK22" s="286"/>
      <c r="AL22" s="360"/>
      <c r="AM22" s="286"/>
      <c r="AN22" s="360"/>
      <c r="AO22" s="286"/>
      <c r="AP22" s="360"/>
      <c r="AQ22" s="322"/>
      <c r="AR22" s="81"/>
      <c r="AS22" s="81"/>
      <c r="AT22" s="84"/>
      <c r="AU22" s="85"/>
      <c r="AV22" s="81"/>
      <c r="AW22" s="81"/>
      <c r="AX22" s="84"/>
      <c r="AY22" s="85"/>
      <c r="AZ22" s="84"/>
      <c r="BA22" s="81"/>
      <c r="BB22" s="84"/>
      <c r="BC22" s="85"/>
      <c r="BD22" s="84"/>
      <c r="BE22" s="85"/>
      <c r="BF22" s="84"/>
      <c r="BG22" s="85"/>
      <c r="BH22" s="84"/>
      <c r="BI22" s="85"/>
      <c r="BJ22" s="84"/>
      <c r="BK22" s="85"/>
      <c r="BL22" s="84"/>
      <c r="BM22" s="85"/>
      <c r="BN22" s="84"/>
      <c r="BO22" s="81"/>
      <c r="BP22" s="213"/>
    </row>
    <row r="23" spans="1:68" s="407" customFormat="1" x14ac:dyDescent="0.35">
      <c r="A23" s="426"/>
      <c r="B23" s="211" t="s">
        <v>835</v>
      </c>
      <c r="C23" s="396"/>
      <c r="D23" s="105">
        <v>961.88</v>
      </c>
      <c r="E23" s="105">
        <v>961.88</v>
      </c>
      <c r="F23" s="305">
        <v>961.88</v>
      </c>
      <c r="G23" s="397"/>
      <c r="H23" s="398">
        <f t="shared" ref="H23" si="14">G23/F23</f>
        <v>0</v>
      </c>
      <c r="I23" s="399"/>
      <c r="J23" s="400">
        <f t="shared" ref="J23" si="15">I23/F23</f>
        <v>0</v>
      </c>
      <c r="K23" s="399"/>
      <c r="L23" s="401">
        <f t="shared" ref="L23" si="16">K23/F23</f>
        <v>0</v>
      </c>
      <c r="M23" s="397"/>
      <c r="N23" s="401">
        <f>M23/F23</f>
        <v>0</v>
      </c>
      <c r="O23" s="399"/>
      <c r="P23" s="402">
        <f>O23/F23</f>
        <v>0</v>
      </c>
      <c r="Q23" s="397"/>
      <c r="R23" s="402">
        <f>Q23/F23</f>
        <v>0</v>
      </c>
      <c r="S23" s="399"/>
      <c r="T23" s="402">
        <f>S23/F23</f>
        <v>0</v>
      </c>
      <c r="U23" s="399"/>
      <c r="V23" s="402">
        <f>U23/F23</f>
        <v>0</v>
      </c>
      <c r="W23" s="397"/>
      <c r="X23" s="402">
        <f>W23/F23</f>
        <v>0</v>
      </c>
      <c r="Y23" s="399"/>
      <c r="Z23" s="402">
        <f>Y23/F23</f>
        <v>0</v>
      </c>
      <c r="AA23" s="397"/>
      <c r="AB23" s="402">
        <f>AA23/F23</f>
        <v>0</v>
      </c>
      <c r="AC23" s="399">
        <v>961.88</v>
      </c>
      <c r="AD23" s="402">
        <f>AC23/F23</f>
        <v>1</v>
      </c>
      <c r="AE23" s="397"/>
      <c r="AF23" s="402">
        <f>AE23/F23</f>
        <v>0</v>
      </c>
      <c r="AG23" s="399"/>
      <c r="AH23" s="402">
        <f>AG23/F23</f>
        <v>0</v>
      </c>
      <c r="AI23" s="397"/>
      <c r="AJ23" s="402">
        <f>AI23/F23</f>
        <v>0</v>
      </c>
      <c r="AK23" s="397"/>
      <c r="AL23" s="402">
        <f t="shared" ref="AL23" si="17">AK23/F23</f>
        <v>0</v>
      </c>
      <c r="AM23" s="397"/>
      <c r="AN23" s="402">
        <f t="shared" ref="AN23" si="18">AM23/F23</f>
        <v>0</v>
      </c>
      <c r="AO23" s="397"/>
      <c r="AP23" s="402">
        <f t="shared" ref="AP23" si="19">AO23/F23</f>
        <v>0</v>
      </c>
      <c r="AQ23" s="403">
        <f t="shared" ref="AQ23" si="20">L23+N23+P23+R23+T23+V23+X23+Z23+AB23+AD23+H23+J23+AJ23+AF23+AH23+AN23+AP23+AL23</f>
        <v>1</v>
      </c>
      <c r="AR23" s="197">
        <f t="shared" ref="AR23" si="21">+F23</f>
        <v>961.88</v>
      </c>
      <c r="AS23" s="197">
        <f>AR23</f>
        <v>961.88</v>
      </c>
      <c r="AT23" s="236">
        <f t="shared" ref="AT23" si="22">F23-AR23</f>
        <v>0</v>
      </c>
      <c r="AU23" s="405"/>
      <c r="AV23" s="236">
        <f t="shared" ref="AV23" si="23">F23-AR23-AT23</f>
        <v>0</v>
      </c>
      <c r="AW23" s="404"/>
      <c r="AX23" s="236">
        <f t="shared" ref="AX23" si="24">F23-AR23-AT23-AV23</f>
        <v>0</v>
      </c>
      <c r="AY23" s="405"/>
      <c r="AZ23" s="236">
        <f t="shared" ref="AZ23" si="25">F23-AR23-AT23-AV23-AX23</f>
        <v>0</v>
      </c>
      <c r="BA23" s="404"/>
      <c r="BB23" s="236">
        <f t="shared" ref="BB23" si="26">F23-AR23-AT23-AV23-AX23-AZ23</f>
        <v>0</v>
      </c>
      <c r="BC23" s="405"/>
      <c r="BD23" s="236">
        <f t="shared" ref="BD23" si="27">F23-AR23-AT23-AV23-AX23-AZ23-BB23</f>
        <v>0</v>
      </c>
      <c r="BE23" s="405"/>
      <c r="BF23" s="236">
        <f t="shared" ref="BF23" si="28">F23-AR23-AT23-AV23-AX23-AZ23-BB23-BD23</f>
        <v>0</v>
      </c>
      <c r="BG23" s="405"/>
      <c r="BH23" s="236">
        <f t="shared" ref="BH23" si="29">F23-AR23-AT23-AV23-AX23-AZ23-BB23-BD23-BF23</f>
        <v>0</v>
      </c>
      <c r="BI23" s="405"/>
      <c r="BJ23" s="236">
        <f t="shared" ref="BJ23" si="30">F23-AR23-AT23-AV23-AX23-AZ23-BB23-BD23-BF23-BH23</f>
        <v>0</v>
      </c>
      <c r="BK23" s="405"/>
      <c r="BL23" s="236">
        <f t="shared" ref="BL23" si="31">F23-AR23-AT23-AV23-AX23-AZ23-BB23-BD23-BF23-BH23-BJ23</f>
        <v>0</v>
      </c>
      <c r="BM23" s="405"/>
      <c r="BN23" s="236">
        <f t="shared" ref="BN23" si="32">F23-AR23-AT23-AV23-AX23-AZ23-BB23-BD23-BF23-BH23-BJ23-BL23</f>
        <v>0</v>
      </c>
      <c r="BO23" s="404"/>
      <c r="BP23" s="406">
        <f t="shared" ref="BP23" si="33">F23-AR23-AT23-AV23-AX23-AZ23-BB23-BD23-BF23-BH23-BJ23-BL23-BN23</f>
        <v>0</v>
      </c>
    </row>
    <row r="24" spans="1:68" x14ac:dyDescent="0.35">
      <c r="A24" s="425"/>
      <c r="B24" s="151" t="s">
        <v>478</v>
      </c>
      <c r="C24" s="169"/>
      <c r="D24" s="83">
        <f>'2021-22'!AU10</f>
        <v>0</v>
      </c>
      <c r="E24" s="83"/>
      <c r="F24" s="301"/>
      <c r="G24" s="286"/>
      <c r="H24" s="360"/>
      <c r="I24" s="285"/>
      <c r="J24" s="312"/>
      <c r="K24" s="285"/>
      <c r="L24" s="285"/>
      <c r="M24" s="286"/>
      <c r="N24" s="286"/>
      <c r="O24" s="285"/>
      <c r="P24" s="285"/>
      <c r="Q24" s="286"/>
      <c r="R24" s="286"/>
      <c r="S24" s="285"/>
      <c r="T24" s="285"/>
      <c r="U24" s="285"/>
      <c r="V24" s="285"/>
      <c r="W24" s="286"/>
      <c r="X24" s="286"/>
      <c r="Y24" s="285"/>
      <c r="Z24" s="312"/>
      <c r="AA24" s="286"/>
      <c r="AB24" s="360"/>
      <c r="AC24" s="285"/>
      <c r="AD24" s="312"/>
      <c r="AE24" s="286"/>
      <c r="AF24" s="360"/>
      <c r="AG24" s="285"/>
      <c r="AH24" s="312"/>
      <c r="AI24" s="286"/>
      <c r="AJ24" s="360"/>
      <c r="AK24" s="286"/>
      <c r="AL24" s="360"/>
      <c r="AM24" s="286"/>
      <c r="AN24" s="360"/>
      <c r="AO24" s="286"/>
      <c r="AP24" s="360"/>
      <c r="AQ24" s="322"/>
      <c r="AR24" s="81"/>
      <c r="AS24" s="81"/>
      <c r="AT24" s="84"/>
      <c r="AU24" s="85"/>
      <c r="AV24" s="81"/>
      <c r="AW24" s="81"/>
      <c r="AX24" s="84"/>
      <c r="AY24" s="85"/>
      <c r="AZ24" s="84"/>
      <c r="BA24" s="81"/>
      <c r="BB24" s="84"/>
      <c r="BC24" s="85"/>
      <c r="BD24" s="84"/>
      <c r="BE24" s="85"/>
      <c r="BF24" s="84"/>
      <c r="BG24" s="85"/>
      <c r="BH24" s="84"/>
      <c r="BI24" s="85"/>
      <c r="BJ24" s="84"/>
      <c r="BK24" s="85"/>
      <c r="BL24" s="84"/>
      <c r="BM24" s="85"/>
      <c r="BN24" s="84"/>
      <c r="BO24" s="81"/>
      <c r="BP24" s="213"/>
    </row>
    <row r="25" spans="1:68" x14ac:dyDescent="0.35">
      <c r="A25" s="425"/>
      <c r="B25" s="327"/>
      <c r="C25" s="328"/>
      <c r="D25" s="330"/>
      <c r="E25" s="330"/>
      <c r="F25" s="331"/>
      <c r="G25" s="361"/>
      <c r="H25" s="362"/>
      <c r="I25" s="332"/>
      <c r="J25" s="334"/>
      <c r="K25" s="332"/>
      <c r="L25" s="333"/>
      <c r="M25" s="332"/>
      <c r="N25" s="333"/>
      <c r="O25" s="332"/>
      <c r="P25" s="333"/>
      <c r="Q25" s="332"/>
      <c r="R25" s="333"/>
      <c r="S25" s="332"/>
      <c r="T25" s="333"/>
      <c r="U25" s="332"/>
      <c r="V25" s="333"/>
      <c r="W25" s="332"/>
      <c r="X25" s="333"/>
      <c r="Y25" s="332"/>
      <c r="Z25" s="334"/>
      <c r="AA25" s="361"/>
      <c r="AB25" s="362"/>
      <c r="AC25" s="332"/>
      <c r="AD25" s="334"/>
      <c r="AE25" s="361"/>
      <c r="AF25" s="362"/>
      <c r="AG25" s="332"/>
      <c r="AH25" s="334"/>
      <c r="AI25" s="361"/>
      <c r="AJ25" s="362"/>
      <c r="AK25" s="361"/>
      <c r="AL25" s="362"/>
      <c r="AM25" s="361"/>
      <c r="AN25" s="362"/>
      <c r="AO25" s="361"/>
      <c r="AP25" s="362"/>
      <c r="AQ25" s="335"/>
      <c r="AR25" s="329"/>
      <c r="AS25" s="329"/>
      <c r="AT25" s="336"/>
      <c r="AU25" s="337"/>
      <c r="AV25" s="338"/>
      <c r="AW25" s="329"/>
      <c r="AX25" s="336"/>
      <c r="AY25" s="337"/>
      <c r="AZ25" s="336"/>
      <c r="BA25" s="329"/>
      <c r="BB25" s="336"/>
      <c r="BC25" s="337"/>
      <c r="BD25" s="336"/>
      <c r="BE25" s="337"/>
      <c r="BF25" s="336"/>
      <c r="BG25" s="337"/>
      <c r="BH25" s="336"/>
      <c r="BI25" s="337"/>
      <c r="BJ25" s="336"/>
      <c r="BK25" s="337"/>
      <c r="BL25" s="336"/>
      <c r="BM25" s="337"/>
      <c r="BN25" s="336"/>
      <c r="BO25" s="329"/>
      <c r="BP25" s="339"/>
    </row>
    <row r="26" spans="1:68" ht="13.9" x14ac:dyDescent="0.4">
      <c r="A26" s="430"/>
      <c r="B26" s="368" t="s">
        <v>669</v>
      </c>
      <c r="C26" s="369"/>
      <c r="D26" s="370"/>
      <c r="E26" s="371"/>
      <c r="F26" s="304"/>
      <c r="G26" s="289"/>
      <c r="H26" s="363" t="e">
        <f t="shared" ref="H26:H131" si="34">G26/F26</f>
        <v>#DIV/0!</v>
      </c>
      <c r="I26" s="287"/>
      <c r="J26" s="313" t="e">
        <f t="shared" ref="J26:J92" si="35">I26/F26</f>
        <v>#DIV/0!</v>
      </c>
      <c r="K26" s="287"/>
      <c r="L26" s="288" t="e">
        <f t="shared" ref="L26:L92" si="36">K26/F26</f>
        <v>#DIV/0!</v>
      </c>
      <c r="M26" s="289"/>
      <c r="N26" s="288" t="e">
        <f t="shared" ref="N26:N128" si="37">M26/F26</f>
        <v>#DIV/0!</v>
      </c>
      <c r="O26" s="287"/>
      <c r="P26" s="290" t="e">
        <f t="shared" ref="P26:P128" si="38">O26/F26</f>
        <v>#DIV/0!</v>
      </c>
      <c r="Q26" s="289"/>
      <c r="R26" s="290" t="e">
        <f t="shared" ref="R26:R128" si="39">Q26/F26</f>
        <v>#DIV/0!</v>
      </c>
      <c r="S26" s="287"/>
      <c r="T26" s="290" t="e">
        <f t="shared" ref="T26:T128" si="40">S26/F26</f>
        <v>#DIV/0!</v>
      </c>
      <c r="U26" s="287"/>
      <c r="V26" s="290" t="e">
        <f t="shared" ref="V26:V128" si="41">U26/F26</f>
        <v>#DIV/0!</v>
      </c>
      <c r="W26" s="289"/>
      <c r="X26" s="290" t="e">
        <f t="shared" ref="X26:X128" si="42">W26/F26</f>
        <v>#DIV/0!</v>
      </c>
      <c r="Y26" s="287"/>
      <c r="Z26" s="290" t="e">
        <f t="shared" ref="Z26:Z128" si="43">Y26/F26</f>
        <v>#DIV/0!</v>
      </c>
      <c r="AA26" s="289"/>
      <c r="AB26" s="290" t="e">
        <f t="shared" ref="AB26:AB128" si="44">AA26/F26</f>
        <v>#DIV/0!</v>
      </c>
      <c r="AC26" s="287"/>
      <c r="AD26" s="290" t="e">
        <f t="shared" ref="AD26:AD128" si="45">AC26/F26</f>
        <v>#DIV/0!</v>
      </c>
      <c r="AE26" s="289"/>
      <c r="AF26" s="290" t="e">
        <f t="shared" ref="AF26:AF128" si="46">AE26/F26</f>
        <v>#DIV/0!</v>
      </c>
      <c r="AG26" s="287"/>
      <c r="AH26" s="290" t="e">
        <f t="shared" ref="AH26:AH128" si="47">AG26/F26</f>
        <v>#DIV/0!</v>
      </c>
      <c r="AI26" s="289"/>
      <c r="AJ26" s="290" t="e">
        <f t="shared" ref="AJ26:AJ128" si="48">AI26/F26</f>
        <v>#DIV/0!</v>
      </c>
      <c r="AK26" s="289"/>
      <c r="AL26" s="290" t="e">
        <f>AK26/F26</f>
        <v>#DIV/0!</v>
      </c>
      <c r="AM26" s="289"/>
      <c r="AN26" s="290" t="e">
        <f t="shared" ref="AN26:AN76" si="49">AM26/F26</f>
        <v>#DIV/0!</v>
      </c>
      <c r="AO26" s="289"/>
      <c r="AP26" s="290" t="e">
        <f t="shared" ref="AP26:AP76" si="50">AO26/F26</f>
        <v>#DIV/0!</v>
      </c>
      <c r="AQ26" s="323" t="e">
        <f>L26+N26+P26+R26+T26+V26+X26+Z26+AB26+AD26+H26+J26+AJ26+AF26+AH26+AN26+AP26+AL26</f>
        <v>#DIV/0!</v>
      </c>
      <c r="AR26" s="81">
        <f t="shared" ref="AR26:AR75" si="51">+F26</f>
        <v>0</v>
      </c>
      <c r="AS26" s="81"/>
      <c r="AT26" s="84">
        <f t="shared" ref="AT26:AT75" si="52">F26-AR26</f>
        <v>0</v>
      </c>
      <c r="AU26" s="85"/>
      <c r="AV26" s="84">
        <f t="shared" ref="AV26:AV76" si="53">F26-AR26-AT26</f>
        <v>0</v>
      </c>
      <c r="AW26" s="81"/>
      <c r="AX26" s="84">
        <f t="shared" ref="AX26:AX76" si="54">F26-AR26-AT26-AV26</f>
        <v>0</v>
      </c>
      <c r="AY26" s="85"/>
      <c r="AZ26" s="84">
        <f t="shared" ref="AZ26:AZ76" si="55">F26-AR26-AT26-AV26-AX26</f>
        <v>0</v>
      </c>
      <c r="BA26" s="81"/>
      <c r="BB26" s="84">
        <f t="shared" ref="BB26:BB76" si="56">F26-AR26-AT26-AV26-AX26-AZ26</f>
        <v>0</v>
      </c>
      <c r="BC26" s="85"/>
      <c r="BD26" s="84">
        <f t="shared" ref="BD26:BD76" si="57">F26-AR26-AT26-AV26-AX26-AZ26-BB26</f>
        <v>0</v>
      </c>
      <c r="BE26" s="85"/>
      <c r="BF26" s="84">
        <f t="shared" ref="BF26:BF76" si="58">F26-AR26-AT26-AV26-AX26-AZ26-BB26-BD26</f>
        <v>0</v>
      </c>
      <c r="BG26" s="85"/>
      <c r="BH26" s="84">
        <f t="shared" ref="BH26:BH76" si="59">F26-AR26-AT26-AV26-AX26-AZ26-BB26-BD26-BF26</f>
        <v>0</v>
      </c>
      <c r="BI26" s="85"/>
      <c r="BJ26" s="84">
        <f t="shared" ref="BJ26:BJ76" si="60">F26-AR26-AT26-AV26-AX26-AZ26-BB26-BD26-BF26-BH26</f>
        <v>0</v>
      </c>
      <c r="BK26" s="85"/>
      <c r="BL26" s="84">
        <f t="shared" ref="BL26:BL76" si="61">F26-AR26-AT26-AV26-AX26-AZ26-BB26-BD26-BF26-BH26-BJ26</f>
        <v>0</v>
      </c>
      <c r="BM26" s="85"/>
      <c r="BN26" s="84">
        <f t="shared" ref="BN26:BN76" si="62">F26-AR26-AT26-AV26-AX26-AZ26-BB26-BD26-BF26-BH26-BJ26-BL26</f>
        <v>0</v>
      </c>
      <c r="BO26" s="81"/>
      <c r="BP26" s="214">
        <f t="shared" ref="BP26:BP76" si="63">F26-AR26-AT26-AV26-AX26-AZ26-BB26-BD26-BF26-BH26-BJ26-BL26-BN26</f>
        <v>0</v>
      </c>
    </row>
    <row r="27" spans="1:68" ht="13.9" x14ac:dyDescent="0.4">
      <c r="A27" s="69">
        <v>450000</v>
      </c>
      <c r="B27" s="390" t="s">
        <v>877</v>
      </c>
      <c r="C27" s="180"/>
      <c r="D27" s="83">
        <v>280000</v>
      </c>
      <c r="E27" s="142"/>
      <c r="F27" s="434"/>
      <c r="G27" s="289"/>
      <c r="H27" s="363" t="e">
        <f t="shared" si="34"/>
        <v>#DIV/0!</v>
      </c>
      <c r="I27" s="287"/>
      <c r="J27" s="313" t="e">
        <f t="shared" si="35"/>
        <v>#DIV/0!</v>
      </c>
      <c r="K27" s="287"/>
      <c r="L27" s="288" t="e">
        <f t="shared" si="36"/>
        <v>#DIV/0!</v>
      </c>
      <c r="M27" s="289"/>
      <c r="N27" s="288" t="e">
        <f t="shared" ref="N27:N32" si="64">M27/F27</f>
        <v>#DIV/0!</v>
      </c>
      <c r="O27" s="287"/>
      <c r="P27" s="290" t="e">
        <f t="shared" ref="P27:P32" si="65">O27/F27</f>
        <v>#DIV/0!</v>
      </c>
      <c r="Q27" s="289"/>
      <c r="R27" s="290" t="e">
        <f t="shared" ref="R27:R32" si="66">Q27/F27</f>
        <v>#DIV/0!</v>
      </c>
      <c r="S27" s="287"/>
      <c r="T27" s="290" t="e">
        <f t="shared" ref="T27:T32" si="67">S27/F27</f>
        <v>#DIV/0!</v>
      </c>
      <c r="U27" s="287"/>
      <c r="V27" s="290" t="e">
        <f t="shared" ref="V27:V32" si="68">U27/F27</f>
        <v>#DIV/0!</v>
      </c>
      <c r="W27" s="289"/>
      <c r="X27" s="290" t="e">
        <f t="shared" ref="X27:X32" si="69">W27/F27</f>
        <v>#DIV/0!</v>
      </c>
      <c r="Y27" s="287"/>
      <c r="Z27" s="290" t="e">
        <f t="shared" ref="Z27:Z32" si="70">Y27/F27</f>
        <v>#DIV/0!</v>
      </c>
      <c r="AA27" s="289"/>
      <c r="AB27" s="290" t="e">
        <f t="shared" ref="AB27:AB32" si="71">AA27/F27</f>
        <v>#DIV/0!</v>
      </c>
      <c r="AC27" s="287"/>
      <c r="AD27" s="290" t="e">
        <f t="shared" ref="AD27:AD32" si="72">AC27/F27</f>
        <v>#DIV/0!</v>
      </c>
      <c r="AE27" s="289"/>
      <c r="AF27" s="290" t="e">
        <f t="shared" ref="AF27:AF32" si="73">AE27/F27</f>
        <v>#DIV/0!</v>
      </c>
      <c r="AG27" s="287"/>
      <c r="AH27" s="290" t="e">
        <f t="shared" ref="AH27:AH32" si="74">AG27/F27</f>
        <v>#DIV/0!</v>
      </c>
      <c r="AI27" s="289"/>
      <c r="AJ27" s="290" t="e">
        <f t="shared" ref="AJ27:AJ32" si="75">AI27/F27</f>
        <v>#DIV/0!</v>
      </c>
      <c r="AK27" s="289"/>
      <c r="AL27" s="290" t="e">
        <f t="shared" ref="AL27" si="76">AK27/F27</f>
        <v>#DIV/0!</v>
      </c>
      <c r="AM27" s="289"/>
      <c r="AN27" s="290" t="e">
        <f t="shared" si="49"/>
        <v>#DIV/0!</v>
      </c>
      <c r="AO27" s="289"/>
      <c r="AP27" s="290" t="e">
        <f t="shared" si="50"/>
        <v>#DIV/0!</v>
      </c>
      <c r="AQ27" s="323" t="e">
        <f t="shared" ref="AQ27" si="77">L27+N27+P27+R27+T27+V27+X27+Z27+AB27+AD27+H27+J27+AJ27+AF27+AH27+AN27+AP27+AL27</f>
        <v>#DIV/0!</v>
      </c>
      <c r="AR27" s="81">
        <v>0</v>
      </c>
      <c r="AS27" s="81"/>
      <c r="AT27" s="84">
        <v>0</v>
      </c>
      <c r="AU27" s="85"/>
      <c r="AV27" s="84">
        <v>0</v>
      </c>
      <c r="AW27" s="81"/>
      <c r="AX27" s="84">
        <v>0</v>
      </c>
      <c r="AY27" s="85"/>
      <c r="AZ27" s="84">
        <v>0</v>
      </c>
      <c r="BA27" s="81"/>
      <c r="BB27" s="84">
        <v>0</v>
      </c>
      <c r="BC27" s="85"/>
      <c r="BD27" s="84">
        <v>0</v>
      </c>
      <c r="BE27" s="85"/>
      <c r="BF27" s="84"/>
      <c r="BG27" s="85"/>
      <c r="BH27" s="84">
        <f t="shared" si="59"/>
        <v>0</v>
      </c>
      <c r="BI27" s="85"/>
      <c r="BJ27" s="84">
        <f t="shared" si="60"/>
        <v>0</v>
      </c>
      <c r="BK27" s="85"/>
      <c r="BL27" s="84">
        <f t="shared" si="61"/>
        <v>0</v>
      </c>
      <c r="BM27" s="85"/>
      <c r="BN27" s="84">
        <f t="shared" si="62"/>
        <v>0</v>
      </c>
      <c r="BO27" s="81"/>
      <c r="BP27" s="214">
        <f t="shared" si="63"/>
        <v>0</v>
      </c>
    </row>
    <row r="28" spans="1:68" ht="13.9" x14ac:dyDescent="0.4">
      <c r="A28" s="69">
        <v>350000</v>
      </c>
      <c r="B28" s="390" t="s">
        <v>876</v>
      </c>
      <c r="C28" s="180"/>
      <c r="D28" s="83">
        <v>250000</v>
      </c>
      <c r="E28" s="142"/>
      <c r="F28" s="434"/>
      <c r="G28" s="289"/>
      <c r="H28" s="363" t="e">
        <f t="shared" ref="H28" si="78">G28/F28</f>
        <v>#DIV/0!</v>
      </c>
      <c r="I28" s="287"/>
      <c r="J28" s="313" t="e">
        <f t="shared" ref="J28" si="79">I28/F28</f>
        <v>#DIV/0!</v>
      </c>
      <c r="K28" s="287"/>
      <c r="L28" s="288" t="e">
        <f t="shared" ref="L28" si="80">K28/F28</f>
        <v>#DIV/0!</v>
      </c>
      <c r="M28" s="289"/>
      <c r="N28" s="288" t="e">
        <f t="shared" si="64"/>
        <v>#DIV/0!</v>
      </c>
      <c r="O28" s="287"/>
      <c r="P28" s="290" t="e">
        <f t="shared" si="65"/>
        <v>#DIV/0!</v>
      </c>
      <c r="Q28" s="289"/>
      <c r="R28" s="290" t="e">
        <f t="shared" si="66"/>
        <v>#DIV/0!</v>
      </c>
      <c r="S28" s="287"/>
      <c r="T28" s="290" t="e">
        <f t="shared" si="67"/>
        <v>#DIV/0!</v>
      </c>
      <c r="U28" s="287"/>
      <c r="V28" s="290" t="e">
        <f t="shared" si="68"/>
        <v>#DIV/0!</v>
      </c>
      <c r="W28" s="289"/>
      <c r="X28" s="290" t="e">
        <f t="shared" si="69"/>
        <v>#DIV/0!</v>
      </c>
      <c r="Y28" s="287"/>
      <c r="Z28" s="290" t="e">
        <f t="shared" si="70"/>
        <v>#DIV/0!</v>
      </c>
      <c r="AA28" s="289"/>
      <c r="AB28" s="290" t="e">
        <f t="shared" si="71"/>
        <v>#DIV/0!</v>
      </c>
      <c r="AC28" s="287"/>
      <c r="AD28" s="290" t="e">
        <f t="shared" si="72"/>
        <v>#DIV/0!</v>
      </c>
      <c r="AE28" s="289"/>
      <c r="AF28" s="290" t="e">
        <f t="shared" si="73"/>
        <v>#DIV/0!</v>
      </c>
      <c r="AG28" s="287"/>
      <c r="AH28" s="290" t="e">
        <f t="shared" si="74"/>
        <v>#DIV/0!</v>
      </c>
      <c r="AI28" s="289"/>
      <c r="AJ28" s="290" t="e">
        <f t="shared" si="75"/>
        <v>#DIV/0!</v>
      </c>
      <c r="AK28" s="289"/>
      <c r="AL28" s="290" t="e">
        <f t="shared" ref="AL28" si="81">AK28/F28</f>
        <v>#DIV/0!</v>
      </c>
      <c r="AM28" s="289"/>
      <c r="AN28" s="290" t="e">
        <f t="shared" ref="AN28" si="82">AM28/F28</f>
        <v>#DIV/0!</v>
      </c>
      <c r="AO28" s="289"/>
      <c r="AP28" s="290" t="e">
        <f t="shared" ref="AP28" si="83">AO28/F28</f>
        <v>#DIV/0!</v>
      </c>
      <c r="AQ28" s="323" t="e">
        <f t="shared" ref="AQ28" si="84">L28+N28+P28+R28+T28+V28+X28+Z28+AB28+AD28+H28+J28+AJ28+AF28+AH28+AN28+AP28+AL28</f>
        <v>#DIV/0!</v>
      </c>
      <c r="AR28" s="81">
        <v>0</v>
      </c>
      <c r="AS28" s="81"/>
      <c r="AT28" s="84">
        <v>0</v>
      </c>
      <c r="AU28" s="85"/>
      <c r="AV28" s="84">
        <v>0</v>
      </c>
      <c r="AW28" s="81"/>
      <c r="AX28" s="84">
        <v>0</v>
      </c>
      <c r="AY28" s="85"/>
      <c r="AZ28" s="84">
        <v>0</v>
      </c>
      <c r="BA28" s="81"/>
      <c r="BB28" s="84">
        <v>0</v>
      </c>
      <c r="BC28" s="85"/>
      <c r="BD28" s="84">
        <v>0</v>
      </c>
      <c r="BE28" s="85"/>
      <c r="BF28" s="84"/>
      <c r="BG28" s="85"/>
      <c r="BH28" s="84">
        <f t="shared" ref="BH28" si="85">F28-AR28-AT28-AV28-AX28-AZ28-BB28-BD28-BF28</f>
        <v>0</v>
      </c>
      <c r="BI28" s="85"/>
      <c r="BJ28" s="84">
        <f t="shared" ref="BJ28" si="86">F28-AR28-AT28-AV28-AX28-AZ28-BB28-BD28-BF28-BH28</f>
        <v>0</v>
      </c>
      <c r="BK28" s="85"/>
      <c r="BL28" s="84">
        <f t="shared" ref="BL28" si="87">F28-AR28-AT28-AV28-AX28-AZ28-BB28-BD28-BF28-BH28-BJ28</f>
        <v>0</v>
      </c>
      <c r="BM28" s="85"/>
      <c r="BN28" s="84">
        <f t="shared" ref="BN28" si="88">F28-AR28-AT28-AV28-AX28-AZ28-BB28-BD28-BF28-BH28-BJ28-BL28</f>
        <v>0</v>
      </c>
      <c r="BO28" s="81"/>
      <c r="BP28" s="214">
        <f t="shared" ref="BP28" si="89">F28-AR28-AT28-AV28-AX28-AZ28-BB28-BD28-BF28-BH28-BJ28-BL28-BN28</f>
        <v>0</v>
      </c>
    </row>
    <row r="29" spans="1:68" ht="13.9" x14ac:dyDescent="0.4">
      <c r="B29" s="390" t="s">
        <v>873</v>
      </c>
      <c r="C29" s="180"/>
      <c r="D29" s="83">
        <v>64018.49</v>
      </c>
      <c r="E29" s="142"/>
      <c r="F29" s="434">
        <v>64018</v>
      </c>
      <c r="G29" s="289"/>
      <c r="H29" s="363">
        <f t="shared" si="34"/>
        <v>0</v>
      </c>
      <c r="I29" s="287"/>
      <c r="J29" s="313">
        <f t="shared" si="35"/>
        <v>0</v>
      </c>
      <c r="K29" s="287"/>
      <c r="L29" s="288">
        <f t="shared" si="36"/>
        <v>0</v>
      </c>
      <c r="M29" s="289"/>
      <c r="N29" s="288">
        <f t="shared" si="64"/>
        <v>0</v>
      </c>
      <c r="O29" s="287"/>
      <c r="P29" s="290">
        <f t="shared" si="65"/>
        <v>0</v>
      </c>
      <c r="Q29" s="289"/>
      <c r="R29" s="290">
        <f t="shared" si="66"/>
        <v>0</v>
      </c>
      <c r="S29" s="287"/>
      <c r="T29" s="290">
        <f t="shared" si="67"/>
        <v>0</v>
      </c>
      <c r="U29" s="287"/>
      <c r="V29" s="290">
        <f t="shared" si="68"/>
        <v>0</v>
      </c>
      <c r="W29" s="289"/>
      <c r="X29" s="290">
        <f t="shared" si="69"/>
        <v>0</v>
      </c>
      <c r="Y29" s="287"/>
      <c r="Z29" s="290">
        <f t="shared" si="70"/>
        <v>0</v>
      </c>
      <c r="AA29" s="289"/>
      <c r="AB29" s="290">
        <f t="shared" si="71"/>
        <v>0</v>
      </c>
      <c r="AC29" s="287"/>
      <c r="AD29" s="290">
        <f t="shared" si="72"/>
        <v>0</v>
      </c>
      <c r="AE29" s="289"/>
      <c r="AF29" s="290">
        <f t="shared" si="73"/>
        <v>0</v>
      </c>
      <c r="AG29" s="287"/>
      <c r="AH29" s="290">
        <f t="shared" si="74"/>
        <v>0</v>
      </c>
      <c r="AI29" s="289"/>
      <c r="AJ29" s="290">
        <f t="shared" si="75"/>
        <v>0</v>
      </c>
      <c r="AK29" s="289"/>
      <c r="AL29" s="290">
        <f t="shared" ref="AL29" si="90">AK29/F29</f>
        <v>0</v>
      </c>
      <c r="AM29" s="289"/>
      <c r="AN29" s="290">
        <f t="shared" si="49"/>
        <v>0</v>
      </c>
      <c r="AO29" s="289"/>
      <c r="AP29" s="290">
        <f t="shared" si="50"/>
        <v>0</v>
      </c>
      <c r="AQ29" s="323">
        <f t="shared" ref="AQ29" si="91">L29+N29+P29+R29+T29+V29+X29+Z29+AB29+AD29+H29+J29+AJ29+AF29+AH29+AN29+AP29+AL29</f>
        <v>0</v>
      </c>
      <c r="AR29" s="81">
        <v>0</v>
      </c>
      <c r="AS29" s="81"/>
      <c r="AT29" s="84">
        <v>0</v>
      </c>
      <c r="AU29" s="85"/>
      <c r="AV29" s="84">
        <v>0</v>
      </c>
      <c r="AW29" s="81"/>
      <c r="AX29" s="84">
        <v>0</v>
      </c>
      <c r="AY29" s="85"/>
      <c r="AZ29" s="84">
        <v>0</v>
      </c>
      <c r="BA29" s="81"/>
      <c r="BB29" s="84">
        <v>0</v>
      </c>
      <c r="BC29" s="85"/>
      <c r="BD29" s="84">
        <v>0</v>
      </c>
      <c r="BE29" s="85"/>
      <c r="BF29" s="84">
        <v>40000</v>
      </c>
      <c r="BG29" s="85"/>
      <c r="BH29" s="84">
        <f t="shared" si="59"/>
        <v>24018</v>
      </c>
      <c r="BI29" s="85"/>
      <c r="BJ29" s="84">
        <f t="shared" si="60"/>
        <v>0</v>
      </c>
      <c r="BK29" s="85"/>
      <c r="BL29" s="84">
        <f t="shared" si="61"/>
        <v>0</v>
      </c>
      <c r="BM29" s="85"/>
      <c r="BN29" s="84">
        <f t="shared" si="62"/>
        <v>0</v>
      </c>
      <c r="BO29" s="81"/>
      <c r="BP29" s="214">
        <f t="shared" si="63"/>
        <v>0</v>
      </c>
    </row>
    <row r="30" spans="1:68" ht="13.9" x14ac:dyDescent="0.4">
      <c r="B30" s="390" t="s">
        <v>871</v>
      </c>
      <c r="C30" s="180"/>
      <c r="D30" s="83">
        <v>120525</v>
      </c>
      <c r="E30" s="142">
        <v>120525</v>
      </c>
      <c r="F30" s="304"/>
      <c r="G30" s="289"/>
      <c r="H30" s="363" t="e">
        <f t="shared" si="34"/>
        <v>#DIV/0!</v>
      </c>
      <c r="I30" s="287"/>
      <c r="J30" s="313" t="e">
        <f t="shared" si="35"/>
        <v>#DIV/0!</v>
      </c>
      <c r="K30" s="287"/>
      <c r="L30" s="288" t="e">
        <f t="shared" si="36"/>
        <v>#DIV/0!</v>
      </c>
      <c r="M30" s="289"/>
      <c r="N30" s="288" t="e">
        <f t="shared" si="64"/>
        <v>#DIV/0!</v>
      </c>
      <c r="O30" s="287"/>
      <c r="P30" s="290" t="e">
        <f t="shared" si="65"/>
        <v>#DIV/0!</v>
      </c>
      <c r="Q30" s="289"/>
      <c r="R30" s="290" t="e">
        <f t="shared" si="66"/>
        <v>#DIV/0!</v>
      </c>
      <c r="S30" s="287"/>
      <c r="T30" s="290" t="e">
        <f t="shared" si="67"/>
        <v>#DIV/0!</v>
      </c>
      <c r="U30" s="287"/>
      <c r="V30" s="290" t="e">
        <f t="shared" si="68"/>
        <v>#DIV/0!</v>
      </c>
      <c r="W30" s="289"/>
      <c r="X30" s="290" t="e">
        <f t="shared" si="69"/>
        <v>#DIV/0!</v>
      </c>
      <c r="Y30" s="287"/>
      <c r="Z30" s="290" t="e">
        <f t="shared" si="70"/>
        <v>#DIV/0!</v>
      </c>
      <c r="AA30" s="289"/>
      <c r="AB30" s="290" t="e">
        <f t="shared" si="71"/>
        <v>#DIV/0!</v>
      </c>
      <c r="AC30" s="287"/>
      <c r="AD30" s="290" t="e">
        <f t="shared" si="72"/>
        <v>#DIV/0!</v>
      </c>
      <c r="AE30" s="289"/>
      <c r="AF30" s="290" t="e">
        <f t="shared" si="73"/>
        <v>#DIV/0!</v>
      </c>
      <c r="AG30" s="287"/>
      <c r="AH30" s="290" t="e">
        <f t="shared" si="74"/>
        <v>#DIV/0!</v>
      </c>
      <c r="AI30" s="289"/>
      <c r="AJ30" s="290" t="e">
        <f t="shared" si="75"/>
        <v>#DIV/0!</v>
      </c>
      <c r="AK30" s="289"/>
      <c r="AL30" s="290" t="e">
        <f t="shared" ref="AL30" si="92">AK30/F30</f>
        <v>#DIV/0!</v>
      </c>
      <c r="AM30" s="289"/>
      <c r="AN30" s="290" t="e">
        <f t="shared" si="49"/>
        <v>#DIV/0!</v>
      </c>
      <c r="AO30" s="289"/>
      <c r="AP30" s="290" t="e">
        <f t="shared" si="50"/>
        <v>#DIV/0!</v>
      </c>
      <c r="AQ30" s="323" t="e">
        <f t="shared" ref="AQ30" si="93">L30+N30+P30+R30+T30+V30+X30+Z30+AB30+AD30+H30+J30+AJ30+AF30+AH30+AN30+AP30+AL30</f>
        <v>#DIV/0!</v>
      </c>
      <c r="AR30" s="81">
        <f t="shared" si="51"/>
        <v>0</v>
      </c>
      <c r="AS30" s="81"/>
      <c r="AT30" s="84">
        <f t="shared" si="52"/>
        <v>0</v>
      </c>
      <c r="AU30" s="85"/>
      <c r="AV30" s="84">
        <f t="shared" si="53"/>
        <v>0</v>
      </c>
      <c r="AW30" s="81"/>
      <c r="AX30" s="84">
        <f t="shared" si="54"/>
        <v>0</v>
      </c>
      <c r="AY30" s="85"/>
      <c r="AZ30" s="84">
        <f t="shared" si="55"/>
        <v>0</v>
      </c>
      <c r="BA30" s="81"/>
      <c r="BB30" s="84">
        <f t="shared" si="56"/>
        <v>0</v>
      </c>
      <c r="BC30" s="85"/>
      <c r="BD30" s="84">
        <f t="shared" si="57"/>
        <v>0</v>
      </c>
      <c r="BE30" s="85"/>
      <c r="BF30" s="84">
        <f t="shared" si="58"/>
        <v>0</v>
      </c>
      <c r="BG30" s="85"/>
      <c r="BH30" s="84">
        <f t="shared" si="59"/>
        <v>0</v>
      </c>
      <c r="BI30" s="85"/>
      <c r="BJ30" s="84">
        <f t="shared" si="60"/>
        <v>0</v>
      </c>
      <c r="BK30" s="85"/>
      <c r="BL30" s="84">
        <f t="shared" si="61"/>
        <v>0</v>
      </c>
      <c r="BM30" s="85"/>
      <c r="BN30" s="84">
        <f t="shared" si="62"/>
        <v>0</v>
      </c>
      <c r="BO30" s="81"/>
      <c r="BP30" s="214">
        <f t="shared" si="63"/>
        <v>0</v>
      </c>
    </row>
    <row r="31" spans="1:68" ht="13.9" x14ac:dyDescent="0.4">
      <c r="A31" s="427"/>
      <c r="B31" s="390" t="s">
        <v>859</v>
      </c>
      <c r="C31" s="180"/>
      <c r="D31" s="83">
        <v>243414.37</v>
      </c>
      <c r="E31" s="142"/>
      <c r="F31" s="304"/>
      <c r="G31" s="289"/>
      <c r="H31" s="363" t="e">
        <f t="shared" si="34"/>
        <v>#DIV/0!</v>
      </c>
      <c r="I31" s="287"/>
      <c r="J31" s="313" t="e">
        <f t="shared" si="35"/>
        <v>#DIV/0!</v>
      </c>
      <c r="K31" s="287"/>
      <c r="L31" s="288" t="e">
        <f t="shared" si="36"/>
        <v>#DIV/0!</v>
      </c>
      <c r="M31" s="289"/>
      <c r="N31" s="288" t="e">
        <f t="shared" si="64"/>
        <v>#DIV/0!</v>
      </c>
      <c r="O31" s="287"/>
      <c r="P31" s="290" t="e">
        <f t="shared" si="65"/>
        <v>#DIV/0!</v>
      </c>
      <c r="Q31" s="289"/>
      <c r="R31" s="290" t="e">
        <f t="shared" si="66"/>
        <v>#DIV/0!</v>
      </c>
      <c r="S31" s="287"/>
      <c r="T31" s="290" t="e">
        <f t="shared" si="67"/>
        <v>#DIV/0!</v>
      </c>
      <c r="U31" s="287"/>
      <c r="V31" s="290" t="e">
        <f t="shared" si="68"/>
        <v>#DIV/0!</v>
      </c>
      <c r="W31" s="289"/>
      <c r="X31" s="290" t="e">
        <f t="shared" si="69"/>
        <v>#DIV/0!</v>
      </c>
      <c r="Y31" s="287"/>
      <c r="Z31" s="290" t="e">
        <f t="shared" si="70"/>
        <v>#DIV/0!</v>
      </c>
      <c r="AA31" s="289"/>
      <c r="AB31" s="290" t="e">
        <f t="shared" si="71"/>
        <v>#DIV/0!</v>
      </c>
      <c r="AC31" s="287"/>
      <c r="AD31" s="290" t="e">
        <f t="shared" si="72"/>
        <v>#DIV/0!</v>
      </c>
      <c r="AE31" s="289"/>
      <c r="AF31" s="290" t="e">
        <f t="shared" si="73"/>
        <v>#DIV/0!</v>
      </c>
      <c r="AG31" s="287"/>
      <c r="AH31" s="290" t="e">
        <f t="shared" si="74"/>
        <v>#DIV/0!</v>
      </c>
      <c r="AI31" s="289"/>
      <c r="AJ31" s="290" t="e">
        <f t="shared" si="75"/>
        <v>#DIV/0!</v>
      </c>
      <c r="AK31" s="289"/>
      <c r="AL31" s="290" t="e">
        <f t="shared" ref="AL31" si="94">AK31/F31</f>
        <v>#DIV/0!</v>
      </c>
      <c r="AM31" s="289"/>
      <c r="AN31" s="290" t="e">
        <f t="shared" si="49"/>
        <v>#DIV/0!</v>
      </c>
      <c r="AO31" s="289"/>
      <c r="AP31" s="290" t="e">
        <f t="shared" si="50"/>
        <v>#DIV/0!</v>
      </c>
      <c r="AQ31" s="323" t="e">
        <f t="shared" ref="AQ31" si="95">L31+N31+P31+R31+T31+V31+X31+Z31+AB31+AD31+H31+J31+AJ31+AF31+AH31+AN31+AP31+AL31</f>
        <v>#DIV/0!</v>
      </c>
      <c r="AR31" s="81">
        <f t="shared" si="51"/>
        <v>0</v>
      </c>
      <c r="AS31" s="81"/>
      <c r="AT31" s="84">
        <f t="shared" si="52"/>
        <v>0</v>
      </c>
      <c r="AU31" s="85"/>
      <c r="AV31" s="84">
        <f t="shared" si="53"/>
        <v>0</v>
      </c>
      <c r="AW31" s="81"/>
      <c r="AX31" s="84">
        <f t="shared" si="54"/>
        <v>0</v>
      </c>
      <c r="AY31" s="85"/>
      <c r="AZ31" s="84">
        <f t="shared" si="55"/>
        <v>0</v>
      </c>
      <c r="BA31" s="81"/>
      <c r="BB31" s="84">
        <f t="shared" si="56"/>
        <v>0</v>
      </c>
      <c r="BC31" s="85"/>
      <c r="BD31" s="84">
        <f t="shared" si="57"/>
        <v>0</v>
      </c>
      <c r="BE31" s="85"/>
      <c r="BF31" s="84">
        <f t="shared" si="58"/>
        <v>0</v>
      </c>
      <c r="BG31" s="85"/>
      <c r="BH31" s="84">
        <f t="shared" si="59"/>
        <v>0</v>
      </c>
      <c r="BI31" s="85"/>
      <c r="BJ31" s="84">
        <f t="shared" si="60"/>
        <v>0</v>
      </c>
      <c r="BK31" s="85"/>
      <c r="BL31" s="84">
        <f t="shared" si="61"/>
        <v>0</v>
      </c>
      <c r="BM31" s="85"/>
      <c r="BN31" s="84">
        <f t="shared" si="62"/>
        <v>0</v>
      </c>
      <c r="BO31" s="81"/>
      <c r="BP31" s="214">
        <f t="shared" si="63"/>
        <v>0</v>
      </c>
    </row>
    <row r="32" spans="1:68" ht="13.9" x14ac:dyDescent="0.4">
      <c r="A32" s="427"/>
      <c r="B32" s="390" t="s">
        <v>842</v>
      </c>
      <c r="C32" s="180"/>
      <c r="D32" s="83">
        <v>355371.46</v>
      </c>
      <c r="E32" s="142">
        <v>355371</v>
      </c>
      <c r="F32" s="304"/>
      <c r="G32" s="289"/>
      <c r="H32" s="363" t="e">
        <f t="shared" si="34"/>
        <v>#DIV/0!</v>
      </c>
      <c r="I32" s="287"/>
      <c r="J32" s="313" t="e">
        <f t="shared" si="35"/>
        <v>#DIV/0!</v>
      </c>
      <c r="K32" s="287"/>
      <c r="L32" s="288" t="e">
        <f t="shared" si="36"/>
        <v>#DIV/0!</v>
      </c>
      <c r="M32" s="289"/>
      <c r="N32" s="288" t="e">
        <f t="shared" si="64"/>
        <v>#DIV/0!</v>
      </c>
      <c r="O32" s="287"/>
      <c r="P32" s="290" t="e">
        <f t="shared" si="65"/>
        <v>#DIV/0!</v>
      </c>
      <c r="Q32" s="289"/>
      <c r="R32" s="290" t="e">
        <f t="shared" si="66"/>
        <v>#DIV/0!</v>
      </c>
      <c r="S32" s="287"/>
      <c r="T32" s="290" t="e">
        <f t="shared" si="67"/>
        <v>#DIV/0!</v>
      </c>
      <c r="U32" s="287"/>
      <c r="V32" s="290" t="e">
        <f t="shared" si="68"/>
        <v>#DIV/0!</v>
      </c>
      <c r="W32" s="289"/>
      <c r="X32" s="290" t="e">
        <f t="shared" si="69"/>
        <v>#DIV/0!</v>
      </c>
      <c r="Y32" s="287"/>
      <c r="Z32" s="290" t="e">
        <f t="shared" si="70"/>
        <v>#DIV/0!</v>
      </c>
      <c r="AA32" s="289"/>
      <c r="AB32" s="290" t="e">
        <f t="shared" si="71"/>
        <v>#DIV/0!</v>
      </c>
      <c r="AC32" s="287"/>
      <c r="AD32" s="290" t="e">
        <f t="shared" si="72"/>
        <v>#DIV/0!</v>
      </c>
      <c r="AE32" s="289"/>
      <c r="AF32" s="290" t="e">
        <f t="shared" si="73"/>
        <v>#DIV/0!</v>
      </c>
      <c r="AG32" s="287"/>
      <c r="AH32" s="290" t="e">
        <f t="shared" si="74"/>
        <v>#DIV/0!</v>
      </c>
      <c r="AI32" s="289"/>
      <c r="AJ32" s="290" t="e">
        <f t="shared" si="75"/>
        <v>#DIV/0!</v>
      </c>
      <c r="AK32" s="289"/>
      <c r="AL32" s="290" t="e">
        <f t="shared" ref="AL32" si="96">AK32/F32</f>
        <v>#DIV/0!</v>
      </c>
      <c r="AM32" s="289"/>
      <c r="AN32" s="290" t="e">
        <f t="shared" si="49"/>
        <v>#DIV/0!</v>
      </c>
      <c r="AO32" s="289"/>
      <c r="AP32" s="290" t="e">
        <f t="shared" si="50"/>
        <v>#DIV/0!</v>
      </c>
      <c r="AQ32" s="323" t="e">
        <f t="shared" ref="AQ32" si="97">L32+N32+P32+R32+T32+V32+X32+Z32+AB32+AD32+H32+J32+AJ32+AF32+AH32+AN32+AP32+AL32</f>
        <v>#DIV/0!</v>
      </c>
      <c r="AR32" s="81">
        <f t="shared" si="51"/>
        <v>0</v>
      </c>
      <c r="AS32" s="81"/>
      <c r="AT32" s="84">
        <f t="shared" si="52"/>
        <v>0</v>
      </c>
      <c r="AU32" s="85"/>
      <c r="AV32" s="84">
        <f t="shared" si="53"/>
        <v>0</v>
      </c>
      <c r="AW32" s="81"/>
      <c r="AX32" s="84">
        <f t="shared" si="54"/>
        <v>0</v>
      </c>
      <c r="AY32" s="85"/>
      <c r="AZ32" s="84">
        <f t="shared" si="55"/>
        <v>0</v>
      </c>
      <c r="BA32" s="81"/>
      <c r="BB32" s="84">
        <f t="shared" si="56"/>
        <v>0</v>
      </c>
      <c r="BC32" s="85"/>
      <c r="BD32" s="84">
        <f t="shared" si="57"/>
        <v>0</v>
      </c>
      <c r="BE32" s="85"/>
      <c r="BF32" s="84">
        <f t="shared" si="58"/>
        <v>0</v>
      </c>
      <c r="BG32" s="85"/>
      <c r="BH32" s="84">
        <f t="shared" si="59"/>
        <v>0</v>
      </c>
      <c r="BI32" s="85"/>
      <c r="BJ32" s="84">
        <f t="shared" si="60"/>
        <v>0</v>
      </c>
      <c r="BK32" s="85"/>
      <c r="BL32" s="84">
        <f t="shared" si="61"/>
        <v>0</v>
      </c>
      <c r="BM32" s="85"/>
      <c r="BN32" s="84">
        <f t="shared" si="62"/>
        <v>0</v>
      </c>
      <c r="BO32" s="81"/>
      <c r="BP32" s="214">
        <f t="shared" si="63"/>
        <v>0</v>
      </c>
    </row>
    <row r="33" spans="1:68" ht="13.9" x14ac:dyDescent="0.4">
      <c r="A33" s="427"/>
      <c r="B33" s="390" t="s">
        <v>810</v>
      </c>
      <c r="C33" s="180"/>
      <c r="D33" s="83">
        <v>277431</v>
      </c>
      <c r="E33" s="142"/>
      <c r="F33" s="304"/>
      <c r="G33" s="289"/>
      <c r="H33" s="363" t="e">
        <f t="shared" ref="H33:H44" si="98">G33/F33</f>
        <v>#DIV/0!</v>
      </c>
      <c r="I33" s="287"/>
      <c r="J33" s="313" t="e">
        <f t="shared" si="35"/>
        <v>#DIV/0!</v>
      </c>
      <c r="K33" s="287"/>
      <c r="L33" s="288" t="e">
        <f t="shared" si="36"/>
        <v>#DIV/0!</v>
      </c>
      <c r="M33" s="289"/>
      <c r="N33" s="288" t="e">
        <f t="shared" ref="N33:N44" si="99">M33/F33</f>
        <v>#DIV/0!</v>
      </c>
      <c r="O33" s="287"/>
      <c r="P33" s="290" t="e">
        <f t="shared" ref="P33:P44" si="100">O33/F33</f>
        <v>#DIV/0!</v>
      </c>
      <c r="Q33" s="289"/>
      <c r="R33" s="290" t="e">
        <f t="shared" ref="R33:R44" si="101">Q33/F33</f>
        <v>#DIV/0!</v>
      </c>
      <c r="S33" s="287"/>
      <c r="T33" s="290" t="e">
        <f t="shared" ref="T33:T44" si="102">S33/F33</f>
        <v>#DIV/0!</v>
      </c>
      <c r="U33" s="287"/>
      <c r="V33" s="290" t="e">
        <f t="shared" ref="V33:V44" si="103">U33/F33</f>
        <v>#DIV/0!</v>
      </c>
      <c r="W33" s="289"/>
      <c r="X33" s="290" t="e">
        <f t="shared" ref="X33:X44" si="104">W33/F33</f>
        <v>#DIV/0!</v>
      </c>
      <c r="Y33" s="287"/>
      <c r="Z33" s="290" t="e">
        <f t="shared" ref="Z33:Z44" si="105">Y33/F33</f>
        <v>#DIV/0!</v>
      </c>
      <c r="AA33" s="289"/>
      <c r="AB33" s="290" t="e">
        <f t="shared" ref="AB33:AB44" si="106">AA33/F33</f>
        <v>#DIV/0!</v>
      </c>
      <c r="AC33" s="287"/>
      <c r="AD33" s="290" t="e">
        <f t="shared" ref="AD33:AD44" si="107">AC33/F33</f>
        <v>#DIV/0!</v>
      </c>
      <c r="AE33" s="289"/>
      <c r="AF33" s="290" t="e">
        <f t="shared" ref="AF33:AF44" si="108">AE33/F33</f>
        <v>#DIV/0!</v>
      </c>
      <c r="AG33" s="287"/>
      <c r="AH33" s="290" t="e">
        <f t="shared" ref="AH33:AH44" si="109">AG33/F33</f>
        <v>#DIV/0!</v>
      </c>
      <c r="AI33" s="289"/>
      <c r="AJ33" s="290" t="e">
        <f t="shared" ref="AJ33:AJ44" si="110">AI33/F33</f>
        <v>#DIV/0!</v>
      </c>
      <c r="AK33" s="289"/>
      <c r="AL33" s="290" t="e">
        <f t="shared" ref="AL33:AL132" si="111">AK33/F33</f>
        <v>#DIV/0!</v>
      </c>
      <c r="AM33" s="289"/>
      <c r="AN33" s="290" t="e">
        <f t="shared" si="49"/>
        <v>#DIV/0!</v>
      </c>
      <c r="AO33" s="289"/>
      <c r="AP33" s="290" t="e">
        <f t="shared" si="50"/>
        <v>#DIV/0!</v>
      </c>
      <c r="AQ33" s="323" t="e">
        <f t="shared" ref="AQ33:AQ132" si="112">L33+N33+P33+R33+T33+V33+X33+Z33+AB33+AD33+H33+J33+AJ33+AF33+AH33+AN33+AP33+AL33</f>
        <v>#DIV/0!</v>
      </c>
      <c r="AR33" s="81">
        <f t="shared" si="51"/>
        <v>0</v>
      </c>
      <c r="AS33" s="81"/>
      <c r="AT33" s="84">
        <f t="shared" si="52"/>
        <v>0</v>
      </c>
      <c r="AU33" s="85"/>
      <c r="AV33" s="84">
        <f t="shared" si="53"/>
        <v>0</v>
      </c>
      <c r="AW33" s="81"/>
      <c r="AX33" s="84">
        <f t="shared" si="54"/>
        <v>0</v>
      </c>
      <c r="AY33" s="85"/>
      <c r="AZ33" s="84">
        <f t="shared" si="55"/>
        <v>0</v>
      </c>
      <c r="BA33" s="81"/>
      <c r="BB33" s="84">
        <f t="shared" si="56"/>
        <v>0</v>
      </c>
      <c r="BC33" s="85"/>
      <c r="BD33" s="84">
        <f t="shared" si="57"/>
        <v>0</v>
      </c>
      <c r="BE33" s="85"/>
      <c r="BF33" s="84">
        <f t="shared" si="58"/>
        <v>0</v>
      </c>
      <c r="BG33" s="85"/>
      <c r="BH33" s="84">
        <f t="shared" si="59"/>
        <v>0</v>
      </c>
      <c r="BI33" s="85"/>
      <c r="BJ33" s="84">
        <f t="shared" si="60"/>
        <v>0</v>
      </c>
      <c r="BK33" s="85"/>
      <c r="BL33" s="84">
        <f t="shared" si="61"/>
        <v>0</v>
      </c>
      <c r="BM33" s="85"/>
      <c r="BN33" s="84">
        <f t="shared" si="62"/>
        <v>0</v>
      </c>
      <c r="BO33" s="81"/>
      <c r="BP33" s="214">
        <f t="shared" si="63"/>
        <v>0</v>
      </c>
    </row>
    <row r="34" spans="1:68" ht="13.9" x14ac:dyDescent="0.4">
      <c r="A34" s="427"/>
      <c r="B34" s="390" t="s">
        <v>787</v>
      </c>
      <c r="C34" s="180"/>
      <c r="D34" s="83">
        <v>269759</v>
      </c>
      <c r="E34" s="142">
        <f t="shared" ref="E34:E35" si="113">D34</f>
        <v>269759</v>
      </c>
      <c r="F34" s="304"/>
      <c r="G34" s="289"/>
      <c r="H34" s="363" t="e">
        <f t="shared" si="98"/>
        <v>#DIV/0!</v>
      </c>
      <c r="I34" s="287"/>
      <c r="J34" s="313" t="e">
        <f t="shared" si="35"/>
        <v>#DIV/0!</v>
      </c>
      <c r="K34" s="287"/>
      <c r="L34" s="288" t="e">
        <f t="shared" si="36"/>
        <v>#DIV/0!</v>
      </c>
      <c r="M34" s="289"/>
      <c r="N34" s="288" t="e">
        <f t="shared" si="99"/>
        <v>#DIV/0!</v>
      </c>
      <c r="O34" s="287"/>
      <c r="P34" s="290" t="e">
        <f t="shared" si="100"/>
        <v>#DIV/0!</v>
      </c>
      <c r="Q34" s="289"/>
      <c r="R34" s="290" t="e">
        <f t="shared" si="101"/>
        <v>#DIV/0!</v>
      </c>
      <c r="S34" s="287"/>
      <c r="T34" s="290" t="e">
        <f t="shared" si="102"/>
        <v>#DIV/0!</v>
      </c>
      <c r="U34" s="287"/>
      <c r="V34" s="290" t="e">
        <f t="shared" si="103"/>
        <v>#DIV/0!</v>
      </c>
      <c r="W34" s="289"/>
      <c r="X34" s="290" t="e">
        <f t="shared" si="104"/>
        <v>#DIV/0!</v>
      </c>
      <c r="Y34" s="287"/>
      <c r="Z34" s="290" t="e">
        <f t="shared" si="105"/>
        <v>#DIV/0!</v>
      </c>
      <c r="AA34" s="289"/>
      <c r="AB34" s="290" t="e">
        <f t="shared" si="106"/>
        <v>#DIV/0!</v>
      </c>
      <c r="AC34" s="287"/>
      <c r="AD34" s="290" t="e">
        <f t="shared" si="107"/>
        <v>#DIV/0!</v>
      </c>
      <c r="AE34" s="289"/>
      <c r="AF34" s="290" t="e">
        <f t="shared" si="108"/>
        <v>#DIV/0!</v>
      </c>
      <c r="AG34" s="287"/>
      <c r="AH34" s="290" t="e">
        <f t="shared" si="109"/>
        <v>#DIV/0!</v>
      </c>
      <c r="AI34" s="289"/>
      <c r="AJ34" s="290" t="e">
        <f t="shared" si="110"/>
        <v>#DIV/0!</v>
      </c>
      <c r="AK34" s="289"/>
      <c r="AL34" s="290" t="e">
        <f t="shared" si="111"/>
        <v>#DIV/0!</v>
      </c>
      <c r="AM34" s="289"/>
      <c r="AN34" s="290" t="e">
        <f t="shared" si="49"/>
        <v>#DIV/0!</v>
      </c>
      <c r="AO34" s="289"/>
      <c r="AP34" s="290" t="e">
        <f t="shared" si="50"/>
        <v>#DIV/0!</v>
      </c>
      <c r="AQ34" s="323" t="e">
        <f t="shared" si="112"/>
        <v>#DIV/0!</v>
      </c>
      <c r="AR34" s="81">
        <f t="shared" si="51"/>
        <v>0</v>
      </c>
      <c r="AS34" s="81"/>
      <c r="AT34" s="84">
        <f t="shared" si="52"/>
        <v>0</v>
      </c>
      <c r="AU34" s="85"/>
      <c r="AV34" s="84">
        <f t="shared" si="53"/>
        <v>0</v>
      </c>
      <c r="AW34" s="81"/>
      <c r="AX34" s="84">
        <f t="shared" si="54"/>
        <v>0</v>
      </c>
      <c r="AY34" s="85"/>
      <c r="AZ34" s="84">
        <f t="shared" si="55"/>
        <v>0</v>
      </c>
      <c r="BA34" s="81"/>
      <c r="BB34" s="84">
        <f t="shared" si="56"/>
        <v>0</v>
      </c>
      <c r="BC34" s="85"/>
      <c r="BD34" s="84">
        <f t="shared" si="57"/>
        <v>0</v>
      </c>
      <c r="BE34" s="85"/>
      <c r="BF34" s="84">
        <f t="shared" si="58"/>
        <v>0</v>
      </c>
      <c r="BG34" s="85"/>
      <c r="BH34" s="84">
        <f t="shared" si="59"/>
        <v>0</v>
      </c>
      <c r="BI34" s="85"/>
      <c r="BJ34" s="84">
        <f t="shared" si="60"/>
        <v>0</v>
      </c>
      <c r="BK34" s="85"/>
      <c r="BL34" s="84">
        <f t="shared" si="61"/>
        <v>0</v>
      </c>
      <c r="BM34" s="85"/>
      <c r="BN34" s="84">
        <f t="shared" si="62"/>
        <v>0</v>
      </c>
      <c r="BO34" s="81"/>
      <c r="BP34" s="214">
        <f t="shared" si="63"/>
        <v>0</v>
      </c>
    </row>
    <row r="35" spans="1:68" ht="13.9" x14ac:dyDescent="0.4">
      <c r="A35" s="427"/>
      <c r="B35" s="390" t="s">
        <v>177</v>
      </c>
      <c r="C35" s="180"/>
      <c r="D35" s="83">
        <v>149852</v>
      </c>
      <c r="E35" s="142">
        <f t="shared" si="113"/>
        <v>149852</v>
      </c>
      <c r="F35" s="304"/>
      <c r="G35" s="289"/>
      <c r="H35" s="363" t="e">
        <f t="shared" si="98"/>
        <v>#DIV/0!</v>
      </c>
      <c r="I35" s="287"/>
      <c r="J35" s="313" t="e">
        <f t="shared" si="35"/>
        <v>#DIV/0!</v>
      </c>
      <c r="K35" s="287"/>
      <c r="L35" s="288" t="e">
        <f t="shared" si="36"/>
        <v>#DIV/0!</v>
      </c>
      <c r="M35" s="289"/>
      <c r="N35" s="288" t="e">
        <f t="shared" si="99"/>
        <v>#DIV/0!</v>
      </c>
      <c r="O35" s="287"/>
      <c r="P35" s="290" t="e">
        <f t="shared" si="100"/>
        <v>#DIV/0!</v>
      </c>
      <c r="Q35" s="289"/>
      <c r="R35" s="290" t="e">
        <f t="shared" si="101"/>
        <v>#DIV/0!</v>
      </c>
      <c r="S35" s="287"/>
      <c r="T35" s="290" t="e">
        <f t="shared" si="102"/>
        <v>#DIV/0!</v>
      </c>
      <c r="U35" s="287"/>
      <c r="V35" s="290" t="e">
        <f t="shared" si="103"/>
        <v>#DIV/0!</v>
      </c>
      <c r="W35" s="289"/>
      <c r="X35" s="290" t="e">
        <f t="shared" si="104"/>
        <v>#DIV/0!</v>
      </c>
      <c r="Y35" s="287"/>
      <c r="Z35" s="290" t="e">
        <f t="shared" si="105"/>
        <v>#DIV/0!</v>
      </c>
      <c r="AA35" s="289"/>
      <c r="AB35" s="290" t="e">
        <f t="shared" si="106"/>
        <v>#DIV/0!</v>
      </c>
      <c r="AC35" s="287"/>
      <c r="AD35" s="290" t="e">
        <f t="shared" si="107"/>
        <v>#DIV/0!</v>
      </c>
      <c r="AE35" s="289"/>
      <c r="AF35" s="290" t="e">
        <f t="shared" si="108"/>
        <v>#DIV/0!</v>
      </c>
      <c r="AG35" s="287"/>
      <c r="AH35" s="290" t="e">
        <f t="shared" si="109"/>
        <v>#DIV/0!</v>
      </c>
      <c r="AI35" s="289"/>
      <c r="AJ35" s="290" t="e">
        <f t="shared" si="110"/>
        <v>#DIV/0!</v>
      </c>
      <c r="AK35" s="289"/>
      <c r="AL35" s="290" t="e">
        <f t="shared" si="111"/>
        <v>#DIV/0!</v>
      </c>
      <c r="AM35" s="289"/>
      <c r="AN35" s="290" t="e">
        <f t="shared" si="49"/>
        <v>#DIV/0!</v>
      </c>
      <c r="AO35" s="289"/>
      <c r="AP35" s="290" t="e">
        <f t="shared" si="50"/>
        <v>#DIV/0!</v>
      </c>
      <c r="AQ35" s="323" t="e">
        <f t="shared" si="112"/>
        <v>#DIV/0!</v>
      </c>
      <c r="AR35" s="81">
        <f t="shared" si="51"/>
        <v>0</v>
      </c>
      <c r="AS35" s="81"/>
      <c r="AT35" s="84">
        <f t="shared" si="52"/>
        <v>0</v>
      </c>
      <c r="AU35" s="85"/>
      <c r="AV35" s="84">
        <f t="shared" si="53"/>
        <v>0</v>
      </c>
      <c r="AW35" s="81"/>
      <c r="AX35" s="84">
        <f t="shared" si="54"/>
        <v>0</v>
      </c>
      <c r="AY35" s="85"/>
      <c r="AZ35" s="84">
        <f t="shared" si="55"/>
        <v>0</v>
      </c>
      <c r="BA35" s="81"/>
      <c r="BB35" s="84">
        <f t="shared" si="56"/>
        <v>0</v>
      </c>
      <c r="BC35" s="85"/>
      <c r="BD35" s="84">
        <f t="shared" si="57"/>
        <v>0</v>
      </c>
      <c r="BE35" s="85"/>
      <c r="BF35" s="84">
        <f t="shared" si="58"/>
        <v>0</v>
      </c>
      <c r="BG35" s="85"/>
      <c r="BH35" s="84">
        <f t="shared" si="59"/>
        <v>0</v>
      </c>
      <c r="BI35" s="85"/>
      <c r="BJ35" s="84">
        <f t="shared" si="60"/>
        <v>0</v>
      </c>
      <c r="BK35" s="85"/>
      <c r="BL35" s="84">
        <f t="shared" si="61"/>
        <v>0</v>
      </c>
      <c r="BM35" s="85"/>
      <c r="BN35" s="84">
        <f t="shared" si="62"/>
        <v>0</v>
      </c>
      <c r="BO35" s="81"/>
      <c r="BP35" s="214">
        <f t="shared" si="63"/>
        <v>0</v>
      </c>
    </row>
    <row r="36" spans="1:68" ht="13.9" x14ac:dyDescent="0.4">
      <c r="A36" s="427"/>
      <c r="B36" s="390" t="s">
        <v>823</v>
      </c>
      <c r="C36" s="180"/>
      <c r="D36" s="83">
        <v>156294</v>
      </c>
      <c r="E36" s="142"/>
      <c r="F36" s="304"/>
      <c r="G36" s="289"/>
      <c r="H36" s="363" t="e">
        <f>G36/F36</f>
        <v>#DIV/0!</v>
      </c>
      <c r="I36" s="287"/>
      <c r="J36" s="313" t="e">
        <f>I36/F36</f>
        <v>#DIV/0!</v>
      </c>
      <c r="K36" s="287"/>
      <c r="L36" s="288" t="e">
        <f>K36/F36</f>
        <v>#DIV/0!</v>
      </c>
      <c r="M36" s="289"/>
      <c r="N36" s="288" t="e">
        <f>M36/F36</f>
        <v>#DIV/0!</v>
      </c>
      <c r="O36" s="287"/>
      <c r="P36" s="290" t="e">
        <f>O36/F36</f>
        <v>#DIV/0!</v>
      </c>
      <c r="Q36" s="289"/>
      <c r="R36" s="290" t="e">
        <f>Q36/F36</f>
        <v>#DIV/0!</v>
      </c>
      <c r="S36" s="287"/>
      <c r="T36" s="290" t="e">
        <f>S36/F36</f>
        <v>#DIV/0!</v>
      </c>
      <c r="U36" s="287"/>
      <c r="V36" s="290" t="e">
        <f>U36/F36</f>
        <v>#DIV/0!</v>
      </c>
      <c r="W36" s="289"/>
      <c r="X36" s="290" t="e">
        <f>W36/F36</f>
        <v>#DIV/0!</v>
      </c>
      <c r="Y36" s="287"/>
      <c r="Z36" s="290" t="e">
        <f>Y36/F36</f>
        <v>#DIV/0!</v>
      </c>
      <c r="AA36" s="289"/>
      <c r="AB36" s="290" t="e">
        <f>AA36/F36</f>
        <v>#DIV/0!</v>
      </c>
      <c r="AC36" s="287"/>
      <c r="AD36" s="290" t="e">
        <f>AC36/F36</f>
        <v>#DIV/0!</v>
      </c>
      <c r="AE36" s="289"/>
      <c r="AF36" s="290" t="e">
        <f>AE36/F36</f>
        <v>#DIV/0!</v>
      </c>
      <c r="AG36" s="287"/>
      <c r="AH36" s="290" t="e">
        <f>AG36/F36</f>
        <v>#DIV/0!</v>
      </c>
      <c r="AI36" s="289"/>
      <c r="AJ36" s="290" t="e">
        <f>AI36/F36</f>
        <v>#DIV/0!</v>
      </c>
      <c r="AK36" s="289"/>
      <c r="AL36" s="290" t="e">
        <f>AK36/F36</f>
        <v>#DIV/0!</v>
      </c>
      <c r="AM36" s="289"/>
      <c r="AN36" s="290" t="e">
        <f>AM36/F36</f>
        <v>#DIV/0!</v>
      </c>
      <c r="AO36" s="289"/>
      <c r="AP36" s="290" t="e">
        <f>AO36/F36</f>
        <v>#DIV/0!</v>
      </c>
      <c r="AQ36" s="323" t="e">
        <f>L36+N36+P36+R36+T36+V36+X36+Z36+AB36+AD36+H36+J36+AJ36+AF36+AH36+AN36+AP36+AL36</f>
        <v>#DIV/0!</v>
      </c>
      <c r="AR36" s="81">
        <f>+F36</f>
        <v>0</v>
      </c>
      <c r="AS36" s="81"/>
      <c r="AT36" s="84">
        <f>F36-AR36</f>
        <v>0</v>
      </c>
      <c r="AU36" s="85"/>
      <c r="AV36" s="84">
        <f>F36-AR36-AT36</f>
        <v>0</v>
      </c>
      <c r="AW36" s="81"/>
      <c r="AX36" s="84">
        <f>F36-AR36-AT36-AV36</f>
        <v>0</v>
      </c>
      <c r="AY36" s="85"/>
      <c r="AZ36" s="84">
        <f>F36-AR36-AT36-AV36-AX36</f>
        <v>0</v>
      </c>
      <c r="BA36" s="81"/>
      <c r="BB36" s="84">
        <f>F36-AR36-AT36-AV36-AX36-AZ36</f>
        <v>0</v>
      </c>
      <c r="BC36" s="85"/>
      <c r="BD36" s="84">
        <f>F36-AR36-AT36-AV36-AX36-AZ36-BB36</f>
        <v>0</v>
      </c>
      <c r="BE36" s="85"/>
      <c r="BF36" s="84">
        <f>F36-AR36-AT36-AV36-AX36-AZ36-BB36-BD36</f>
        <v>0</v>
      </c>
      <c r="BG36" s="85"/>
      <c r="BH36" s="84">
        <f>F36-AR36-AT36-AV36-AX36-AZ36-BB36-BD36-BF36</f>
        <v>0</v>
      </c>
      <c r="BI36" s="85"/>
      <c r="BJ36" s="84">
        <f>F36-AR36-AT36-AV36-AX36-AZ36-BB36-BD36-BF36-BH36</f>
        <v>0</v>
      </c>
      <c r="BK36" s="85"/>
      <c r="BL36" s="84">
        <f>F36-AR36-AT36-AV36-AX36-AZ36-BB36-BD36-BF36-BH36-BJ36</f>
        <v>0</v>
      </c>
      <c r="BM36" s="85"/>
      <c r="BN36" s="84">
        <f>F36-AR36-AT36-AV36-AX36-AZ36-BB36-BD36-BF36-BH36-BJ36-BL36</f>
        <v>0</v>
      </c>
      <c r="BO36" s="81"/>
      <c r="BP36" s="214">
        <f>F36-AR36-AT36-AV36-AX36-AZ36-BB36-BD36-BF36-BH36-BJ36-BL36-BN36</f>
        <v>0</v>
      </c>
    </row>
    <row r="37" spans="1:68" ht="13.9" x14ac:dyDescent="0.4">
      <c r="A37" s="427"/>
      <c r="B37" s="390" t="s">
        <v>364</v>
      </c>
      <c r="C37" s="180"/>
      <c r="D37" s="83">
        <v>109674.7</v>
      </c>
      <c r="E37" s="142"/>
      <c r="F37" s="304">
        <f>D37</f>
        <v>109674.7</v>
      </c>
      <c r="G37" s="289">
        <v>2520</v>
      </c>
      <c r="H37" s="363">
        <f t="shared" ref="H37" si="114">G37/F37</f>
        <v>2.2977040283675268E-2</v>
      </c>
      <c r="I37" s="287"/>
      <c r="J37" s="313">
        <f t="shared" ref="J37" si="115">I37/F37</f>
        <v>0</v>
      </c>
      <c r="K37" s="287">
        <v>16216.52</v>
      </c>
      <c r="L37" s="288">
        <f t="shared" ref="L37" si="116">K37/F37</f>
        <v>0.14786017194485146</v>
      </c>
      <c r="M37" s="289">
        <v>12722.61</v>
      </c>
      <c r="N37" s="288">
        <f>M37/F37</f>
        <v>0.1160031438426547</v>
      </c>
      <c r="O37" s="287">
        <v>22682.400000000001</v>
      </c>
      <c r="P37" s="290">
        <f>O37/F37</f>
        <v>0.20681524544858571</v>
      </c>
      <c r="Q37" s="289">
        <v>1866.25</v>
      </c>
      <c r="R37" s="290">
        <f>Q37/F37</f>
        <v>1.7016230725955941E-2</v>
      </c>
      <c r="S37" s="287">
        <v>14060.54</v>
      </c>
      <c r="T37" s="290">
        <f>S37/F37</f>
        <v>0.12820221983739186</v>
      </c>
      <c r="U37" s="287">
        <v>13185.89</v>
      </c>
      <c r="V37" s="290">
        <f>U37/F37</f>
        <v>0.12022727210559955</v>
      </c>
      <c r="W37" s="289"/>
      <c r="X37" s="290">
        <f>W37/F37</f>
        <v>0</v>
      </c>
      <c r="Y37" s="287"/>
      <c r="Z37" s="290">
        <f>Y37/F37</f>
        <v>0</v>
      </c>
      <c r="AA37" s="289">
        <v>10935.77</v>
      </c>
      <c r="AB37" s="290">
        <f>AA37/F37</f>
        <v>9.9710963421828377E-2</v>
      </c>
      <c r="AC37" s="287">
        <v>390</v>
      </c>
      <c r="AD37" s="290">
        <f>AC37/F37</f>
        <v>3.5559705200926012E-3</v>
      </c>
      <c r="AE37" s="289"/>
      <c r="AF37" s="290">
        <f>AE37/F37</f>
        <v>0</v>
      </c>
      <c r="AG37" s="287">
        <v>631</v>
      </c>
      <c r="AH37" s="290">
        <f>AG37/F37</f>
        <v>5.7533779440472601E-3</v>
      </c>
      <c r="AI37" s="289"/>
      <c r="AJ37" s="290">
        <f>AI37/F37</f>
        <v>0</v>
      </c>
      <c r="AK37" s="289"/>
      <c r="AL37" s="290">
        <f t="shared" ref="AL37" si="117">AK37/F37</f>
        <v>0</v>
      </c>
      <c r="AM37" s="289">
        <v>14463.72</v>
      </c>
      <c r="AN37" s="290">
        <f t="shared" ref="AN37" si="118">AM37/F37</f>
        <v>0.13187836392531732</v>
      </c>
      <c r="AO37" s="289"/>
      <c r="AP37" s="290">
        <f t="shared" ref="AP37" si="119">AO37/F37</f>
        <v>0</v>
      </c>
      <c r="AQ37" s="323">
        <f t="shared" ref="AQ37" si="120">L37+N37+P37+R37+T37+V37+X37+Z37+AB37+AD37+H37+J37+AJ37+AF37+AH37+AN37+AP37+AL37</f>
        <v>1.0000000000000002</v>
      </c>
      <c r="AR37" s="81">
        <v>0</v>
      </c>
      <c r="AS37" s="81"/>
      <c r="AT37" s="84">
        <v>0</v>
      </c>
      <c r="AU37" s="85"/>
      <c r="AV37" s="84">
        <v>0</v>
      </c>
      <c r="AW37" s="81"/>
      <c r="AX37" s="84">
        <v>0</v>
      </c>
      <c r="AY37" s="85"/>
      <c r="AZ37" s="84">
        <v>0</v>
      </c>
      <c r="BA37" s="81"/>
      <c r="BB37" s="84">
        <v>0</v>
      </c>
      <c r="BC37" s="85"/>
      <c r="BD37" s="84">
        <f t="shared" ref="BD37:BD42" si="121">BE37</f>
        <v>10964.12</v>
      </c>
      <c r="BE37" s="435">
        <v>10964.12</v>
      </c>
      <c r="BF37" s="84">
        <v>65000</v>
      </c>
      <c r="BG37" s="85"/>
      <c r="BH37" s="84">
        <v>30000</v>
      </c>
      <c r="BI37" s="85"/>
      <c r="BJ37" s="84">
        <f t="shared" ref="BJ37" si="122">F37-AR37-AT37-AV37-AX37-AZ37-BB37-BD37-BF37-BH37</f>
        <v>3710.5800000000017</v>
      </c>
      <c r="BK37" s="85"/>
      <c r="BL37" s="84">
        <f t="shared" ref="BL37" si="123">F37-AR37-AT37-AV37-AX37-AZ37-BB37-BD37-BF37-BH37-BJ37</f>
        <v>0</v>
      </c>
      <c r="BM37" s="85"/>
      <c r="BN37" s="84">
        <f t="shared" ref="BN37" si="124">F37-AR37-AT37-AV37-AX37-AZ37-BB37-BD37-BF37-BH37-BJ37-BL37</f>
        <v>0</v>
      </c>
      <c r="BO37" s="81"/>
      <c r="BP37" s="214">
        <f t="shared" ref="BP37" si="125">F37-AR37-AT37-AV37-AX37-AZ37-BB37-BD37-BF37-BH37-BJ37-BL37-BN37</f>
        <v>0</v>
      </c>
    </row>
    <row r="38" spans="1:68" ht="13.9" x14ac:dyDescent="0.4">
      <c r="A38" s="427"/>
      <c r="B38" s="390" t="s">
        <v>764</v>
      </c>
      <c r="C38" s="180"/>
      <c r="D38" s="49">
        <f>332361.81+1566.51+6233.6</f>
        <v>340161.92</v>
      </c>
      <c r="E38" s="142"/>
      <c r="F38" s="304">
        <f>D38</f>
        <v>340161.92</v>
      </c>
      <c r="G38" s="289">
        <v>4320</v>
      </c>
      <c r="H38" s="363">
        <f t="shared" ref="H38" si="126">G38/F38</f>
        <v>1.269983424364491E-2</v>
      </c>
      <c r="I38" s="287"/>
      <c r="J38" s="313">
        <f t="shared" ref="J38" si="127">I38/F38</f>
        <v>0</v>
      </c>
      <c r="K38" s="287">
        <v>45189.05</v>
      </c>
      <c r="L38" s="288">
        <f t="shared" ref="L38" si="128">K38/F38</f>
        <v>0.13284570477494956</v>
      </c>
      <c r="M38" s="289">
        <v>42992.18</v>
      </c>
      <c r="N38" s="288">
        <f>M38/F38</f>
        <v>0.1263873980955893</v>
      </c>
      <c r="O38" s="287">
        <f>68194.82+6591.44</f>
        <v>74786.260000000009</v>
      </c>
      <c r="P38" s="290">
        <f>O38/F38</f>
        <v>0.21985488557919713</v>
      </c>
      <c r="Q38" s="289">
        <f>45705.99+3655.35</f>
        <v>49361.34</v>
      </c>
      <c r="R38" s="290">
        <f>Q38/F38</f>
        <v>0.14511130463986091</v>
      </c>
      <c r="S38" s="287">
        <v>23066.41</v>
      </c>
      <c r="T38" s="290">
        <f>S38/F38</f>
        <v>6.7810088795359574E-2</v>
      </c>
      <c r="U38" s="287">
        <f>7092.38+15615.82</f>
        <v>22708.2</v>
      </c>
      <c r="V38" s="290">
        <f>U38/F38</f>
        <v>6.6757031474892897E-2</v>
      </c>
      <c r="W38" s="289">
        <v>44494.13</v>
      </c>
      <c r="X38" s="290">
        <f>W38/F38</f>
        <v>0.13080279532758987</v>
      </c>
      <c r="Y38" s="287"/>
      <c r="Z38" s="290">
        <f>Y38/F38</f>
        <v>0</v>
      </c>
      <c r="AA38" s="289">
        <v>20551.16</v>
      </c>
      <c r="AB38" s="290">
        <f>AA38/F38</f>
        <v>6.0415816091348502E-2</v>
      </c>
      <c r="AC38" s="287">
        <v>1566.51</v>
      </c>
      <c r="AD38" s="290">
        <f>AC38/F38</f>
        <v>4.6051891993083762E-3</v>
      </c>
      <c r="AE38" s="289">
        <v>6233.6</v>
      </c>
      <c r="AF38" s="290">
        <f>AE38/F38</f>
        <v>1.8325390449348361E-2</v>
      </c>
      <c r="AG38" s="287">
        <v>4893.08</v>
      </c>
      <c r="AH38" s="290">
        <f>AG38/F38</f>
        <v>1.4384561328910656E-2</v>
      </c>
      <c r="AI38" s="289"/>
      <c r="AJ38" s="290">
        <f>AI38/F38</f>
        <v>0</v>
      </c>
      <c r="AK38" s="289"/>
      <c r="AL38" s="290">
        <f t="shared" ref="AL38" si="129">AK38/F38</f>
        <v>0</v>
      </c>
      <c r="AM38" s="289"/>
      <c r="AN38" s="290">
        <f t="shared" ref="AN38" si="130">AM38/F38</f>
        <v>0</v>
      </c>
      <c r="AO38" s="289"/>
      <c r="AP38" s="290">
        <f t="shared" ref="AP38" si="131">AO38/F38</f>
        <v>0</v>
      </c>
      <c r="AQ38" s="323">
        <f t="shared" ref="AQ38" si="132">L38+N38+P38+R38+T38+V38+X38+Z38+AB38+AD38+H38+J38+AJ38+AF38+AH38+AN38+AP38+AL38</f>
        <v>1</v>
      </c>
      <c r="AR38" s="81">
        <v>0</v>
      </c>
      <c r="AS38" s="81"/>
      <c r="AT38" s="230">
        <v>59285.38</v>
      </c>
      <c r="AU38" s="231">
        <f>AT38</f>
        <v>59285.38</v>
      </c>
      <c r="AV38" s="64">
        <f>57545.62+3116.79</f>
        <v>60662.41</v>
      </c>
      <c r="AW38" s="195">
        <f>AV38</f>
        <v>60662.41</v>
      </c>
      <c r="AX38" s="230">
        <f>AY38</f>
        <v>30611.56</v>
      </c>
      <c r="AY38" s="231">
        <v>30611.56</v>
      </c>
      <c r="AZ38" s="84">
        <v>0</v>
      </c>
      <c r="BA38" s="81"/>
      <c r="BB38" s="230">
        <f>BC38</f>
        <v>66644.13</v>
      </c>
      <c r="BC38" s="231">
        <v>66644.13</v>
      </c>
      <c r="BD38" s="84">
        <f t="shared" si="121"/>
        <v>49218.559999999998</v>
      </c>
      <c r="BE38" s="435">
        <v>49218.559999999998</v>
      </c>
      <c r="BF38" s="84">
        <v>30000</v>
      </c>
      <c r="BG38" s="85"/>
      <c r="BH38" s="84">
        <v>40000</v>
      </c>
      <c r="BI38" s="85"/>
      <c r="BJ38" s="84">
        <f t="shared" ref="BJ38" si="133">F38-AR38-AT38-AV38-AX38-AZ38-BB38-BD38-BF38-BH38</f>
        <v>3739.8799999999756</v>
      </c>
      <c r="BK38" s="85"/>
      <c r="BL38" s="84">
        <f t="shared" ref="BL38" si="134">F38-AR38-AT38-AV38-AX38-AZ38-BB38-BD38-BF38-BH38-BJ38</f>
        <v>0</v>
      </c>
      <c r="BM38" s="85"/>
      <c r="BN38" s="84">
        <f t="shared" ref="BN38" si="135">F38-AR38-AT38-AV38-AX38-AZ38-BB38-BD38-BF38-BH38-BJ38-BL38</f>
        <v>0</v>
      </c>
      <c r="BO38" s="81"/>
      <c r="BP38" s="214">
        <f t="shared" ref="BP38" si="136">F38-AR38-AT38-AV38-AX38-AZ38-BB38-BD38-BF38-BH38-BJ38-BL38-BN38</f>
        <v>0</v>
      </c>
    </row>
    <row r="39" spans="1:68" ht="13.9" x14ac:dyDescent="0.4">
      <c r="A39" s="427"/>
      <c r="B39" s="390" t="s">
        <v>700</v>
      </c>
      <c r="C39" s="180"/>
      <c r="D39" s="83">
        <v>129874</v>
      </c>
      <c r="E39" s="105"/>
      <c r="F39" s="304">
        <v>129874</v>
      </c>
      <c r="G39" s="289">
        <v>4670</v>
      </c>
      <c r="H39" s="363">
        <f t="shared" ref="H39:H40" si="137">G39/F39</f>
        <v>3.595792845373208E-2</v>
      </c>
      <c r="I39" s="287"/>
      <c r="J39" s="313">
        <f t="shared" ref="J39:J40" si="138">I39/F39</f>
        <v>0</v>
      </c>
      <c r="K39" s="287">
        <v>22616.61</v>
      </c>
      <c r="L39" s="288">
        <f t="shared" ref="L39:L40" si="139">K39/F39</f>
        <v>0.17414270754731509</v>
      </c>
      <c r="M39" s="289">
        <v>12861.42</v>
      </c>
      <c r="N39" s="288">
        <f t="shared" si="99"/>
        <v>9.9029982906509384E-2</v>
      </c>
      <c r="O39" s="287">
        <f>20577.8+2252.72</f>
        <v>22830.52</v>
      </c>
      <c r="P39" s="290">
        <f t="shared" si="100"/>
        <v>0.17578976546498915</v>
      </c>
      <c r="Q39" s="289"/>
      <c r="R39" s="290">
        <f t="shared" si="101"/>
        <v>0</v>
      </c>
      <c r="S39" s="287">
        <v>11660.99</v>
      </c>
      <c r="T39" s="290">
        <f t="shared" si="102"/>
        <v>8.9786947348968998E-2</v>
      </c>
      <c r="U39" s="287">
        <v>9933.51</v>
      </c>
      <c r="V39" s="290">
        <f t="shared" si="103"/>
        <v>7.6485747724717806E-2</v>
      </c>
      <c r="W39" s="289">
        <v>27387.52</v>
      </c>
      <c r="X39" s="290">
        <f t="shared" si="104"/>
        <v>0.21087761984692857</v>
      </c>
      <c r="Y39" s="287"/>
      <c r="Z39" s="290">
        <f t="shared" si="105"/>
        <v>0</v>
      </c>
      <c r="AA39" s="289">
        <v>13525.84</v>
      </c>
      <c r="AB39" s="290">
        <f t="shared" si="106"/>
        <v>0.1041458644532393</v>
      </c>
      <c r="AC39" s="287"/>
      <c r="AD39" s="290">
        <f t="shared" si="107"/>
        <v>0</v>
      </c>
      <c r="AE39" s="289"/>
      <c r="AF39" s="290">
        <f t="shared" si="108"/>
        <v>0</v>
      </c>
      <c r="AG39" s="287"/>
      <c r="AH39" s="290">
        <f t="shared" si="109"/>
        <v>0</v>
      </c>
      <c r="AI39" s="289">
        <v>4387.87</v>
      </c>
      <c r="AJ39" s="290">
        <f t="shared" si="110"/>
        <v>3.3785592189352759E-2</v>
      </c>
      <c r="AK39" s="289"/>
      <c r="AL39" s="290">
        <f t="shared" si="111"/>
        <v>0</v>
      </c>
      <c r="AM39" s="289"/>
      <c r="AN39" s="290">
        <f t="shared" si="49"/>
        <v>0</v>
      </c>
      <c r="AO39" s="289"/>
      <c r="AP39" s="290">
        <f t="shared" si="50"/>
        <v>0</v>
      </c>
      <c r="AQ39" s="323">
        <f t="shared" si="112"/>
        <v>1.0000021559357533</v>
      </c>
      <c r="AR39" s="81">
        <v>0</v>
      </c>
      <c r="AS39" s="81">
        <v>0</v>
      </c>
      <c r="AT39" s="230">
        <v>9003.25</v>
      </c>
      <c r="AU39" s="231">
        <f>AT39</f>
        <v>9003.25</v>
      </c>
      <c r="AV39" s="230">
        <v>19982.240000000002</v>
      </c>
      <c r="AW39" s="195">
        <f>AV39</f>
        <v>19982.240000000002</v>
      </c>
      <c r="AX39" s="230">
        <f>AY39</f>
        <v>24835.759999999998</v>
      </c>
      <c r="AY39" s="231">
        <v>24835.759999999998</v>
      </c>
      <c r="AZ39" s="230">
        <f>BA39</f>
        <v>33230.46</v>
      </c>
      <c r="BA39" s="195">
        <v>33230.46</v>
      </c>
      <c r="BB39" s="230">
        <f>BC39</f>
        <v>28922.83</v>
      </c>
      <c r="BC39" s="231">
        <v>28922.83</v>
      </c>
      <c r="BD39" s="84">
        <f t="shared" si="121"/>
        <v>2952.75</v>
      </c>
      <c r="BE39" s="435">
        <v>2952.75</v>
      </c>
      <c r="BF39" s="84">
        <f t="shared" si="58"/>
        <v>10946.71</v>
      </c>
      <c r="BG39" s="85"/>
      <c r="BH39" s="84">
        <f t="shared" si="59"/>
        <v>0</v>
      </c>
      <c r="BI39" s="85"/>
      <c r="BJ39" s="84">
        <f t="shared" si="60"/>
        <v>0</v>
      </c>
      <c r="BK39" s="85"/>
      <c r="BL39" s="84">
        <f t="shared" si="61"/>
        <v>0</v>
      </c>
      <c r="BM39" s="85"/>
      <c r="BN39" s="84">
        <f t="shared" si="62"/>
        <v>0</v>
      </c>
      <c r="BO39" s="81"/>
      <c r="BP39" s="214">
        <f t="shared" si="63"/>
        <v>0</v>
      </c>
    </row>
    <row r="40" spans="1:68" ht="13.9" x14ac:dyDescent="0.4">
      <c r="A40" s="427"/>
      <c r="B40" s="390" t="s">
        <v>699</v>
      </c>
      <c r="C40" s="180"/>
      <c r="D40" s="83">
        <v>129874</v>
      </c>
      <c r="E40" s="105"/>
      <c r="F40" s="304">
        <f>D40</f>
        <v>129874</v>
      </c>
      <c r="G40" s="289">
        <v>4670</v>
      </c>
      <c r="H40" s="363">
        <f t="shared" si="137"/>
        <v>3.595792845373208E-2</v>
      </c>
      <c r="I40" s="287"/>
      <c r="J40" s="313">
        <f t="shared" si="138"/>
        <v>0</v>
      </c>
      <c r="K40" s="287">
        <v>22616.61</v>
      </c>
      <c r="L40" s="288">
        <f t="shared" si="139"/>
        <v>0.17414270754731509</v>
      </c>
      <c r="M40" s="289">
        <v>12861.42</v>
      </c>
      <c r="N40" s="288">
        <f t="shared" si="99"/>
        <v>9.9029982906509384E-2</v>
      </c>
      <c r="O40" s="287">
        <f>20577.15+2252.72</f>
        <v>22829.870000000003</v>
      </c>
      <c r="P40" s="290">
        <f t="shared" si="100"/>
        <v>0.17578476061413373</v>
      </c>
      <c r="Q40" s="289"/>
      <c r="R40" s="290">
        <f t="shared" si="101"/>
        <v>0</v>
      </c>
      <c r="S40" s="287">
        <v>11660.99</v>
      </c>
      <c r="T40" s="290">
        <f t="shared" si="102"/>
        <v>8.9786947348968998E-2</v>
      </c>
      <c r="U40" s="287">
        <v>9933.51</v>
      </c>
      <c r="V40" s="290">
        <f t="shared" si="103"/>
        <v>7.6485747724717806E-2</v>
      </c>
      <c r="W40" s="289">
        <v>27387.52</v>
      </c>
      <c r="X40" s="290">
        <f t="shared" si="104"/>
        <v>0.21087761984692857</v>
      </c>
      <c r="Y40" s="287"/>
      <c r="Z40" s="290">
        <f t="shared" si="105"/>
        <v>0</v>
      </c>
      <c r="AA40" s="289">
        <v>13525.84</v>
      </c>
      <c r="AB40" s="290">
        <f t="shared" si="106"/>
        <v>0.1041458644532393</v>
      </c>
      <c r="AC40" s="287"/>
      <c r="AD40" s="290">
        <f t="shared" si="107"/>
        <v>0</v>
      </c>
      <c r="AE40" s="289"/>
      <c r="AF40" s="290">
        <f t="shared" si="108"/>
        <v>0</v>
      </c>
      <c r="AG40" s="287"/>
      <c r="AH40" s="290">
        <f t="shared" si="109"/>
        <v>0</v>
      </c>
      <c r="AI40" s="289">
        <v>4387.87</v>
      </c>
      <c r="AJ40" s="290">
        <f t="shared" si="110"/>
        <v>3.3785592189352759E-2</v>
      </c>
      <c r="AK40" s="289"/>
      <c r="AL40" s="290">
        <f t="shared" si="111"/>
        <v>0</v>
      </c>
      <c r="AM40" s="289"/>
      <c r="AN40" s="290">
        <f t="shared" si="49"/>
        <v>0</v>
      </c>
      <c r="AO40" s="289"/>
      <c r="AP40" s="290">
        <f t="shared" si="50"/>
        <v>0</v>
      </c>
      <c r="AQ40" s="323">
        <f t="shared" si="112"/>
        <v>0.99999715108489762</v>
      </c>
      <c r="AR40" s="195">
        <v>11945</v>
      </c>
      <c r="AS40" s="195">
        <v>11944.89</v>
      </c>
      <c r="AT40" s="230">
        <v>7050.31</v>
      </c>
      <c r="AU40" s="231">
        <f>AT40</f>
        <v>7050.31</v>
      </c>
      <c r="AV40" s="230">
        <v>29220.31</v>
      </c>
      <c r="AW40" s="195">
        <f>AV40</f>
        <v>29220.31</v>
      </c>
      <c r="AX40" s="230">
        <f>AY40</f>
        <v>11366.56</v>
      </c>
      <c r="AY40" s="231">
        <v>11366.56</v>
      </c>
      <c r="AZ40" s="230">
        <f>BA40</f>
        <v>28143.16</v>
      </c>
      <c r="BA40" s="195">
        <v>28143.16</v>
      </c>
      <c r="BB40" s="230">
        <f>BC40</f>
        <v>29605.89</v>
      </c>
      <c r="BC40" s="231">
        <v>29605.89</v>
      </c>
      <c r="BD40" s="84">
        <f t="shared" si="121"/>
        <v>3602.32</v>
      </c>
      <c r="BE40" s="435">
        <v>3602.32</v>
      </c>
      <c r="BF40" s="84">
        <f t="shared" si="58"/>
        <v>8940.4500000000044</v>
      </c>
      <c r="BG40" s="85"/>
      <c r="BH40" s="84">
        <f t="shared" si="59"/>
        <v>0</v>
      </c>
      <c r="BI40" s="85"/>
      <c r="BJ40" s="84">
        <f t="shared" si="60"/>
        <v>0</v>
      </c>
      <c r="BK40" s="85"/>
      <c r="BL40" s="84">
        <f t="shared" si="61"/>
        <v>0</v>
      </c>
      <c r="BM40" s="85"/>
      <c r="BN40" s="84">
        <f t="shared" si="62"/>
        <v>0</v>
      </c>
      <c r="BO40" s="81"/>
      <c r="BP40" s="214">
        <f t="shared" si="63"/>
        <v>0</v>
      </c>
    </row>
    <row r="41" spans="1:68" ht="13.9" x14ac:dyDescent="0.4">
      <c r="A41" s="427"/>
      <c r="B41" s="390" t="s">
        <v>811</v>
      </c>
      <c r="C41" s="180"/>
      <c r="D41" s="83">
        <v>129619</v>
      </c>
      <c r="E41" s="105"/>
      <c r="F41" s="304">
        <f>D41</f>
        <v>129619</v>
      </c>
      <c r="G41" s="289">
        <v>4670</v>
      </c>
      <c r="H41" s="363">
        <f t="shared" ref="H41" si="140">G41/F41</f>
        <v>3.6028668636542485E-2</v>
      </c>
      <c r="I41" s="287"/>
      <c r="J41" s="313">
        <f t="shared" ref="J41" si="141">I41/F41</f>
        <v>0</v>
      </c>
      <c r="K41" s="287">
        <v>22616.61</v>
      </c>
      <c r="L41" s="288">
        <f t="shared" ref="L41" si="142">K41/F41</f>
        <v>0.17448529922310774</v>
      </c>
      <c r="M41" s="289">
        <v>12861.42</v>
      </c>
      <c r="N41" s="288">
        <f t="shared" si="99"/>
        <v>9.9224805005439023E-2</v>
      </c>
      <c r="O41" s="287">
        <f>20322.56+2252.72</f>
        <v>22575.280000000002</v>
      </c>
      <c r="P41" s="290">
        <f t="shared" si="100"/>
        <v>0.17416644164821518</v>
      </c>
      <c r="Q41" s="289"/>
      <c r="R41" s="290">
        <f t="shared" si="101"/>
        <v>0</v>
      </c>
      <c r="S41" s="287">
        <v>11660.99</v>
      </c>
      <c r="T41" s="290">
        <f t="shared" si="102"/>
        <v>8.9963585585446579E-2</v>
      </c>
      <c r="U41" s="287">
        <v>9933.51</v>
      </c>
      <c r="V41" s="290">
        <f t="shared" si="103"/>
        <v>7.6636218455627653E-2</v>
      </c>
      <c r="W41" s="289">
        <v>27387.52</v>
      </c>
      <c r="X41" s="290">
        <f t="shared" si="104"/>
        <v>0.21129248026909636</v>
      </c>
      <c r="Y41" s="287"/>
      <c r="Z41" s="290">
        <f t="shared" si="105"/>
        <v>0</v>
      </c>
      <c r="AA41" s="289">
        <v>13525.84</v>
      </c>
      <c r="AB41" s="290">
        <f t="shared" si="106"/>
        <v>0.10435075104730017</v>
      </c>
      <c r="AC41" s="287"/>
      <c r="AD41" s="290">
        <f t="shared" si="107"/>
        <v>0</v>
      </c>
      <c r="AE41" s="289"/>
      <c r="AF41" s="290">
        <f t="shared" si="108"/>
        <v>0</v>
      </c>
      <c r="AG41" s="287"/>
      <c r="AH41" s="290">
        <f t="shared" si="109"/>
        <v>0</v>
      </c>
      <c r="AI41" s="289">
        <v>4387.87</v>
      </c>
      <c r="AJ41" s="290">
        <f t="shared" si="110"/>
        <v>3.3852058725958388E-2</v>
      </c>
      <c r="AK41" s="289"/>
      <c r="AL41" s="290">
        <f t="shared" si="111"/>
        <v>0</v>
      </c>
      <c r="AM41" s="289"/>
      <c r="AN41" s="290">
        <f t="shared" si="49"/>
        <v>0</v>
      </c>
      <c r="AO41" s="289"/>
      <c r="AP41" s="290">
        <f t="shared" si="50"/>
        <v>0</v>
      </c>
      <c r="AQ41" s="323">
        <f t="shared" si="112"/>
        <v>1.0000003085967337</v>
      </c>
      <c r="AR41" s="195">
        <v>19413</v>
      </c>
      <c r="AS41" s="195">
        <v>19412.919999999998</v>
      </c>
      <c r="AT41" s="230">
        <v>864.68</v>
      </c>
      <c r="AU41" s="231">
        <f>AT41</f>
        <v>864.68</v>
      </c>
      <c r="AV41" s="230">
        <v>8605.7900000000009</v>
      </c>
      <c r="AW41" s="195">
        <f>AV41</f>
        <v>8605.7900000000009</v>
      </c>
      <c r="AX41" s="230">
        <f>AY41</f>
        <v>19066.75</v>
      </c>
      <c r="AY41" s="231">
        <v>19066.75</v>
      </c>
      <c r="AZ41" s="230">
        <f>BA41</f>
        <v>34384.17</v>
      </c>
      <c r="BA41" s="195">
        <v>34384.17</v>
      </c>
      <c r="BB41" s="230">
        <f>BC41</f>
        <v>8647.33</v>
      </c>
      <c r="BC41" s="231">
        <v>8647.33</v>
      </c>
      <c r="BD41" s="84">
        <f t="shared" si="121"/>
        <v>23395.77</v>
      </c>
      <c r="BE41" s="435">
        <v>23395.77</v>
      </c>
      <c r="BF41" s="84">
        <v>12000</v>
      </c>
      <c r="BG41" s="85"/>
      <c r="BH41" s="84">
        <f t="shared" si="59"/>
        <v>3241.5099999999984</v>
      </c>
      <c r="BI41" s="85"/>
      <c r="BJ41" s="84">
        <f t="shared" si="60"/>
        <v>0</v>
      </c>
      <c r="BK41" s="85"/>
      <c r="BL41" s="84">
        <f t="shared" si="61"/>
        <v>0</v>
      </c>
      <c r="BM41" s="85"/>
      <c r="BN41" s="84">
        <f t="shared" si="62"/>
        <v>0</v>
      </c>
      <c r="BO41" s="81"/>
      <c r="BP41" s="214">
        <f t="shared" si="63"/>
        <v>0</v>
      </c>
    </row>
    <row r="42" spans="1:68" ht="13.9" x14ac:dyDescent="0.4">
      <c r="A42" s="432">
        <f>16784.83+D42</f>
        <v>151473.59000000003</v>
      </c>
      <c r="B42" s="390" t="s">
        <v>780</v>
      </c>
      <c r="C42" s="180"/>
      <c r="D42" s="83">
        <v>134688.76</v>
      </c>
      <c r="E42" s="142"/>
      <c r="F42" s="304">
        <f>D42+2438.87+1928.26</f>
        <v>139055.89000000001</v>
      </c>
      <c r="G42" s="289">
        <v>2808</v>
      </c>
      <c r="H42" s="363">
        <f t="shared" ref="H42:H43" si="143">G42/F42</f>
        <v>2.0193319391217442E-2</v>
      </c>
      <c r="I42" s="287">
        <v>1928.26</v>
      </c>
      <c r="J42" s="313">
        <f t="shared" ref="J42:J43" si="144">I42/F42</f>
        <v>1.3866798450608599E-2</v>
      </c>
      <c r="K42" s="287">
        <v>13210.99</v>
      </c>
      <c r="L42" s="288">
        <f t="shared" ref="L42:L43" si="145">K42/F42</f>
        <v>9.5004893356189363E-2</v>
      </c>
      <c r="M42" s="289">
        <v>8508.0499999999993</v>
      </c>
      <c r="N42" s="288">
        <f>M42/F42</f>
        <v>6.118439139830753E-2</v>
      </c>
      <c r="O42" s="287">
        <f>2438.87+3160.56+23506.71+2438.87</f>
        <v>31545.01</v>
      </c>
      <c r="P42" s="290">
        <f>O42/F42</f>
        <v>0.22685130417704705</v>
      </c>
      <c r="Q42" s="289">
        <v>22344.2</v>
      </c>
      <c r="R42" s="290">
        <f>Q42/F42</f>
        <v>0.16068503103320542</v>
      </c>
      <c r="S42" s="287">
        <v>13091.49</v>
      </c>
      <c r="T42" s="290">
        <f>S42/F42</f>
        <v>9.414552666557309E-2</v>
      </c>
      <c r="U42" s="287">
        <v>10638.3</v>
      </c>
      <c r="V42" s="290">
        <f>U42/F42</f>
        <v>7.6503771253414718E-2</v>
      </c>
      <c r="W42" s="289">
        <v>19474.72</v>
      </c>
      <c r="X42" s="290">
        <f>W42/F42</f>
        <v>0.14004958725588681</v>
      </c>
      <c r="Y42" s="287"/>
      <c r="Z42" s="290">
        <f>Y42/F42</f>
        <v>0</v>
      </c>
      <c r="AA42" s="289">
        <v>14040</v>
      </c>
      <c r="AB42" s="290">
        <f>AA42/F42</f>
        <v>0.10096659695608722</v>
      </c>
      <c r="AC42" s="287"/>
      <c r="AD42" s="290">
        <f>AC42/F42</f>
        <v>0</v>
      </c>
      <c r="AE42" s="289">
        <v>3152.64</v>
      </c>
      <c r="AF42" s="290">
        <f>AE42/F42</f>
        <v>2.2671747309660883E-2</v>
      </c>
      <c r="AG42" s="287">
        <v>753.1</v>
      </c>
      <c r="AH42" s="290">
        <f>AG42/F42</f>
        <v>5.4158079891473846E-3</v>
      </c>
      <c r="AI42" s="289"/>
      <c r="AJ42" s="290">
        <f>AI42/F42</f>
        <v>0</v>
      </c>
      <c r="AK42" s="289"/>
      <c r="AL42" s="290">
        <f t="shared" si="111"/>
        <v>0</v>
      </c>
      <c r="AM42" s="289"/>
      <c r="AN42" s="290">
        <f t="shared" si="49"/>
        <v>0</v>
      </c>
      <c r="AO42" s="289"/>
      <c r="AP42" s="290">
        <f t="shared" si="50"/>
        <v>0</v>
      </c>
      <c r="AQ42" s="323">
        <f t="shared" si="112"/>
        <v>1.0175387752363454</v>
      </c>
      <c r="AR42" s="81">
        <v>0</v>
      </c>
      <c r="AS42" s="81"/>
      <c r="AT42" s="84">
        <v>0</v>
      </c>
      <c r="AU42" s="85"/>
      <c r="AV42" s="84">
        <v>0</v>
      </c>
      <c r="AW42" s="81"/>
      <c r="AX42" s="84">
        <v>0</v>
      </c>
      <c r="AY42" s="85"/>
      <c r="AZ42" s="84">
        <v>0</v>
      </c>
      <c r="BA42" s="81"/>
      <c r="BB42" s="84">
        <v>0</v>
      </c>
      <c r="BC42" s="85"/>
      <c r="BD42" s="84">
        <f t="shared" si="121"/>
        <v>13522.4</v>
      </c>
      <c r="BE42" s="435">
        <f>12546.85+975.55</f>
        <v>13522.4</v>
      </c>
      <c r="BF42" s="84">
        <v>55000</v>
      </c>
      <c r="BG42" s="85"/>
      <c r="BH42" s="84">
        <v>30000</v>
      </c>
      <c r="BI42" s="85"/>
      <c r="BJ42" s="84">
        <f t="shared" si="60"/>
        <v>40533.49000000002</v>
      </c>
      <c r="BK42" s="85"/>
      <c r="BL42" s="84">
        <f t="shared" si="61"/>
        <v>0</v>
      </c>
      <c r="BM42" s="85"/>
      <c r="BN42" s="84">
        <f t="shared" si="62"/>
        <v>0</v>
      </c>
      <c r="BO42" s="81"/>
      <c r="BP42" s="214">
        <f t="shared" si="63"/>
        <v>0</v>
      </c>
    </row>
    <row r="43" spans="1:68" ht="13.9" x14ac:dyDescent="0.4">
      <c r="A43" s="427"/>
      <c r="B43" s="390" t="s">
        <v>855</v>
      </c>
      <c r="C43" s="180"/>
      <c r="D43" s="49">
        <f>7381.02-999.66</f>
        <v>6381.3600000000006</v>
      </c>
      <c r="E43" s="142"/>
      <c r="F43" s="304">
        <f>D43</f>
        <v>6381.3600000000006</v>
      </c>
      <c r="G43" s="289"/>
      <c r="H43" s="363">
        <f t="shared" si="143"/>
        <v>0</v>
      </c>
      <c r="I43" s="287"/>
      <c r="J43" s="313">
        <f t="shared" si="144"/>
        <v>0</v>
      </c>
      <c r="K43" s="287"/>
      <c r="L43" s="288">
        <f t="shared" si="145"/>
        <v>0</v>
      </c>
      <c r="M43" s="289"/>
      <c r="N43" s="288">
        <f>M43/F43</f>
        <v>0</v>
      </c>
      <c r="O43" s="287"/>
      <c r="P43" s="290">
        <f>O43/F43</f>
        <v>0</v>
      </c>
      <c r="Q43" s="289"/>
      <c r="R43" s="290">
        <f>Q43/F43</f>
        <v>0</v>
      </c>
      <c r="S43" s="287"/>
      <c r="T43" s="290">
        <f>S43/F43</f>
        <v>0</v>
      </c>
      <c r="U43" s="287"/>
      <c r="V43" s="290">
        <f>U43/F43</f>
        <v>0</v>
      </c>
      <c r="W43" s="289"/>
      <c r="X43" s="290">
        <f>W43/F43</f>
        <v>0</v>
      </c>
      <c r="Y43" s="287"/>
      <c r="Z43" s="290">
        <f>Y43/F43</f>
        <v>0</v>
      </c>
      <c r="AA43" s="289"/>
      <c r="AB43" s="290">
        <f>AA43/F43</f>
        <v>0</v>
      </c>
      <c r="AC43" s="287">
        <v>7381.02</v>
      </c>
      <c r="AD43" s="290">
        <f>AC43/F43</f>
        <v>1.1566531272330662</v>
      </c>
      <c r="AE43" s="289"/>
      <c r="AF43" s="290">
        <f>AE43/F43</f>
        <v>0</v>
      </c>
      <c r="AG43" s="287"/>
      <c r="AH43" s="290">
        <f>AG43/F43</f>
        <v>0</v>
      </c>
      <c r="AI43" s="289"/>
      <c r="AJ43" s="290">
        <f>AI43/F43</f>
        <v>0</v>
      </c>
      <c r="AK43" s="289"/>
      <c r="AL43" s="290">
        <f t="shared" ref="AL43" si="146">AK43/F43</f>
        <v>0</v>
      </c>
      <c r="AM43" s="289"/>
      <c r="AN43" s="290">
        <f t="shared" si="49"/>
        <v>0</v>
      </c>
      <c r="AO43" s="289"/>
      <c r="AP43" s="290">
        <f t="shared" si="50"/>
        <v>0</v>
      </c>
      <c r="AQ43" s="323">
        <f t="shared" ref="AQ43" si="147">L43+N43+P43+R43+T43+V43+X43+Z43+AB43+AD43+H43+J43+AJ43+AF43+AH43+AN43+AP43+AL43</f>
        <v>1.1566531272330662</v>
      </c>
      <c r="AR43" s="81">
        <v>0</v>
      </c>
      <c r="AS43" s="81"/>
      <c r="AT43" s="230">
        <f>F43-AR43</f>
        <v>6381.3600000000006</v>
      </c>
      <c r="AU43" s="231">
        <f>D43</f>
        <v>6381.3600000000006</v>
      </c>
      <c r="AV43" s="84">
        <f t="shared" si="53"/>
        <v>0</v>
      </c>
      <c r="AW43" s="81"/>
      <c r="AX43" s="84">
        <f t="shared" si="54"/>
        <v>0</v>
      </c>
      <c r="AY43" s="85"/>
      <c r="AZ43" s="84">
        <f t="shared" si="55"/>
        <v>0</v>
      </c>
      <c r="BA43" s="81"/>
      <c r="BB43" s="84">
        <f t="shared" si="56"/>
        <v>0</v>
      </c>
      <c r="BC43" s="85"/>
      <c r="BD43" s="84">
        <f t="shared" si="57"/>
        <v>0</v>
      </c>
      <c r="BE43" s="85"/>
      <c r="BF43" s="84">
        <f t="shared" si="58"/>
        <v>0</v>
      </c>
      <c r="BG43" s="85"/>
      <c r="BH43" s="84">
        <f t="shared" si="59"/>
        <v>0</v>
      </c>
      <c r="BI43" s="85"/>
      <c r="BJ43" s="84">
        <f t="shared" si="60"/>
        <v>0</v>
      </c>
      <c r="BK43" s="85"/>
      <c r="BL43" s="84">
        <f t="shared" si="61"/>
        <v>0</v>
      </c>
      <c r="BM43" s="85"/>
      <c r="BN43" s="84">
        <f t="shared" si="62"/>
        <v>0</v>
      </c>
      <c r="BO43" s="81"/>
      <c r="BP43" s="214">
        <f t="shared" si="63"/>
        <v>0</v>
      </c>
    </row>
    <row r="44" spans="1:68" ht="13.9" x14ac:dyDescent="0.4">
      <c r="A44" s="427"/>
      <c r="B44" s="390" t="s">
        <v>845</v>
      </c>
      <c r="C44" s="180"/>
      <c r="D44" s="83">
        <v>1502.01</v>
      </c>
      <c r="E44" s="142"/>
      <c r="F44" s="304">
        <f>D44</f>
        <v>1502.01</v>
      </c>
      <c r="G44" s="289"/>
      <c r="H44" s="363">
        <f t="shared" si="98"/>
        <v>0</v>
      </c>
      <c r="I44" s="287"/>
      <c r="J44" s="313">
        <f t="shared" si="35"/>
        <v>0</v>
      </c>
      <c r="K44" s="287"/>
      <c r="L44" s="288">
        <f t="shared" si="36"/>
        <v>0</v>
      </c>
      <c r="M44" s="289"/>
      <c r="N44" s="288">
        <f t="shared" si="99"/>
        <v>0</v>
      </c>
      <c r="O44" s="287"/>
      <c r="P44" s="290">
        <f t="shared" si="100"/>
        <v>0</v>
      </c>
      <c r="Q44" s="289"/>
      <c r="R44" s="290">
        <f t="shared" si="101"/>
        <v>0</v>
      </c>
      <c r="S44" s="287"/>
      <c r="T44" s="290">
        <f t="shared" si="102"/>
        <v>0</v>
      </c>
      <c r="U44" s="287"/>
      <c r="V44" s="290">
        <f t="shared" si="103"/>
        <v>0</v>
      </c>
      <c r="W44" s="289"/>
      <c r="X44" s="290">
        <f t="shared" si="104"/>
        <v>0</v>
      </c>
      <c r="Y44" s="287"/>
      <c r="Z44" s="290">
        <f t="shared" si="105"/>
        <v>0</v>
      </c>
      <c r="AA44" s="289"/>
      <c r="AB44" s="290">
        <f t="shared" si="106"/>
        <v>0</v>
      </c>
      <c r="AC44" s="287">
        <v>1502.01</v>
      </c>
      <c r="AD44" s="290">
        <f t="shared" si="107"/>
        <v>1</v>
      </c>
      <c r="AE44" s="289"/>
      <c r="AF44" s="290">
        <f t="shared" si="108"/>
        <v>0</v>
      </c>
      <c r="AG44" s="287"/>
      <c r="AH44" s="290">
        <f t="shared" si="109"/>
        <v>0</v>
      </c>
      <c r="AI44" s="289"/>
      <c r="AJ44" s="290">
        <f t="shared" si="110"/>
        <v>0</v>
      </c>
      <c r="AK44" s="289"/>
      <c r="AL44" s="290">
        <f t="shared" si="111"/>
        <v>0</v>
      </c>
      <c r="AM44" s="289"/>
      <c r="AN44" s="290">
        <f t="shared" si="49"/>
        <v>0</v>
      </c>
      <c r="AO44" s="289"/>
      <c r="AP44" s="290">
        <f t="shared" si="50"/>
        <v>0</v>
      </c>
      <c r="AQ44" s="323">
        <f t="shared" si="112"/>
        <v>1</v>
      </c>
      <c r="AR44" s="81">
        <v>0</v>
      </c>
      <c r="AS44" s="81"/>
      <c r="AT44" s="230">
        <f t="shared" si="52"/>
        <v>1502.01</v>
      </c>
      <c r="AU44" s="231">
        <v>1502</v>
      </c>
      <c r="AV44" s="84">
        <f t="shared" si="53"/>
        <v>0</v>
      </c>
      <c r="AW44" s="81"/>
      <c r="AX44" s="84">
        <f t="shared" si="54"/>
        <v>0</v>
      </c>
      <c r="AY44" s="85"/>
      <c r="AZ44" s="84">
        <f t="shared" si="55"/>
        <v>0</v>
      </c>
      <c r="BA44" s="81"/>
      <c r="BB44" s="84">
        <f t="shared" si="56"/>
        <v>0</v>
      </c>
      <c r="BC44" s="85"/>
      <c r="BD44" s="84">
        <f t="shared" si="57"/>
        <v>0</v>
      </c>
      <c r="BE44" s="85"/>
      <c r="BF44" s="84">
        <f t="shared" si="58"/>
        <v>0</v>
      </c>
      <c r="BG44" s="85"/>
      <c r="BH44" s="84">
        <f t="shared" si="59"/>
        <v>0</v>
      </c>
      <c r="BI44" s="85"/>
      <c r="BJ44" s="84">
        <f t="shared" si="60"/>
        <v>0</v>
      </c>
      <c r="BK44" s="85"/>
      <c r="BL44" s="84">
        <f t="shared" si="61"/>
        <v>0</v>
      </c>
      <c r="BM44" s="85"/>
      <c r="BN44" s="84">
        <f t="shared" si="62"/>
        <v>0</v>
      </c>
      <c r="BO44" s="81"/>
      <c r="BP44" s="214">
        <f t="shared" si="63"/>
        <v>0</v>
      </c>
    </row>
    <row r="45" spans="1:68" ht="13.9" x14ac:dyDescent="0.4">
      <c r="A45" s="430"/>
      <c r="B45" s="368" t="s">
        <v>670</v>
      </c>
      <c r="C45" s="369"/>
      <c r="D45" s="370"/>
      <c r="E45" s="371"/>
      <c r="F45" s="304"/>
      <c r="G45" s="289"/>
      <c r="H45" s="363" t="e">
        <f t="shared" si="34"/>
        <v>#DIV/0!</v>
      </c>
      <c r="I45" s="287"/>
      <c r="J45" s="313" t="e">
        <f t="shared" si="35"/>
        <v>#DIV/0!</v>
      </c>
      <c r="K45" s="287"/>
      <c r="L45" s="288" t="e">
        <f t="shared" si="36"/>
        <v>#DIV/0!</v>
      </c>
      <c r="M45" s="289"/>
      <c r="N45" s="288" t="e">
        <f t="shared" si="37"/>
        <v>#DIV/0!</v>
      </c>
      <c r="O45" s="287"/>
      <c r="P45" s="290" t="e">
        <f t="shared" si="38"/>
        <v>#DIV/0!</v>
      </c>
      <c r="Q45" s="289"/>
      <c r="R45" s="290" t="e">
        <f t="shared" si="39"/>
        <v>#DIV/0!</v>
      </c>
      <c r="S45" s="287"/>
      <c r="T45" s="290" t="e">
        <f t="shared" si="40"/>
        <v>#DIV/0!</v>
      </c>
      <c r="U45" s="287"/>
      <c r="V45" s="290" t="e">
        <f t="shared" si="41"/>
        <v>#DIV/0!</v>
      </c>
      <c r="W45" s="289"/>
      <c r="X45" s="290" t="e">
        <f t="shared" si="42"/>
        <v>#DIV/0!</v>
      </c>
      <c r="Y45" s="287"/>
      <c r="Z45" s="290" t="e">
        <f t="shared" si="43"/>
        <v>#DIV/0!</v>
      </c>
      <c r="AA45" s="289"/>
      <c r="AB45" s="290" t="e">
        <f t="shared" si="44"/>
        <v>#DIV/0!</v>
      </c>
      <c r="AC45" s="287"/>
      <c r="AD45" s="290" t="e">
        <f t="shared" si="45"/>
        <v>#DIV/0!</v>
      </c>
      <c r="AE45" s="289"/>
      <c r="AF45" s="290" t="e">
        <f t="shared" si="46"/>
        <v>#DIV/0!</v>
      </c>
      <c r="AG45" s="287"/>
      <c r="AH45" s="290" t="e">
        <f t="shared" si="47"/>
        <v>#DIV/0!</v>
      </c>
      <c r="AI45" s="289"/>
      <c r="AJ45" s="290" t="e">
        <f t="shared" si="48"/>
        <v>#DIV/0!</v>
      </c>
      <c r="AK45" s="289"/>
      <c r="AL45" s="290" t="e">
        <f t="shared" si="111"/>
        <v>#DIV/0!</v>
      </c>
      <c r="AM45" s="289"/>
      <c r="AN45" s="290" t="e">
        <f t="shared" si="49"/>
        <v>#DIV/0!</v>
      </c>
      <c r="AO45" s="289"/>
      <c r="AP45" s="290" t="e">
        <f t="shared" si="50"/>
        <v>#DIV/0!</v>
      </c>
      <c r="AQ45" s="323" t="e">
        <f t="shared" si="112"/>
        <v>#DIV/0!</v>
      </c>
      <c r="AR45" s="81">
        <f t="shared" si="51"/>
        <v>0</v>
      </c>
      <c r="AS45" s="81"/>
      <c r="AT45" s="84">
        <f t="shared" si="52"/>
        <v>0</v>
      </c>
      <c r="AU45" s="85"/>
      <c r="AV45" s="84">
        <f t="shared" si="53"/>
        <v>0</v>
      </c>
      <c r="AW45" s="81"/>
      <c r="AX45" s="84">
        <f t="shared" si="54"/>
        <v>0</v>
      </c>
      <c r="AY45" s="85"/>
      <c r="AZ45" s="84">
        <f t="shared" si="55"/>
        <v>0</v>
      </c>
      <c r="BA45" s="81"/>
      <c r="BB45" s="84">
        <f t="shared" si="56"/>
        <v>0</v>
      </c>
      <c r="BC45" s="85"/>
      <c r="BD45" s="84">
        <f t="shared" si="57"/>
        <v>0</v>
      </c>
      <c r="BE45" s="85"/>
      <c r="BF45" s="84">
        <f t="shared" si="58"/>
        <v>0</v>
      </c>
      <c r="BG45" s="85"/>
      <c r="BH45" s="84">
        <f t="shared" si="59"/>
        <v>0</v>
      </c>
      <c r="BI45" s="85"/>
      <c r="BJ45" s="84">
        <f t="shared" si="60"/>
        <v>0</v>
      </c>
      <c r="BK45" s="85"/>
      <c r="BL45" s="84">
        <f t="shared" si="61"/>
        <v>0</v>
      </c>
      <c r="BM45" s="85"/>
      <c r="BN45" s="84">
        <f t="shared" si="62"/>
        <v>0</v>
      </c>
      <c r="BO45" s="81"/>
      <c r="BP45" s="214">
        <f t="shared" si="63"/>
        <v>0</v>
      </c>
    </row>
    <row r="46" spans="1:68" ht="13.9" x14ac:dyDescent="0.4">
      <c r="B46" s="389" t="s">
        <v>875</v>
      </c>
      <c r="C46" s="180"/>
      <c r="D46" s="83">
        <v>51000</v>
      </c>
      <c r="E46" s="142">
        <f>D46</f>
        <v>51000</v>
      </c>
      <c r="F46" s="304"/>
      <c r="G46" s="289"/>
      <c r="H46" s="363" t="e">
        <f t="shared" ref="H46" si="148">G46/F46</f>
        <v>#DIV/0!</v>
      </c>
      <c r="I46" s="287"/>
      <c r="J46" s="313" t="e">
        <f t="shared" ref="J46" si="149">I46/F46</f>
        <v>#DIV/0!</v>
      </c>
      <c r="K46" s="287"/>
      <c r="L46" s="288" t="e">
        <f t="shared" ref="L46" si="150">K46/F46</f>
        <v>#DIV/0!</v>
      </c>
      <c r="M46" s="289"/>
      <c r="N46" s="288" t="e">
        <f t="shared" ref="N46:N51" si="151">M46/F46</f>
        <v>#DIV/0!</v>
      </c>
      <c r="O46" s="287"/>
      <c r="P46" s="290" t="e">
        <f t="shared" ref="P46:P51" si="152">O46/F46</f>
        <v>#DIV/0!</v>
      </c>
      <c r="Q46" s="289"/>
      <c r="R46" s="290" t="e">
        <f t="shared" ref="R46:R51" si="153">Q46/F46</f>
        <v>#DIV/0!</v>
      </c>
      <c r="S46" s="287"/>
      <c r="T46" s="290" t="e">
        <f t="shared" ref="T46:T51" si="154">S46/F46</f>
        <v>#DIV/0!</v>
      </c>
      <c r="U46" s="287"/>
      <c r="V46" s="290" t="e">
        <f t="shared" ref="V46:V51" si="155">U46/F46</f>
        <v>#DIV/0!</v>
      </c>
      <c r="W46" s="289"/>
      <c r="X46" s="290" t="e">
        <f t="shared" ref="X46:X51" si="156">W46/F46</f>
        <v>#DIV/0!</v>
      </c>
      <c r="Y46" s="287"/>
      <c r="Z46" s="290" t="e">
        <f t="shared" ref="Z46:Z51" si="157">Y46/F46</f>
        <v>#DIV/0!</v>
      </c>
      <c r="AA46" s="289"/>
      <c r="AB46" s="290" t="e">
        <f t="shared" ref="AB46:AB51" si="158">AA46/F46</f>
        <v>#DIV/0!</v>
      </c>
      <c r="AC46" s="287"/>
      <c r="AD46" s="290" t="e">
        <f t="shared" ref="AD46:AD51" si="159">AC46/F46</f>
        <v>#DIV/0!</v>
      </c>
      <c r="AE46" s="289"/>
      <c r="AF46" s="290" t="e">
        <f t="shared" ref="AF46:AF51" si="160">AE46/F46</f>
        <v>#DIV/0!</v>
      </c>
      <c r="AG46" s="287"/>
      <c r="AH46" s="290" t="e">
        <f t="shared" ref="AH46:AH51" si="161">AG46/F46</f>
        <v>#DIV/0!</v>
      </c>
      <c r="AI46" s="289"/>
      <c r="AJ46" s="290" t="e">
        <f t="shared" ref="AJ46:AJ51" si="162">AI46/F46</f>
        <v>#DIV/0!</v>
      </c>
      <c r="AK46" s="289"/>
      <c r="AL46" s="290" t="e">
        <f t="shared" si="111"/>
        <v>#DIV/0!</v>
      </c>
      <c r="AM46" s="289"/>
      <c r="AN46" s="290" t="e">
        <f t="shared" ref="AN46" si="163">AM46/F46</f>
        <v>#DIV/0!</v>
      </c>
      <c r="AO46" s="289"/>
      <c r="AP46" s="290" t="e">
        <f t="shared" ref="AP46" si="164">AO46/F46</f>
        <v>#DIV/0!</v>
      </c>
      <c r="AQ46" s="323" t="e">
        <f t="shared" si="112"/>
        <v>#DIV/0!</v>
      </c>
      <c r="AR46" s="81">
        <f t="shared" ref="AR46" si="165">+F46</f>
        <v>0</v>
      </c>
      <c r="AS46" s="81"/>
      <c r="AT46" s="84">
        <f t="shared" ref="AT46" si="166">F46-AR46</f>
        <v>0</v>
      </c>
      <c r="AU46" s="85"/>
      <c r="AV46" s="84">
        <f t="shared" ref="AV46" si="167">F46-AR46-AT46</f>
        <v>0</v>
      </c>
      <c r="AW46" s="81"/>
      <c r="AX46" s="84">
        <f t="shared" ref="AX46" si="168">F46-AR46-AT46-AV46</f>
        <v>0</v>
      </c>
      <c r="AY46" s="85"/>
      <c r="AZ46" s="84">
        <f t="shared" ref="AZ46" si="169">F46-AR46-AT46-AV46-AX46</f>
        <v>0</v>
      </c>
      <c r="BA46" s="81"/>
      <c r="BB46" s="84">
        <f t="shared" ref="BB46" si="170">F46-AR46-AT46-AV46-AX46-AZ46</f>
        <v>0</v>
      </c>
      <c r="BC46" s="85"/>
      <c r="BD46" s="84">
        <f t="shared" ref="BD46" si="171">F46-AR46-AT46-AV46-AX46-AZ46-BB46</f>
        <v>0</v>
      </c>
      <c r="BE46" s="85"/>
      <c r="BF46" s="84">
        <f t="shared" ref="BF46" si="172">F46-AR46-AT46-AV46-AX46-AZ46-BB46-BD46</f>
        <v>0</v>
      </c>
      <c r="BG46" s="85"/>
      <c r="BH46" s="84">
        <f t="shared" ref="BH46" si="173">F46-AR46-AT46-AV46-AX46-AZ46-BB46-BD46-BF46</f>
        <v>0</v>
      </c>
      <c r="BI46" s="85"/>
      <c r="BJ46" s="84">
        <f t="shared" ref="BJ46" si="174">F46-AR46-AT46-AV46-AX46-AZ46-BB46-BD46-BF46-BH46</f>
        <v>0</v>
      </c>
      <c r="BK46" s="85"/>
      <c r="BL46" s="84">
        <f t="shared" ref="BL46" si="175">F46-AR46-AT46-AV46-AX46-AZ46-BB46-BD46-BF46-BH46-BJ46</f>
        <v>0</v>
      </c>
      <c r="BM46" s="85"/>
      <c r="BN46" s="84">
        <f t="shared" ref="BN46" si="176">F46-AR46-AT46-AV46-AX46-AZ46-BB46-BD46-BF46-BH46-BJ46-BL46</f>
        <v>0</v>
      </c>
      <c r="BO46" s="81"/>
      <c r="BP46" s="214">
        <f t="shared" ref="BP46" si="177">F46-AR46-AT46-AV46-AX46-AZ46-BB46-BD46-BF46-BH46-BJ46-BL46-BN46</f>
        <v>0</v>
      </c>
    </row>
    <row r="47" spans="1:68" ht="13.9" x14ac:dyDescent="0.4">
      <c r="B47" s="389" t="s">
        <v>874</v>
      </c>
      <c r="C47" s="180"/>
      <c r="D47" s="83">
        <v>63000</v>
      </c>
      <c r="E47" s="142">
        <f>D47</f>
        <v>63000</v>
      </c>
      <c r="F47" s="304"/>
      <c r="G47" s="289"/>
      <c r="H47" s="363" t="e">
        <f t="shared" si="34"/>
        <v>#DIV/0!</v>
      </c>
      <c r="I47" s="287"/>
      <c r="J47" s="313" t="e">
        <f t="shared" si="35"/>
        <v>#DIV/0!</v>
      </c>
      <c r="K47" s="287"/>
      <c r="L47" s="288" t="e">
        <f t="shared" si="36"/>
        <v>#DIV/0!</v>
      </c>
      <c r="M47" s="289"/>
      <c r="N47" s="288" t="e">
        <f t="shared" si="151"/>
        <v>#DIV/0!</v>
      </c>
      <c r="O47" s="287"/>
      <c r="P47" s="290" t="e">
        <f t="shared" si="152"/>
        <v>#DIV/0!</v>
      </c>
      <c r="Q47" s="289"/>
      <c r="R47" s="290" t="e">
        <f t="shared" si="153"/>
        <v>#DIV/0!</v>
      </c>
      <c r="S47" s="287"/>
      <c r="T47" s="290" t="e">
        <f t="shared" si="154"/>
        <v>#DIV/0!</v>
      </c>
      <c r="U47" s="287"/>
      <c r="V47" s="290" t="e">
        <f t="shared" si="155"/>
        <v>#DIV/0!</v>
      </c>
      <c r="W47" s="289"/>
      <c r="X47" s="290" t="e">
        <f t="shared" si="156"/>
        <v>#DIV/0!</v>
      </c>
      <c r="Y47" s="287"/>
      <c r="Z47" s="290" t="e">
        <f t="shared" si="157"/>
        <v>#DIV/0!</v>
      </c>
      <c r="AA47" s="289"/>
      <c r="AB47" s="290" t="e">
        <f t="shared" si="158"/>
        <v>#DIV/0!</v>
      </c>
      <c r="AC47" s="287"/>
      <c r="AD47" s="290" t="e">
        <f t="shared" si="159"/>
        <v>#DIV/0!</v>
      </c>
      <c r="AE47" s="289"/>
      <c r="AF47" s="290" t="e">
        <f t="shared" si="160"/>
        <v>#DIV/0!</v>
      </c>
      <c r="AG47" s="287"/>
      <c r="AH47" s="290" t="e">
        <f t="shared" si="161"/>
        <v>#DIV/0!</v>
      </c>
      <c r="AI47" s="289"/>
      <c r="AJ47" s="290" t="e">
        <f t="shared" si="162"/>
        <v>#DIV/0!</v>
      </c>
      <c r="AK47" s="289"/>
      <c r="AL47" s="290" t="e">
        <f t="shared" ref="AL47" si="178">AK47/F47</f>
        <v>#DIV/0!</v>
      </c>
      <c r="AM47" s="289"/>
      <c r="AN47" s="290" t="e">
        <f t="shared" si="49"/>
        <v>#DIV/0!</v>
      </c>
      <c r="AO47" s="289"/>
      <c r="AP47" s="290" t="e">
        <f t="shared" si="50"/>
        <v>#DIV/0!</v>
      </c>
      <c r="AQ47" s="323" t="e">
        <f t="shared" ref="AQ47" si="179">L47+N47+P47+R47+T47+V47+X47+Z47+AB47+AD47+H47+J47+AJ47+AF47+AH47+AN47+AP47+AL47</f>
        <v>#DIV/0!</v>
      </c>
      <c r="AR47" s="81">
        <f t="shared" si="51"/>
        <v>0</v>
      </c>
      <c r="AS47" s="81"/>
      <c r="AT47" s="84">
        <f t="shared" si="52"/>
        <v>0</v>
      </c>
      <c r="AU47" s="85"/>
      <c r="AV47" s="84">
        <f t="shared" si="53"/>
        <v>0</v>
      </c>
      <c r="AW47" s="81"/>
      <c r="AX47" s="84">
        <f t="shared" si="54"/>
        <v>0</v>
      </c>
      <c r="AY47" s="85"/>
      <c r="AZ47" s="84">
        <f t="shared" si="55"/>
        <v>0</v>
      </c>
      <c r="BA47" s="81"/>
      <c r="BB47" s="84">
        <f t="shared" si="56"/>
        <v>0</v>
      </c>
      <c r="BC47" s="85"/>
      <c r="BD47" s="84">
        <f t="shared" si="57"/>
        <v>0</v>
      </c>
      <c r="BE47" s="85"/>
      <c r="BF47" s="84">
        <f t="shared" si="58"/>
        <v>0</v>
      </c>
      <c r="BG47" s="85"/>
      <c r="BH47" s="84">
        <f t="shared" si="59"/>
        <v>0</v>
      </c>
      <c r="BI47" s="85"/>
      <c r="BJ47" s="84">
        <f t="shared" si="60"/>
        <v>0</v>
      </c>
      <c r="BK47" s="85"/>
      <c r="BL47" s="84">
        <f t="shared" si="61"/>
        <v>0</v>
      </c>
      <c r="BM47" s="85"/>
      <c r="BN47" s="84">
        <f t="shared" si="62"/>
        <v>0</v>
      </c>
      <c r="BO47" s="81"/>
      <c r="BP47" s="214">
        <f t="shared" si="63"/>
        <v>0</v>
      </c>
    </row>
    <row r="48" spans="1:68" ht="13.9" x14ac:dyDescent="0.4">
      <c r="A48" s="427"/>
      <c r="B48" s="389" t="s">
        <v>866</v>
      </c>
      <c r="C48" s="180"/>
      <c r="D48" s="107">
        <v>78076.47</v>
      </c>
      <c r="E48" s="142"/>
      <c r="F48" s="304"/>
      <c r="G48" s="289"/>
      <c r="H48" s="363" t="e">
        <f t="shared" si="34"/>
        <v>#DIV/0!</v>
      </c>
      <c r="I48" s="287"/>
      <c r="J48" s="313" t="e">
        <f t="shared" si="35"/>
        <v>#DIV/0!</v>
      </c>
      <c r="K48" s="287"/>
      <c r="L48" s="288" t="e">
        <f t="shared" si="36"/>
        <v>#DIV/0!</v>
      </c>
      <c r="M48" s="289"/>
      <c r="N48" s="288" t="e">
        <f t="shared" si="151"/>
        <v>#DIV/0!</v>
      </c>
      <c r="O48" s="287"/>
      <c r="P48" s="290" t="e">
        <f t="shared" si="152"/>
        <v>#DIV/0!</v>
      </c>
      <c r="Q48" s="289"/>
      <c r="R48" s="290" t="e">
        <f t="shared" si="153"/>
        <v>#DIV/0!</v>
      </c>
      <c r="S48" s="287"/>
      <c r="T48" s="290" t="e">
        <f t="shared" si="154"/>
        <v>#DIV/0!</v>
      </c>
      <c r="U48" s="287"/>
      <c r="V48" s="290" t="e">
        <f t="shared" si="155"/>
        <v>#DIV/0!</v>
      </c>
      <c r="W48" s="289"/>
      <c r="X48" s="290" t="e">
        <f t="shared" si="156"/>
        <v>#DIV/0!</v>
      </c>
      <c r="Y48" s="287"/>
      <c r="Z48" s="290" t="e">
        <f t="shared" si="157"/>
        <v>#DIV/0!</v>
      </c>
      <c r="AA48" s="289"/>
      <c r="AB48" s="290" t="e">
        <f t="shared" si="158"/>
        <v>#DIV/0!</v>
      </c>
      <c r="AC48" s="287"/>
      <c r="AD48" s="290" t="e">
        <f t="shared" si="159"/>
        <v>#DIV/0!</v>
      </c>
      <c r="AE48" s="289"/>
      <c r="AF48" s="290" t="e">
        <f t="shared" si="160"/>
        <v>#DIV/0!</v>
      </c>
      <c r="AG48" s="287"/>
      <c r="AH48" s="290" t="e">
        <f t="shared" si="161"/>
        <v>#DIV/0!</v>
      </c>
      <c r="AI48" s="289"/>
      <c r="AJ48" s="290" t="e">
        <f t="shared" si="162"/>
        <v>#DIV/0!</v>
      </c>
      <c r="AK48" s="289"/>
      <c r="AL48" s="290" t="e">
        <f t="shared" ref="AL48" si="180">AK48/F48</f>
        <v>#DIV/0!</v>
      </c>
      <c r="AM48" s="289"/>
      <c r="AN48" s="290" t="e">
        <f t="shared" si="49"/>
        <v>#DIV/0!</v>
      </c>
      <c r="AO48" s="289"/>
      <c r="AP48" s="290" t="e">
        <f t="shared" si="50"/>
        <v>#DIV/0!</v>
      </c>
      <c r="AQ48" s="323" t="e">
        <f t="shared" ref="AQ48" si="181">L48+N48+P48+R48+T48+V48+X48+Z48+AB48+AD48+H48+J48+AJ48+AF48+AH48+AN48+AP48+AL48</f>
        <v>#DIV/0!</v>
      </c>
      <c r="AR48" s="81">
        <f t="shared" si="51"/>
        <v>0</v>
      </c>
      <c r="AS48" s="81"/>
      <c r="AT48" s="84">
        <f t="shared" si="52"/>
        <v>0</v>
      </c>
      <c r="AU48" s="85"/>
      <c r="AV48" s="84">
        <f t="shared" si="53"/>
        <v>0</v>
      </c>
      <c r="AW48" s="81"/>
      <c r="AX48" s="84">
        <f t="shared" si="54"/>
        <v>0</v>
      </c>
      <c r="AY48" s="85"/>
      <c r="AZ48" s="84">
        <f t="shared" si="55"/>
        <v>0</v>
      </c>
      <c r="BA48" s="81"/>
      <c r="BB48" s="84">
        <f t="shared" si="56"/>
        <v>0</v>
      </c>
      <c r="BC48" s="85"/>
      <c r="BD48" s="84">
        <f t="shared" si="57"/>
        <v>0</v>
      </c>
      <c r="BE48" s="85"/>
      <c r="BF48" s="84">
        <f t="shared" si="58"/>
        <v>0</v>
      </c>
      <c r="BG48" s="85"/>
      <c r="BH48" s="84">
        <f t="shared" si="59"/>
        <v>0</v>
      </c>
      <c r="BI48" s="85"/>
      <c r="BJ48" s="84">
        <f t="shared" si="60"/>
        <v>0</v>
      </c>
      <c r="BK48" s="85"/>
      <c r="BL48" s="84">
        <f t="shared" si="61"/>
        <v>0</v>
      </c>
      <c r="BM48" s="85"/>
      <c r="BN48" s="84">
        <f t="shared" si="62"/>
        <v>0</v>
      </c>
      <c r="BO48" s="81"/>
      <c r="BP48" s="214">
        <f t="shared" si="63"/>
        <v>0</v>
      </c>
    </row>
    <row r="49" spans="1:68" ht="13.9" x14ac:dyDescent="0.4">
      <c r="A49" s="427"/>
      <c r="B49" s="389" t="s">
        <v>864</v>
      </c>
      <c r="C49" s="180"/>
      <c r="D49" s="107">
        <v>61127.78</v>
      </c>
      <c r="E49" s="107">
        <f>D49</f>
        <v>61127.78</v>
      </c>
      <c r="F49" s="304"/>
      <c r="G49" s="289"/>
      <c r="H49" s="363" t="e">
        <f t="shared" si="34"/>
        <v>#DIV/0!</v>
      </c>
      <c r="I49" s="287"/>
      <c r="J49" s="313" t="e">
        <f t="shared" si="35"/>
        <v>#DIV/0!</v>
      </c>
      <c r="K49" s="287"/>
      <c r="L49" s="288" t="e">
        <f t="shared" si="36"/>
        <v>#DIV/0!</v>
      </c>
      <c r="M49" s="289"/>
      <c r="N49" s="288" t="e">
        <f t="shared" si="151"/>
        <v>#DIV/0!</v>
      </c>
      <c r="O49" s="287"/>
      <c r="P49" s="290" t="e">
        <f t="shared" si="152"/>
        <v>#DIV/0!</v>
      </c>
      <c r="Q49" s="289"/>
      <c r="R49" s="290" t="e">
        <f t="shared" si="153"/>
        <v>#DIV/0!</v>
      </c>
      <c r="S49" s="287"/>
      <c r="T49" s="290" t="e">
        <f t="shared" si="154"/>
        <v>#DIV/0!</v>
      </c>
      <c r="U49" s="287"/>
      <c r="V49" s="290" t="e">
        <f t="shared" si="155"/>
        <v>#DIV/0!</v>
      </c>
      <c r="W49" s="289"/>
      <c r="X49" s="290" t="e">
        <f t="shared" si="156"/>
        <v>#DIV/0!</v>
      </c>
      <c r="Y49" s="287"/>
      <c r="Z49" s="290" t="e">
        <f t="shared" si="157"/>
        <v>#DIV/0!</v>
      </c>
      <c r="AA49" s="289"/>
      <c r="AB49" s="290" t="e">
        <f t="shared" si="158"/>
        <v>#DIV/0!</v>
      </c>
      <c r="AC49" s="287"/>
      <c r="AD49" s="290" t="e">
        <f t="shared" si="159"/>
        <v>#DIV/0!</v>
      </c>
      <c r="AE49" s="289"/>
      <c r="AF49" s="290" t="e">
        <f t="shared" si="160"/>
        <v>#DIV/0!</v>
      </c>
      <c r="AG49" s="287"/>
      <c r="AH49" s="290" t="e">
        <f t="shared" si="161"/>
        <v>#DIV/0!</v>
      </c>
      <c r="AI49" s="289"/>
      <c r="AJ49" s="290" t="e">
        <f t="shared" si="162"/>
        <v>#DIV/0!</v>
      </c>
      <c r="AK49" s="289"/>
      <c r="AL49" s="290" t="e">
        <f t="shared" ref="AL49" si="182">AK49/F49</f>
        <v>#DIV/0!</v>
      </c>
      <c r="AM49" s="289"/>
      <c r="AN49" s="290" t="e">
        <f t="shared" si="49"/>
        <v>#DIV/0!</v>
      </c>
      <c r="AO49" s="289"/>
      <c r="AP49" s="290" t="e">
        <f t="shared" si="50"/>
        <v>#DIV/0!</v>
      </c>
      <c r="AQ49" s="323" t="e">
        <f t="shared" ref="AQ49" si="183">L49+N49+P49+R49+T49+V49+X49+Z49+AB49+AD49+H49+J49+AJ49+AF49+AH49+AN49+AP49+AL49</f>
        <v>#DIV/0!</v>
      </c>
      <c r="AR49" s="81">
        <f t="shared" si="51"/>
        <v>0</v>
      </c>
      <c r="AS49" s="81"/>
      <c r="AT49" s="84">
        <f t="shared" si="52"/>
        <v>0</v>
      </c>
      <c r="AU49" s="85"/>
      <c r="AV49" s="84">
        <f t="shared" si="53"/>
        <v>0</v>
      </c>
      <c r="AW49" s="81"/>
      <c r="AX49" s="84">
        <f t="shared" si="54"/>
        <v>0</v>
      </c>
      <c r="AY49" s="85"/>
      <c r="AZ49" s="84">
        <f t="shared" si="55"/>
        <v>0</v>
      </c>
      <c r="BA49" s="81"/>
      <c r="BB49" s="84">
        <f t="shared" si="56"/>
        <v>0</v>
      </c>
      <c r="BC49" s="85"/>
      <c r="BD49" s="84">
        <f t="shared" si="57"/>
        <v>0</v>
      </c>
      <c r="BE49" s="85"/>
      <c r="BF49" s="84">
        <f t="shared" si="58"/>
        <v>0</v>
      </c>
      <c r="BG49" s="85"/>
      <c r="BH49" s="84">
        <f t="shared" si="59"/>
        <v>0</v>
      </c>
      <c r="BI49" s="85"/>
      <c r="BJ49" s="84">
        <f t="shared" si="60"/>
        <v>0</v>
      </c>
      <c r="BK49" s="85"/>
      <c r="BL49" s="84">
        <f t="shared" si="61"/>
        <v>0</v>
      </c>
      <c r="BM49" s="85"/>
      <c r="BN49" s="84">
        <f t="shared" si="62"/>
        <v>0</v>
      </c>
      <c r="BO49" s="81"/>
      <c r="BP49" s="214">
        <f t="shared" si="63"/>
        <v>0</v>
      </c>
    </row>
    <row r="50" spans="1:68" ht="13.9" x14ac:dyDescent="0.4">
      <c r="A50" s="427"/>
      <c r="B50" s="389" t="s">
        <v>862</v>
      </c>
      <c r="C50" s="180"/>
      <c r="D50" s="83">
        <f>50254.11-4543.34</f>
        <v>45710.770000000004</v>
      </c>
      <c r="E50" s="142"/>
      <c r="F50" s="304">
        <f>D50</f>
        <v>45710.770000000004</v>
      </c>
      <c r="G50" s="289">
        <v>1800</v>
      </c>
      <c r="H50" s="363">
        <f>G50/F50</f>
        <v>3.9378028416497901E-2</v>
      </c>
      <c r="I50" s="287">
        <v>2750.21</v>
      </c>
      <c r="J50" s="313">
        <f>I50/F50</f>
        <v>6.0165470850742607E-2</v>
      </c>
      <c r="K50" s="287">
        <v>6730.78</v>
      </c>
      <c r="L50" s="288">
        <f>K50/F50</f>
        <v>0.14724713672510875</v>
      </c>
      <c r="M50" s="289">
        <f>2883.81+1680</f>
        <v>4563.8099999999995</v>
      </c>
      <c r="N50" s="288">
        <f t="shared" si="151"/>
        <v>9.9841022148609598E-2</v>
      </c>
      <c r="O50" s="287">
        <v>4489.92</v>
      </c>
      <c r="P50" s="290">
        <f t="shared" si="152"/>
        <v>9.8224554082112364E-2</v>
      </c>
      <c r="Q50" s="289"/>
      <c r="R50" s="290">
        <f t="shared" si="153"/>
        <v>0</v>
      </c>
      <c r="S50" s="287">
        <v>3468.85</v>
      </c>
      <c r="T50" s="290">
        <f t="shared" si="154"/>
        <v>7.5886929929204858E-2</v>
      </c>
      <c r="U50" s="287">
        <v>4064.19</v>
      </c>
      <c r="V50" s="290">
        <f t="shared" si="155"/>
        <v>8.8910994061137005E-2</v>
      </c>
      <c r="W50" s="289">
        <f>7041.64+832.56</f>
        <v>7874.2000000000007</v>
      </c>
      <c r="X50" s="290">
        <f t="shared" si="156"/>
        <v>0.17226137297621547</v>
      </c>
      <c r="Y50" s="287"/>
      <c r="Z50" s="290">
        <f t="shared" si="157"/>
        <v>0</v>
      </c>
      <c r="AA50" s="289"/>
      <c r="AB50" s="290">
        <f t="shared" si="158"/>
        <v>0</v>
      </c>
      <c r="AC50" s="287"/>
      <c r="AD50" s="290">
        <f t="shared" si="159"/>
        <v>0</v>
      </c>
      <c r="AE50" s="289">
        <v>1727.37</v>
      </c>
      <c r="AF50" s="290">
        <f t="shared" si="160"/>
        <v>3.7789124969892209E-2</v>
      </c>
      <c r="AG50" s="287">
        <v>203.11</v>
      </c>
      <c r="AH50" s="290">
        <f t="shared" si="161"/>
        <v>4.4433729731527165E-3</v>
      </c>
      <c r="AI50" s="289">
        <v>5569.57</v>
      </c>
      <c r="AJ50" s="290">
        <f t="shared" si="162"/>
        <v>0.12184371429315234</v>
      </c>
      <c r="AK50" s="289"/>
      <c r="AL50" s="290">
        <f>AK50/F50</f>
        <v>0</v>
      </c>
      <c r="AM50" s="289"/>
      <c r="AN50" s="290">
        <f>AM50/F50</f>
        <v>0</v>
      </c>
      <c r="AO50" s="289">
        <v>2468.7800000000002</v>
      </c>
      <c r="AP50" s="290">
        <f>AO50/F50</f>
        <v>5.4008716107823165E-2</v>
      </c>
      <c r="AQ50" s="323">
        <f t="shared" ref="AQ50" si="184">L50+N50+P50+R50+T50+V50+X50+Z50+AB50+AD50+H50+J50+AJ50+AF50+AH50+AN50+AP50+AL50</f>
        <v>1.0000004375336489</v>
      </c>
      <c r="AR50" s="81">
        <v>0</v>
      </c>
      <c r="AS50" s="81"/>
      <c r="AT50" s="84">
        <v>0</v>
      </c>
      <c r="AU50" s="85"/>
      <c r="AV50" s="84">
        <v>0</v>
      </c>
      <c r="AW50" s="81"/>
      <c r="AX50" s="84">
        <v>0</v>
      </c>
      <c r="AY50" s="85"/>
      <c r="AZ50" s="84">
        <v>0</v>
      </c>
      <c r="BA50" s="81"/>
      <c r="BB50" s="84">
        <v>0</v>
      </c>
      <c r="BC50" s="85"/>
      <c r="BD50" s="84">
        <v>0</v>
      </c>
      <c r="BE50" s="85"/>
      <c r="BF50" s="84">
        <v>0</v>
      </c>
      <c r="BG50" s="85"/>
      <c r="BH50" s="84">
        <v>0</v>
      </c>
      <c r="BI50" s="85"/>
      <c r="BJ50" s="84">
        <v>8000</v>
      </c>
      <c r="BK50" s="85"/>
      <c r="BL50" s="84">
        <v>5000</v>
      </c>
      <c r="BM50" s="85"/>
      <c r="BN50" s="84">
        <f>F50-AR50-AT50-AV50-AX50-AZ50-BB50-BD50-BF50-BH50-BJ50-BL50</f>
        <v>32710.770000000004</v>
      </c>
      <c r="BO50" s="81"/>
      <c r="BP50" s="214">
        <f>F50-AR50-AT50-AV50-AX50-AZ50-BB50-BD50-BF50-BH50-BJ50-BL50-BN50</f>
        <v>0</v>
      </c>
    </row>
    <row r="51" spans="1:68" ht="13.9" x14ac:dyDescent="0.4">
      <c r="A51" s="427"/>
      <c r="B51" s="389" t="s">
        <v>860</v>
      </c>
      <c r="C51" s="180"/>
      <c r="D51" s="83">
        <v>92232.69</v>
      </c>
      <c r="E51" s="142"/>
      <c r="F51" s="304"/>
      <c r="G51" s="289"/>
      <c r="H51" s="363" t="e">
        <f t="shared" si="34"/>
        <v>#DIV/0!</v>
      </c>
      <c r="I51" s="287"/>
      <c r="J51" s="313" t="e">
        <f t="shared" si="35"/>
        <v>#DIV/0!</v>
      </c>
      <c r="K51" s="287"/>
      <c r="L51" s="288" t="e">
        <f t="shared" si="36"/>
        <v>#DIV/0!</v>
      </c>
      <c r="M51" s="289"/>
      <c r="N51" s="288" t="e">
        <f t="shared" si="151"/>
        <v>#DIV/0!</v>
      </c>
      <c r="O51" s="287"/>
      <c r="P51" s="290" t="e">
        <f t="shared" si="152"/>
        <v>#DIV/0!</v>
      </c>
      <c r="Q51" s="289"/>
      <c r="R51" s="290" t="e">
        <f t="shared" si="153"/>
        <v>#DIV/0!</v>
      </c>
      <c r="S51" s="287"/>
      <c r="T51" s="290" t="e">
        <f t="shared" si="154"/>
        <v>#DIV/0!</v>
      </c>
      <c r="U51" s="287"/>
      <c r="V51" s="290" t="e">
        <f t="shared" si="155"/>
        <v>#DIV/0!</v>
      </c>
      <c r="W51" s="289"/>
      <c r="X51" s="290" t="e">
        <f t="shared" si="156"/>
        <v>#DIV/0!</v>
      </c>
      <c r="Y51" s="287"/>
      <c r="Z51" s="290" t="e">
        <f t="shared" si="157"/>
        <v>#DIV/0!</v>
      </c>
      <c r="AA51" s="289"/>
      <c r="AB51" s="290" t="e">
        <f t="shared" si="158"/>
        <v>#DIV/0!</v>
      </c>
      <c r="AC51" s="287"/>
      <c r="AD51" s="290" t="e">
        <f t="shared" si="159"/>
        <v>#DIV/0!</v>
      </c>
      <c r="AE51" s="289"/>
      <c r="AF51" s="290" t="e">
        <f t="shared" si="160"/>
        <v>#DIV/0!</v>
      </c>
      <c r="AG51" s="287"/>
      <c r="AH51" s="290" t="e">
        <f t="shared" si="161"/>
        <v>#DIV/0!</v>
      </c>
      <c r="AI51" s="289"/>
      <c r="AJ51" s="290" t="e">
        <f t="shared" si="162"/>
        <v>#DIV/0!</v>
      </c>
      <c r="AK51" s="289"/>
      <c r="AL51" s="290" t="e">
        <f t="shared" ref="AL51" si="185">AK51/F51</f>
        <v>#DIV/0!</v>
      </c>
      <c r="AM51" s="289"/>
      <c r="AN51" s="290" t="e">
        <f t="shared" si="49"/>
        <v>#DIV/0!</v>
      </c>
      <c r="AO51" s="289"/>
      <c r="AP51" s="290" t="e">
        <f t="shared" si="50"/>
        <v>#DIV/0!</v>
      </c>
      <c r="AQ51" s="323" t="e">
        <f t="shared" ref="AQ51" si="186">L51+N51+P51+R51+T51+V51+X51+Z51+AB51+AD51+H51+J51+AJ51+AF51+AH51+AN51+AP51+AL51</f>
        <v>#DIV/0!</v>
      </c>
      <c r="AR51" s="81">
        <f t="shared" si="51"/>
        <v>0</v>
      </c>
      <c r="AS51" s="81"/>
      <c r="AT51" s="84">
        <f t="shared" si="52"/>
        <v>0</v>
      </c>
      <c r="AU51" s="85"/>
      <c r="AV51" s="84">
        <f t="shared" si="53"/>
        <v>0</v>
      </c>
      <c r="AW51" s="81"/>
      <c r="AX51" s="84">
        <f t="shared" si="54"/>
        <v>0</v>
      </c>
      <c r="AY51" s="85"/>
      <c r="AZ51" s="84">
        <f t="shared" si="55"/>
        <v>0</v>
      </c>
      <c r="BA51" s="81"/>
      <c r="BB51" s="84">
        <f t="shared" si="56"/>
        <v>0</v>
      </c>
      <c r="BC51" s="85"/>
      <c r="BD51" s="84">
        <f t="shared" si="57"/>
        <v>0</v>
      </c>
      <c r="BE51" s="85"/>
      <c r="BF51" s="84">
        <f t="shared" si="58"/>
        <v>0</v>
      </c>
      <c r="BG51" s="85"/>
      <c r="BH51" s="84">
        <f t="shared" si="59"/>
        <v>0</v>
      </c>
      <c r="BI51" s="85"/>
      <c r="BJ51" s="84">
        <f t="shared" si="60"/>
        <v>0</v>
      </c>
      <c r="BK51" s="85"/>
      <c r="BL51" s="84">
        <f t="shared" si="61"/>
        <v>0</v>
      </c>
      <c r="BM51" s="85"/>
      <c r="BN51" s="84">
        <f t="shared" si="62"/>
        <v>0</v>
      </c>
      <c r="BO51" s="81"/>
      <c r="BP51" s="214">
        <f t="shared" si="63"/>
        <v>0</v>
      </c>
    </row>
    <row r="52" spans="1:68" ht="13.9" x14ac:dyDescent="0.4">
      <c r="A52" s="427"/>
      <c r="B52" s="389" t="s">
        <v>857</v>
      </c>
      <c r="C52" s="180"/>
      <c r="D52" s="83">
        <v>32718.45</v>
      </c>
      <c r="E52" s="142">
        <v>32718</v>
      </c>
      <c r="F52" s="304"/>
      <c r="G52" s="289"/>
      <c r="H52" s="363" t="e">
        <f t="shared" si="34"/>
        <v>#DIV/0!</v>
      </c>
      <c r="I52" s="287"/>
      <c r="J52" s="313" t="e">
        <f t="shared" si="35"/>
        <v>#DIV/0!</v>
      </c>
      <c r="K52" s="287"/>
      <c r="L52" s="288" t="e">
        <f t="shared" si="36"/>
        <v>#DIV/0!</v>
      </c>
      <c r="M52" s="289"/>
      <c r="N52" s="288" t="e">
        <f t="shared" ref="N52:N57" si="187">M52/F52</f>
        <v>#DIV/0!</v>
      </c>
      <c r="O52" s="287"/>
      <c r="P52" s="290" t="e">
        <f t="shared" ref="P52:P57" si="188">O52/F52</f>
        <v>#DIV/0!</v>
      </c>
      <c r="Q52" s="289"/>
      <c r="R52" s="290" t="e">
        <f t="shared" ref="R52:R57" si="189">Q52/F52</f>
        <v>#DIV/0!</v>
      </c>
      <c r="S52" s="287"/>
      <c r="T52" s="290" t="e">
        <f t="shared" ref="T52:T57" si="190">S52/F52</f>
        <v>#DIV/0!</v>
      </c>
      <c r="U52" s="287"/>
      <c r="V52" s="290" t="e">
        <f t="shared" ref="V52:V57" si="191">U52/F52</f>
        <v>#DIV/0!</v>
      </c>
      <c r="W52" s="289"/>
      <c r="X52" s="290" t="e">
        <f t="shared" ref="X52:X57" si="192">W52/F52</f>
        <v>#DIV/0!</v>
      </c>
      <c r="Y52" s="287"/>
      <c r="Z52" s="290" t="e">
        <f t="shared" ref="Z52:Z57" si="193">Y52/F52</f>
        <v>#DIV/0!</v>
      </c>
      <c r="AA52" s="289"/>
      <c r="AB52" s="290" t="e">
        <f t="shared" ref="AB52:AB57" si="194">AA52/F52</f>
        <v>#DIV/0!</v>
      </c>
      <c r="AC52" s="287"/>
      <c r="AD52" s="290" t="e">
        <f t="shared" ref="AD52:AD57" si="195">AC52/F52</f>
        <v>#DIV/0!</v>
      </c>
      <c r="AE52" s="289"/>
      <c r="AF52" s="290" t="e">
        <f t="shared" ref="AF52:AF57" si="196">AE52/F52</f>
        <v>#DIV/0!</v>
      </c>
      <c r="AG52" s="287"/>
      <c r="AH52" s="290" t="e">
        <f t="shared" ref="AH52:AH57" si="197">AG52/F52</f>
        <v>#DIV/0!</v>
      </c>
      <c r="AI52" s="289"/>
      <c r="AJ52" s="290" t="e">
        <f t="shared" ref="AJ52:AJ57" si="198">AI52/F52</f>
        <v>#DIV/0!</v>
      </c>
      <c r="AK52" s="289"/>
      <c r="AL52" s="290" t="e">
        <f t="shared" ref="AL52" si="199">AK52/F52</f>
        <v>#DIV/0!</v>
      </c>
      <c r="AM52" s="289"/>
      <c r="AN52" s="290" t="e">
        <f t="shared" si="49"/>
        <v>#DIV/0!</v>
      </c>
      <c r="AO52" s="289"/>
      <c r="AP52" s="290" t="e">
        <f t="shared" si="50"/>
        <v>#DIV/0!</v>
      </c>
      <c r="AQ52" s="323" t="e">
        <f t="shared" ref="AQ52" si="200">L52+N52+P52+R52+T52+V52+X52+Z52+AB52+AD52+H52+J52+AJ52+AF52+AH52+AN52+AP52+AL52</f>
        <v>#DIV/0!</v>
      </c>
      <c r="AR52" s="81">
        <f t="shared" si="51"/>
        <v>0</v>
      </c>
      <c r="AS52" s="81"/>
      <c r="AT52" s="84">
        <f t="shared" si="52"/>
        <v>0</v>
      </c>
      <c r="AU52" s="85"/>
      <c r="AV52" s="84">
        <f t="shared" si="53"/>
        <v>0</v>
      </c>
      <c r="AW52" s="81"/>
      <c r="AX52" s="84">
        <f t="shared" si="54"/>
        <v>0</v>
      </c>
      <c r="AY52" s="85"/>
      <c r="AZ52" s="84">
        <f t="shared" si="55"/>
        <v>0</v>
      </c>
      <c r="BA52" s="81"/>
      <c r="BB52" s="84">
        <f t="shared" si="56"/>
        <v>0</v>
      </c>
      <c r="BC52" s="85"/>
      <c r="BD52" s="84">
        <f t="shared" si="57"/>
        <v>0</v>
      </c>
      <c r="BE52" s="85"/>
      <c r="BF52" s="84">
        <f t="shared" si="58"/>
        <v>0</v>
      </c>
      <c r="BG52" s="85"/>
      <c r="BH52" s="84">
        <f t="shared" si="59"/>
        <v>0</v>
      </c>
      <c r="BI52" s="85"/>
      <c r="BJ52" s="84">
        <f t="shared" si="60"/>
        <v>0</v>
      </c>
      <c r="BK52" s="85"/>
      <c r="BL52" s="84">
        <f t="shared" si="61"/>
        <v>0</v>
      </c>
      <c r="BM52" s="85"/>
      <c r="BN52" s="84">
        <f t="shared" si="62"/>
        <v>0</v>
      </c>
      <c r="BO52" s="81"/>
      <c r="BP52" s="214">
        <f t="shared" si="63"/>
        <v>0</v>
      </c>
    </row>
    <row r="53" spans="1:68" s="188" customFormat="1" ht="13.9" x14ac:dyDescent="0.4">
      <c r="A53" s="100"/>
      <c r="B53" s="389" t="s">
        <v>852</v>
      </c>
      <c r="C53" s="172"/>
      <c r="D53" s="105">
        <v>142549.41</v>
      </c>
      <c r="E53" s="409"/>
      <c r="F53" s="410"/>
      <c r="G53" s="411"/>
      <c r="H53" s="363" t="e">
        <f t="shared" si="34"/>
        <v>#DIV/0!</v>
      </c>
      <c r="I53" s="287"/>
      <c r="J53" s="313" t="e">
        <f t="shared" si="35"/>
        <v>#DIV/0!</v>
      </c>
      <c r="K53" s="287"/>
      <c r="L53" s="288" t="e">
        <f t="shared" si="36"/>
        <v>#DIV/0!</v>
      </c>
      <c r="M53" s="289"/>
      <c r="N53" s="288" t="e">
        <f t="shared" si="187"/>
        <v>#DIV/0!</v>
      </c>
      <c r="O53" s="287"/>
      <c r="P53" s="290" t="e">
        <f t="shared" si="188"/>
        <v>#DIV/0!</v>
      </c>
      <c r="Q53" s="289"/>
      <c r="R53" s="290" t="e">
        <f t="shared" si="189"/>
        <v>#DIV/0!</v>
      </c>
      <c r="S53" s="287"/>
      <c r="T53" s="290" t="e">
        <f t="shared" si="190"/>
        <v>#DIV/0!</v>
      </c>
      <c r="U53" s="287"/>
      <c r="V53" s="290" t="e">
        <f t="shared" si="191"/>
        <v>#DIV/0!</v>
      </c>
      <c r="W53" s="289"/>
      <c r="X53" s="290" t="e">
        <f t="shared" si="192"/>
        <v>#DIV/0!</v>
      </c>
      <c r="Y53" s="287"/>
      <c r="Z53" s="290" t="e">
        <f t="shared" si="193"/>
        <v>#DIV/0!</v>
      </c>
      <c r="AA53" s="289"/>
      <c r="AB53" s="290" t="e">
        <f t="shared" si="194"/>
        <v>#DIV/0!</v>
      </c>
      <c r="AC53" s="287"/>
      <c r="AD53" s="290" t="e">
        <f t="shared" si="195"/>
        <v>#DIV/0!</v>
      </c>
      <c r="AE53" s="289"/>
      <c r="AF53" s="290" t="e">
        <f t="shared" si="196"/>
        <v>#DIV/0!</v>
      </c>
      <c r="AG53" s="287"/>
      <c r="AH53" s="290" t="e">
        <f t="shared" si="197"/>
        <v>#DIV/0!</v>
      </c>
      <c r="AI53" s="289"/>
      <c r="AJ53" s="290" t="e">
        <f t="shared" si="198"/>
        <v>#DIV/0!</v>
      </c>
      <c r="AK53" s="289"/>
      <c r="AL53" s="290" t="e">
        <f t="shared" ref="AL53" si="201">AK53/F53</f>
        <v>#DIV/0!</v>
      </c>
      <c r="AM53" s="289"/>
      <c r="AN53" s="290" t="e">
        <f t="shared" si="49"/>
        <v>#DIV/0!</v>
      </c>
      <c r="AO53" s="289"/>
      <c r="AP53" s="290" t="e">
        <f t="shared" si="50"/>
        <v>#DIV/0!</v>
      </c>
      <c r="AQ53" s="323" t="e">
        <f t="shared" ref="AQ53" si="202">L53+N53+P53+R53+T53+V53+X53+Z53+AB53+AD53+H53+J53+AJ53+AF53+AH53+AN53+AP53+AL53</f>
        <v>#DIV/0!</v>
      </c>
      <c r="AR53" s="412">
        <f t="shared" si="51"/>
        <v>0</v>
      </c>
      <c r="AS53" s="412"/>
      <c r="AT53" s="413">
        <f t="shared" si="52"/>
        <v>0</v>
      </c>
      <c r="AU53" s="414"/>
      <c r="AV53" s="413">
        <f t="shared" si="53"/>
        <v>0</v>
      </c>
      <c r="AW53" s="412"/>
      <c r="AX53" s="413">
        <f t="shared" si="54"/>
        <v>0</v>
      </c>
      <c r="AY53" s="414"/>
      <c r="AZ53" s="413">
        <f t="shared" si="55"/>
        <v>0</v>
      </c>
      <c r="BA53" s="412"/>
      <c r="BB53" s="413">
        <f t="shared" si="56"/>
        <v>0</v>
      </c>
      <c r="BC53" s="414"/>
      <c r="BD53" s="413">
        <f t="shared" si="57"/>
        <v>0</v>
      </c>
      <c r="BE53" s="414"/>
      <c r="BF53" s="413">
        <f t="shared" si="58"/>
        <v>0</v>
      </c>
      <c r="BG53" s="414"/>
      <c r="BH53" s="413">
        <f t="shared" si="59"/>
        <v>0</v>
      </c>
      <c r="BI53" s="414"/>
      <c r="BJ53" s="413">
        <f t="shared" si="60"/>
        <v>0</v>
      </c>
      <c r="BK53" s="414"/>
      <c r="BL53" s="413">
        <f t="shared" si="61"/>
        <v>0</v>
      </c>
      <c r="BM53" s="414"/>
      <c r="BN53" s="413">
        <f t="shared" si="62"/>
        <v>0</v>
      </c>
      <c r="BO53" s="412"/>
      <c r="BP53" s="415">
        <f t="shared" si="63"/>
        <v>0</v>
      </c>
    </row>
    <row r="54" spans="1:68" ht="13.9" x14ac:dyDescent="0.4">
      <c r="A54" s="427"/>
      <c r="B54" s="389" t="s">
        <v>850</v>
      </c>
      <c r="C54" s="180"/>
      <c r="D54" s="83">
        <v>76547.95</v>
      </c>
      <c r="E54" s="142"/>
      <c r="F54" s="304"/>
      <c r="G54" s="289"/>
      <c r="H54" s="363" t="e">
        <f t="shared" si="34"/>
        <v>#DIV/0!</v>
      </c>
      <c r="I54" s="287"/>
      <c r="J54" s="313" t="e">
        <f t="shared" si="35"/>
        <v>#DIV/0!</v>
      </c>
      <c r="K54" s="287"/>
      <c r="L54" s="288" t="e">
        <f t="shared" si="36"/>
        <v>#DIV/0!</v>
      </c>
      <c r="M54" s="289"/>
      <c r="N54" s="288" t="e">
        <f t="shared" si="187"/>
        <v>#DIV/0!</v>
      </c>
      <c r="O54" s="287"/>
      <c r="P54" s="290" t="e">
        <f t="shared" si="188"/>
        <v>#DIV/0!</v>
      </c>
      <c r="Q54" s="289"/>
      <c r="R54" s="290" t="e">
        <f t="shared" si="189"/>
        <v>#DIV/0!</v>
      </c>
      <c r="S54" s="287"/>
      <c r="T54" s="290" t="e">
        <f t="shared" si="190"/>
        <v>#DIV/0!</v>
      </c>
      <c r="U54" s="287"/>
      <c r="V54" s="290" t="e">
        <f t="shared" si="191"/>
        <v>#DIV/0!</v>
      </c>
      <c r="W54" s="289"/>
      <c r="X54" s="290" t="e">
        <f t="shared" si="192"/>
        <v>#DIV/0!</v>
      </c>
      <c r="Y54" s="287"/>
      <c r="Z54" s="290" t="e">
        <f t="shared" si="193"/>
        <v>#DIV/0!</v>
      </c>
      <c r="AA54" s="289"/>
      <c r="AB54" s="290" t="e">
        <f t="shared" si="194"/>
        <v>#DIV/0!</v>
      </c>
      <c r="AC54" s="287"/>
      <c r="AD54" s="290" t="e">
        <f t="shared" si="195"/>
        <v>#DIV/0!</v>
      </c>
      <c r="AE54" s="289"/>
      <c r="AF54" s="290" t="e">
        <f t="shared" si="196"/>
        <v>#DIV/0!</v>
      </c>
      <c r="AG54" s="287"/>
      <c r="AH54" s="290" t="e">
        <f t="shared" si="197"/>
        <v>#DIV/0!</v>
      </c>
      <c r="AI54" s="289"/>
      <c r="AJ54" s="290" t="e">
        <f t="shared" si="198"/>
        <v>#DIV/0!</v>
      </c>
      <c r="AK54" s="289"/>
      <c r="AL54" s="290" t="e">
        <f t="shared" ref="AL54" si="203">AK54/F54</f>
        <v>#DIV/0!</v>
      </c>
      <c r="AM54" s="289"/>
      <c r="AN54" s="290" t="e">
        <f t="shared" si="49"/>
        <v>#DIV/0!</v>
      </c>
      <c r="AO54" s="289"/>
      <c r="AP54" s="290" t="e">
        <f t="shared" si="50"/>
        <v>#DIV/0!</v>
      </c>
      <c r="AQ54" s="323" t="e">
        <f t="shared" ref="AQ54" si="204">L54+N54+P54+R54+T54+V54+X54+Z54+AB54+AD54+H54+J54+AJ54+AF54+AH54+AN54+AP54+AL54</f>
        <v>#DIV/0!</v>
      </c>
      <c r="AR54" s="81">
        <f t="shared" si="51"/>
        <v>0</v>
      </c>
      <c r="AS54" s="81"/>
      <c r="AT54" s="84">
        <f t="shared" si="52"/>
        <v>0</v>
      </c>
      <c r="AU54" s="85"/>
      <c r="AV54" s="84">
        <f t="shared" si="53"/>
        <v>0</v>
      </c>
      <c r="AW54" s="81"/>
      <c r="AX54" s="84">
        <f t="shared" si="54"/>
        <v>0</v>
      </c>
      <c r="AY54" s="85"/>
      <c r="AZ54" s="84">
        <f t="shared" si="55"/>
        <v>0</v>
      </c>
      <c r="BA54" s="81"/>
      <c r="BB54" s="84">
        <f t="shared" si="56"/>
        <v>0</v>
      </c>
      <c r="BC54" s="85"/>
      <c r="BD54" s="84">
        <f t="shared" si="57"/>
        <v>0</v>
      </c>
      <c r="BE54" s="85"/>
      <c r="BF54" s="84">
        <f t="shared" si="58"/>
        <v>0</v>
      </c>
      <c r="BG54" s="85"/>
      <c r="BH54" s="84">
        <f t="shared" si="59"/>
        <v>0</v>
      </c>
      <c r="BI54" s="85"/>
      <c r="BJ54" s="84">
        <f t="shared" si="60"/>
        <v>0</v>
      </c>
      <c r="BK54" s="85"/>
      <c r="BL54" s="84">
        <f t="shared" si="61"/>
        <v>0</v>
      </c>
      <c r="BM54" s="85"/>
      <c r="BN54" s="84">
        <f t="shared" si="62"/>
        <v>0</v>
      </c>
      <c r="BO54" s="81"/>
      <c r="BP54" s="214">
        <f t="shared" si="63"/>
        <v>0</v>
      </c>
    </row>
    <row r="55" spans="1:68" ht="13.9" x14ac:dyDescent="0.4">
      <c r="A55" s="427"/>
      <c r="B55" s="389" t="s">
        <v>834</v>
      </c>
      <c r="C55" s="180"/>
      <c r="D55" s="83">
        <f>29182.48</f>
        <v>29182.48</v>
      </c>
      <c r="E55" s="142"/>
      <c r="F55" s="304">
        <f>D55</f>
        <v>29182.48</v>
      </c>
      <c r="G55" s="289">
        <v>1800</v>
      </c>
      <c r="H55" s="363">
        <f t="shared" si="34"/>
        <v>6.1680844122912103E-2</v>
      </c>
      <c r="I55" s="287">
        <v>2750.21</v>
      </c>
      <c r="J55" s="313">
        <f t="shared" si="35"/>
        <v>9.4241819064041166E-2</v>
      </c>
      <c r="K55" s="287">
        <v>3446.57</v>
      </c>
      <c r="L55" s="288">
        <f t="shared" si="36"/>
        <v>0.11810408162705843</v>
      </c>
      <c r="M55" s="289">
        <v>1909.47</v>
      </c>
      <c r="N55" s="288">
        <f t="shared" si="187"/>
        <v>6.5432067459653881E-2</v>
      </c>
      <c r="O55" s="287">
        <v>2240.61</v>
      </c>
      <c r="P55" s="290">
        <f t="shared" si="188"/>
        <v>7.6779286750132278E-2</v>
      </c>
      <c r="Q55" s="289">
        <f>4407.26+1200.25</f>
        <v>5607.51</v>
      </c>
      <c r="R55" s="290">
        <f t="shared" si="189"/>
        <v>0.19215330568203937</v>
      </c>
      <c r="S55" s="287"/>
      <c r="T55" s="290">
        <f t="shared" si="190"/>
        <v>0</v>
      </c>
      <c r="U55" s="287">
        <f>1149.34+657.57</f>
        <v>1806.9099999999999</v>
      </c>
      <c r="V55" s="290">
        <f t="shared" si="191"/>
        <v>6.1917630030072834E-2</v>
      </c>
      <c r="W55" s="289">
        <f>5269.08+1075.86</f>
        <v>6344.94</v>
      </c>
      <c r="X55" s="290">
        <f t="shared" si="192"/>
        <v>0.21742291950512774</v>
      </c>
      <c r="Y55" s="287"/>
      <c r="Z55" s="290">
        <f t="shared" si="193"/>
        <v>0</v>
      </c>
      <c r="AA55" s="289"/>
      <c r="AB55" s="290">
        <f t="shared" si="194"/>
        <v>0</v>
      </c>
      <c r="AC55" s="287"/>
      <c r="AD55" s="290">
        <f t="shared" si="195"/>
        <v>0</v>
      </c>
      <c r="AE55" s="289"/>
      <c r="AF55" s="290">
        <f t="shared" si="196"/>
        <v>0</v>
      </c>
      <c r="AG55" s="287"/>
      <c r="AH55" s="290">
        <f t="shared" si="197"/>
        <v>0</v>
      </c>
      <c r="AI55" s="289">
        <v>3276.26</v>
      </c>
      <c r="AJ55" s="290">
        <f t="shared" si="198"/>
        <v>0.11226804575896224</v>
      </c>
      <c r="AK55" s="289"/>
      <c r="AL55" s="290">
        <f t="shared" ref="AL55" si="205">AK55/F55</f>
        <v>0</v>
      </c>
      <c r="AM55" s="289"/>
      <c r="AN55" s="290">
        <f t="shared" si="49"/>
        <v>0</v>
      </c>
      <c r="AO55" s="289"/>
      <c r="AP55" s="290">
        <f t="shared" si="50"/>
        <v>0</v>
      </c>
      <c r="AQ55" s="323">
        <f t="shared" ref="AQ55" si="206">L55+N55+P55+R55+T55+V55+X55+Z55+AB55+AD55+H55+J55+AJ55+AF55+AH55+AN55+AP55+AL55</f>
        <v>0.99999999999999989</v>
      </c>
      <c r="AR55" s="81">
        <v>0</v>
      </c>
      <c r="AS55" s="81"/>
      <c r="AT55" s="84">
        <v>0</v>
      </c>
      <c r="AU55" s="85"/>
      <c r="AV55" s="84">
        <v>0</v>
      </c>
      <c r="AW55" s="81"/>
      <c r="AX55" s="84">
        <v>0</v>
      </c>
      <c r="AY55" s="85"/>
      <c r="AZ55" s="84">
        <v>0</v>
      </c>
      <c r="BA55" s="81"/>
      <c r="BB55" s="84">
        <v>0</v>
      </c>
      <c r="BC55" s="85"/>
      <c r="BD55" s="84">
        <v>0</v>
      </c>
      <c r="BE55" s="85"/>
      <c r="BF55" s="84">
        <v>5000</v>
      </c>
      <c r="BG55" s="85"/>
      <c r="BH55" s="84">
        <v>17000</v>
      </c>
      <c r="BI55" s="85"/>
      <c r="BJ55" s="84">
        <f t="shared" si="60"/>
        <v>7182.48</v>
      </c>
      <c r="BK55" s="85"/>
      <c r="BL55" s="84">
        <f t="shared" si="61"/>
        <v>0</v>
      </c>
      <c r="BM55" s="85"/>
      <c r="BN55" s="84">
        <f t="shared" si="62"/>
        <v>0</v>
      </c>
      <c r="BO55" s="81"/>
      <c r="BP55" s="214">
        <f t="shared" si="63"/>
        <v>0</v>
      </c>
    </row>
    <row r="56" spans="1:68" ht="13.9" x14ac:dyDescent="0.4">
      <c r="A56" s="427"/>
      <c r="B56" s="389" t="s">
        <v>869</v>
      </c>
      <c r="C56" s="180"/>
      <c r="D56" s="83">
        <f>50861.76+6720.14</f>
        <v>57581.9</v>
      </c>
      <c r="E56" s="142"/>
      <c r="F56" s="304">
        <f>D56</f>
        <v>57581.9</v>
      </c>
      <c r="G56" s="289">
        <f>1800+2500</f>
        <v>4300</v>
      </c>
      <c r="H56" s="363">
        <f>G56/F56</f>
        <v>7.467624375020622E-2</v>
      </c>
      <c r="I56" s="287"/>
      <c r="J56" s="313">
        <f>I56/F56</f>
        <v>0</v>
      </c>
      <c r="K56" s="287">
        <v>10354.74</v>
      </c>
      <c r="L56" s="288">
        <f>K56/F56</f>
        <v>0.17982629958372334</v>
      </c>
      <c r="M56" s="289">
        <v>4520.9799999999996</v>
      </c>
      <c r="N56" s="288">
        <f t="shared" si="187"/>
        <v>7.8513908016234257E-2</v>
      </c>
      <c r="O56" s="287">
        <f>15932.23+220.8</f>
        <v>16153.029999999999</v>
      </c>
      <c r="P56" s="290">
        <f t="shared" si="188"/>
        <v>0.28052269897311477</v>
      </c>
      <c r="Q56" s="289"/>
      <c r="R56" s="290">
        <f t="shared" si="189"/>
        <v>0</v>
      </c>
      <c r="S56" s="287">
        <v>4487.5600000000004</v>
      </c>
      <c r="T56" s="290">
        <f t="shared" si="190"/>
        <v>7.793351730318035E-2</v>
      </c>
      <c r="U56" s="287">
        <v>3372.73</v>
      </c>
      <c r="V56" s="290">
        <f t="shared" si="191"/>
        <v>5.8572745949682106E-2</v>
      </c>
      <c r="W56" s="289">
        <v>6284.61</v>
      </c>
      <c r="X56" s="290">
        <f t="shared" si="192"/>
        <v>0.10914210889185663</v>
      </c>
      <c r="Y56" s="287"/>
      <c r="Z56" s="290">
        <f t="shared" si="193"/>
        <v>0</v>
      </c>
      <c r="AA56" s="289"/>
      <c r="AB56" s="290">
        <f t="shared" si="194"/>
        <v>0</v>
      </c>
      <c r="AC56" s="287">
        <f>1855.82+3597.58</f>
        <v>5453.4</v>
      </c>
      <c r="AD56" s="290">
        <f t="shared" si="195"/>
        <v>9.4706843643575483E-2</v>
      </c>
      <c r="AE56" s="289"/>
      <c r="AF56" s="290">
        <f t="shared" si="196"/>
        <v>0</v>
      </c>
      <c r="AG56" s="287">
        <v>234.71</v>
      </c>
      <c r="AH56" s="290">
        <f t="shared" si="197"/>
        <v>4.0761072489792797E-3</v>
      </c>
      <c r="AI56" s="289"/>
      <c r="AJ56" s="290">
        <f t="shared" si="198"/>
        <v>0</v>
      </c>
      <c r="AK56" s="289"/>
      <c r="AL56" s="290">
        <f>AK56/F56</f>
        <v>0</v>
      </c>
      <c r="AM56" s="289"/>
      <c r="AN56" s="290">
        <f>AM56/F56</f>
        <v>0</v>
      </c>
      <c r="AO56" s="289"/>
      <c r="AP56" s="290">
        <f>AO56/F56</f>
        <v>0</v>
      </c>
      <c r="AQ56" s="323">
        <f t="shared" si="112"/>
        <v>0.95797047336055241</v>
      </c>
      <c r="AR56" s="81">
        <v>0</v>
      </c>
      <c r="AS56" s="81"/>
      <c r="AT56" s="84">
        <v>0</v>
      </c>
      <c r="AU56" s="85"/>
      <c r="AV56" s="84">
        <v>0</v>
      </c>
      <c r="AW56" s="81"/>
      <c r="AX56" s="230">
        <f>AY56</f>
        <v>8188.9600000000009</v>
      </c>
      <c r="AY56" s="231">
        <f>6643.77+1545.19</f>
        <v>8188.9600000000009</v>
      </c>
      <c r="AZ56" s="230">
        <f>BA56</f>
        <v>4257.16</v>
      </c>
      <c r="BA56" s="195">
        <v>4257.16</v>
      </c>
      <c r="BB56" s="230">
        <f>BC56</f>
        <v>25064.33</v>
      </c>
      <c r="BC56" s="231">
        <f>20686.95+4377.38</f>
        <v>25064.33</v>
      </c>
      <c r="BD56" s="84">
        <f>BE56</f>
        <v>13722.3</v>
      </c>
      <c r="BE56" s="435">
        <v>13722.3</v>
      </c>
      <c r="BF56" s="84">
        <f>F56-AR56-AT56-AV56-AX56-AZ56-BB56-BD56</f>
        <v>6349.1499999999978</v>
      </c>
      <c r="BG56" s="85"/>
      <c r="BH56" s="84">
        <f>F56-AR56-AT56-AV56-AX56-AZ56-BB56-BD56-BF56</f>
        <v>0</v>
      </c>
      <c r="BI56" s="85"/>
      <c r="BJ56" s="84">
        <f>F56-AR56-AT56-AV56-AX56-AZ56-BB56-BD56-BF56-BH56</f>
        <v>0</v>
      </c>
      <c r="BK56" s="85"/>
      <c r="BL56" s="84">
        <f>F56-AR56-AT56-AV56-AX56-AZ56-BB56-BD56-BF56-BH56-BJ56</f>
        <v>0</v>
      </c>
      <c r="BM56" s="85"/>
      <c r="BN56" s="84">
        <f>F56-AR56-AT56-AV56-AX56-AZ56-BB56-BD56-BF56-BH56-BJ56-BL56</f>
        <v>0</v>
      </c>
      <c r="BO56" s="81"/>
      <c r="BP56" s="214">
        <f>F56-AR56-AT56-AV56-AX56-AZ56-BB56-BD56-BF56-BH56-BJ56-BL56-BN56</f>
        <v>0</v>
      </c>
    </row>
    <row r="57" spans="1:68" ht="13.9" x14ac:dyDescent="0.4">
      <c r="A57" s="427"/>
      <c r="B57" s="389" t="s">
        <v>851</v>
      </c>
      <c r="C57" s="180"/>
      <c r="D57" s="83">
        <v>129236</v>
      </c>
      <c r="E57" s="142"/>
      <c r="F57" s="304"/>
      <c r="G57" s="289"/>
      <c r="H57" s="363" t="e">
        <f t="shared" ref="H57:H80" si="207">G57/F57</f>
        <v>#DIV/0!</v>
      </c>
      <c r="I57" s="287"/>
      <c r="J57" s="313" t="e">
        <f t="shared" si="35"/>
        <v>#DIV/0!</v>
      </c>
      <c r="K57" s="287"/>
      <c r="L57" s="288" t="e">
        <f t="shared" si="36"/>
        <v>#DIV/0!</v>
      </c>
      <c r="M57" s="289"/>
      <c r="N57" s="288" t="e">
        <f t="shared" si="187"/>
        <v>#DIV/0!</v>
      </c>
      <c r="O57" s="287"/>
      <c r="P57" s="290" t="e">
        <f t="shared" si="188"/>
        <v>#DIV/0!</v>
      </c>
      <c r="Q57" s="289"/>
      <c r="R57" s="290" t="e">
        <f t="shared" si="189"/>
        <v>#DIV/0!</v>
      </c>
      <c r="S57" s="287"/>
      <c r="T57" s="290" t="e">
        <f t="shared" si="190"/>
        <v>#DIV/0!</v>
      </c>
      <c r="U57" s="287"/>
      <c r="V57" s="290" t="e">
        <f t="shared" si="191"/>
        <v>#DIV/0!</v>
      </c>
      <c r="W57" s="289"/>
      <c r="X57" s="290" t="e">
        <f t="shared" si="192"/>
        <v>#DIV/0!</v>
      </c>
      <c r="Y57" s="287"/>
      <c r="Z57" s="290" t="e">
        <f t="shared" si="193"/>
        <v>#DIV/0!</v>
      </c>
      <c r="AA57" s="289"/>
      <c r="AB57" s="290" t="e">
        <f t="shared" si="194"/>
        <v>#DIV/0!</v>
      </c>
      <c r="AC57" s="287"/>
      <c r="AD57" s="290" t="e">
        <f t="shared" si="195"/>
        <v>#DIV/0!</v>
      </c>
      <c r="AE57" s="289"/>
      <c r="AF57" s="290" t="e">
        <f t="shared" si="196"/>
        <v>#DIV/0!</v>
      </c>
      <c r="AG57" s="287"/>
      <c r="AH57" s="290" t="e">
        <f t="shared" si="197"/>
        <v>#DIV/0!</v>
      </c>
      <c r="AI57" s="289"/>
      <c r="AJ57" s="290" t="e">
        <f t="shared" si="198"/>
        <v>#DIV/0!</v>
      </c>
      <c r="AK57" s="289"/>
      <c r="AL57" s="290" t="e">
        <f t="shared" ref="AL57" si="208">AK57/F57</f>
        <v>#DIV/0!</v>
      </c>
      <c r="AM57" s="289"/>
      <c r="AN57" s="290" t="e">
        <f t="shared" si="49"/>
        <v>#DIV/0!</v>
      </c>
      <c r="AO57" s="289"/>
      <c r="AP57" s="290" t="e">
        <f t="shared" si="50"/>
        <v>#DIV/0!</v>
      </c>
      <c r="AQ57" s="323" t="e">
        <f t="shared" ref="AQ57" si="209">L57+N57+P57+R57+T57+V57+X57+Z57+AB57+AD57+H57+J57+AJ57+AF57+AH57+AN57+AP57+AL57</f>
        <v>#DIV/0!</v>
      </c>
      <c r="AR57" s="81">
        <f t="shared" si="51"/>
        <v>0</v>
      </c>
      <c r="AS57" s="81"/>
      <c r="AT57" s="84">
        <f t="shared" si="52"/>
        <v>0</v>
      </c>
      <c r="AU57" s="85"/>
      <c r="AV57" s="84">
        <f t="shared" si="53"/>
        <v>0</v>
      </c>
      <c r="AW57" s="81"/>
      <c r="AX57" s="84">
        <f t="shared" si="54"/>
        <v>0</v>
      </c>
      <c r="AY57" s="85"/>
      <c r="AZ57" s="84">
        <f t="shared" si="55"/>
        <v>0</v>
      </c>
      <c r="BA57" s="81"/>
      <c r="BB57" s="84">
        <f t="shared" si="56"/>
        <v>0</v>
      </c>
      <c r="BC57" s="85"/>
      <c r="BD57" s="84">
        <f t="shared" si="57"/>
        <v>0</v>
      </c>
      <c r="BE57" s="85"/>
      <c r="BF57" s="84">
        <f t="shared" si="58"/>
        <v>0</v>
      </c>
      <c r="BG57" s="85"/>
      <c r="BH57" s="84">
        <f t="shared" si="59"/>
        <v>0</v>
      </c>
      <c r="BI57" s="85"/>
      <c r="BJ57" s="84">
        <f t="shared" si="60"/>
        <v>0</v>
      </c>
      <c r="BK57" s="85"/>
      <c r="BL57" s="84">
        <f t="shared" si="61"/>
        <v>0</v>
      </c>
      <c r="BM57" s="85"/>
      <c r="BN57" s="84">
        <f t="shared" si="62"/>
        <v>0</v>
      </c>
      <c r="BO57" s="81"/>
      <c r="BP57" s="214">
        <f t="shared" si="63"/>
        <v>0</v>
      </c>
    </row>
    <row r="58" spans="1:68" ht="13.9" x14ac:dyDescent="0.4">
      <c r="A58" s="427"/>
      <c r="B58" s="389" t="s">
        <v>798</v>
      </c>
      <c r="C58" s="180"/>
      <c r="D58" s="83">
        <f>68359.91-3456.08+3293.49-1215</f>
        <v>66982.320000000007</v>
      </c>
      <c r="E58" s="142"/>
      <c r="F58" s="304">
        <f>D58</f>
        <v>66982.320000000007</v>
      </c>
      <c r="G58" s="289"/>
      <c r="H58" s="363">
        <f t="shared" si="207"/>
        <v>0</v>
      </c>
      <c r="I58" s="287"/>
      <c r="J58" s="313">
        <f t="shared" si="35"/>
        <v>0</v>
      </c>
      <c r="K58" s="287"/>
      <c r="L58" s="288">
        <f t="shared" si="36"/>
        <v>0</v>
      </c>
      <c r="M58" s="289"/>
      <c r="N58" s="288">
        <f t="shared" ref="N58:N65" si="210">M58/F58</f>
        <v>0</v>
      </c>
      <c r="O58" s="287"/>
      <c r="P58" s="290">
        <f t="shared" ref="P58:P65" si="211">O58/F58</f>
        <v>0</v>
      </c>
      <c r="Q58" s="289"/>
      <c r="R58" s="290">
        <f t="shared" ref="R58:R65" si="212">Q58/F58</f>
        <v>0</v>
      </c>
      <c r="S58" s="287"/>
      <c r="T58" s="290">
        <f t="shared" ref="T58:T65" si="213">S58/F58</f>
        <v>0</v>
      </c>
      <c r="U58" s="287"/>
      <c r="V58" s="290">
        <f t="shared" ref="V58:V65" si="214">U58/F58</f>
        <v>0</v>
      </c>
      <c r="W58" s="289"/>
      <c r="X58" s="290">
        <f t="shared" ref="X58:X65" si="215">W58/F58</f>
        <v>0</v>
      </c>
      <c r="Y58" s="287"/>
      <c r="Z58" s="290">
        <f t="shared" ref="Z58:Z65" si="216">Y58/F58</f>
        <v>0</v>
      </c>
      <c r="AA58" s="289"/>
      <c r="AB58" s="290">
        <f t="shared" ref="AB58:AB65" si="217">AA58/F58</f>
        <v>0</v>
      </c>
      <c r="AC58" s="287"/>
      <c r="AD58" s="290">
        <f t="shared" ref="AD58:AD65" si="218">AC58/F58</f>
        <v>0</v>
      </c>
      <c r="AE58" s="289"/>
      <c r="AF58" s="290">
        <f t="shared" ref="AF58:AF65" si="219">AE58/F58</f>
        <v>0</v>
      </c>
      <c r="AG58" s="287"/>
      <c r="AH58" s="290">
        <f t="shared" ref="AH58:AH65" si="220">AG58/F58</f>
        <v>0</v>
      </c>
      <c r="AI58" s="289"/>
      <c r="AJ58" s="290">
        <f t="shared" ref="AJ58:AJ65" si="221">AI58/F58</f>
        <v>0</v>
      </c>
      <c r="AK58" s="289"/>
      <c r="AL58" s="290">
        <f t="shared" si="111"/>
        <v>0</v>
      </c>
      <c r="AM58" s="289"/>
      <c r="AN58" s="290">
        <f t="shared" si="49"/>
        <v>0</v>
      </c>
      <c r="AO58" s="289"/>
      <c r="AP58" s="290">
        <f t="shared" si="50"/>
        <v>0</v>
      </c>
      <c r="AQ58" s="323">
        <f t="shared" si="112"/>
        <v>0</v>
      </c>
      <c r="AR58" s="81">
        <v>0</v>
      </c>
      <c r="AS58" s="81"/>
      <c r="AT58" s="84">
        <v>0</v>
      </c>
      <c r="AU58" s="85"/>
      <c r="AV58" s="84">
        <v>0</v>
      </c>
      <c r="AW58" s="81"/>
      <c r="AX58" s="84">
        <v>0</v>
      </c>
      <c r="AY58" s="85"/>
      <c r="AZ58" s="84">
        <v>0</v>
      </c>
      <c r="BA58" s="81"/>
      <c r="BB58" s="230">
        <f>BC58</f>
        <v>33766.44</v>
      </c>
      <c r="BC58" s="231">
        <f>33766.44</f>
        <v>33766.44</v>
      </c>
      <c r="BD58" s="84">
        <v>0</v>
      </c>
      <c r="BE58" s="85"/>
      <c r="BF58" s="84">
        <f t="shared" si="58"/>
        <v>33215.880000000005</v>
      </c>
      <c r="BG58" s="85"/>
      <c r="BH58" s="84">
        <f t="shared" si="59"/>
        <v>0</v>
      </c>
      <c r="BI58" s="85"/>
      <c r="BJ58" s="84">
        <f t="shared" si="60"/>
        <v>0</v>
      </c>
      <c r="BK58" s="85"/>
      <c r="BL58" s="84">
        <f t="shared" si="61"/>
        <v>0</v>
      </c>
      <c r="BM58" s="85"/>
      <c r="BN58" s="84">
        <f t="shared" si="62"/>
        <v>0</v>
      </c>
      <c r="BO58" s="81"/>
      <c r="BP58" s="214">
        <f t="shared" si="63"/>
        <v>0</v>
      </c>
    </row>
    <row r="59" spans="1:68" ht="13.9" x14ac:dyDescent="0.4">
      <c r="A59" s="427"/>
      <c r="B59" s="389" t="s">
        <v>824</v>
      </c>
      <c r="C59" s="180"/>
      <c r="D59" s="107">
        <v>37831.449999999997</v>
      </c>
      <c r="E59" s="142"/>
      <c r="F59" s="304">
        <f>D59</f>
        <v>37831.449999999997</v>
      </c>
      <c r="G59" s="289">
        <v>4555.5600000000004</v>
      </c>
      <c r="H59" s="363">
        <f t="shared" ref="H59" si="222">G59/F59</f>
        <v>0.12041727187300515</v>
      </c>
      <c r="I59" s="287"/>
      <c r="J59" s="313">
        <f t="shared" ref="J59" si="223">I59/F59</f>
        <v>0</v>
      </c>
      <c r="K59" s="287">
        <v>5031.4799999999996</v>
      </c>
      <c r="L59" s="288">
        <f t="shared" ref="L59" si="224">K59/F59</f>
        <v>0.1329972813624643</v>
      </c>
      <c r="M59" s="289">
        <v>2756.34</v>
      </c>
      <c r="N59" s="288">
        <f t="shared" si="210"/>
        <v>7.2858428635434277E-2</v>
      </c>
      <c r="O59" s="287">
        <f>7188.84+277.52</f>
        <v>7466.3600000000006</v>
      </c>
      <c r="P59" s="290">
        <f t="shared" si="211"/>
        <v>0.19735854692326096</v>
      </c>
      <c r="Q59" s="289"/>
      <c r="R59" s="290">
        <f t="shared" si="212"/>
        <v>0</v>
      </c>
      <c r="S59" s="287">
        <v>2882.31</v>
      </c>
      <c r="T59" s="290">
        <f t="shared" si="213"/>
        <v>7.6188197914697955E-2</v>
      </c>
      <c r="U59" s="287">
        <v>2745.56</v>
      </c>
      <c r="V59" s="290">
        <f t="shared" si="214"/>
        <v>7.2573480530088066E-2</v>
      </c>
      <c r="W59" s="289">
        <v>6268.56</v>
      </c>
      <c r="X59" s="290">
        <f t="shared" si="215"/>
        <v>0.16569705892848413</v>
      </c>
      <c r="Y59" s="287"/>
      <c r="Z59" s="290">
        <f t="shared" si="216"/>
        <v>0</v>
      </c>
      <c r="AA59" s="289"/>
      <c r="AB59" s="290">
        <f t="shared" si="217"/>
        <v>0</v>
      </c>
      <c r="AC59" s="287">
        <v>240</v>
      </c>
      <c r="AD59" s="290">
        <f t="shared" si="218"/>
        <v>6.3439281338674575E-3</v>
      </c>
      <c r="AE59" s="289">
        <v>1095.76</v>
      </c>
      <c r="AF59" s="290">
        <f t="shared" si="219"/>
        <v>2.896426121652752E-2</v>
      </c>
      <c r="AG59" s="287">
        <v>359.84</v>
      </c>
      <c r="AH59" s="290">
        <f t="shared" si="220"/>
        <v>9.5116629153786068E-3</v>
      </c>
      <c r="AI59" s="289"/>
      <c r="AJ59" s="290">
        <f t="shared" si="221"/>
        <v>0</v>
      </c>
      <c r="AK59" s="289">
        <f>605.81+3823.87</f>
        <v>4429.68</v>
      </c>
      <c r="AL59" s="290">
        <f t="shared" ref="AL59" si="225">AK59/F59</f>
        <v>0.11708988156679166</v>
      </c>
      <c r="AM59" s="289"/>
      <c r="AN59" s="290">
        <f t="shared" ref="AN59" si="226">AM59/F59</f>
        <v>0</v>
      </c>
      <c r="AO59" s="289"/>
      <c r="AP59" s="290">
        <f t="shared" ref="AP59" si="227">AO59/F59</f>
        <v>0</v>
      </c>
      <c r="AQ59" s="323">
        <f t="shared" ref="AQ59" si="228">L59+N59+P59+R59+T59+V59+X59+Z59+AB59+AD59+H59+J59+AJ59+AF59+AH59+AN59+AP59+AL59</f>
        <v>1</v>
      </c>
      <c r="AR59" s="81">
        <v>0</v>
      </c>
      <c r="AS59" s="81"/>
      <c r="AT59" s="84">
        <v>0</v>
      </c>
      <c r="AU59" s="85"/>
      <c r="AV59" s="84">
        <v>0</v>
      </c>
      <c r="AW59" s="81"/>
      <c r="AX59" s="84">
        <v>0</v>
      </c>
      <c r="AY59" s="85"/>
      <c r="AZ59" s="84"/>
      <c r="BA59" s="81"/>
      <c r="BB59" s="230">
        <f>BC59</f>
        <v>9248.5400000000009</v>
      </c>
      <c r="BC59" s="231">
        <v>9248.5400000000009</v>
      </c>
      <c r="BD59" s="84">
        <f>BE59</f>
        <v>20158.86</v>
      </c>
      <c r="BE59" s="435">
        <v>20158.86</v>
      </c>
      <c r="BF59" s="84">
        <f t="shared" ref="BF59" si="229">F59-AR59-AT59-AV59-AX59-AZ59-BB59-BD59</f>
        <v>8424.0499999999956</v>
      </c>
      <c r="BG59" s="85"/>
      <c r="BH59" s="84">
        <f t="shared" ref="BH59" si="230">F59-AR59-AT59-AV59-AX59-AZ59-BB59-BD59-BF59</f>
        <v>0</v>
      </c>
      <c r="BI59" s="85"/>
      <c r="BJ59" s="84">
        <f t="shared" ref="BJ59" si="231">F59-AR59-AT59-AV59-AX59-AZ59-BB59-BD59-BF59-BH59</f>
        <v>0</v>
      </c>
      <c r="BK59" s="85"/>
      <c r="BL59" s="84">
        <f t="shared" ref="BL59" si="232">F59-AR59-AT59-AV59-AX59-AZ59-BB59-BD59-BF59-BH59-BJ59</f>
        <v>0</v>
      </c>
      <c r="BM59" s="85"/>
      <c r="BN59" s="84">
        <f t="shared" ref="BN59" si="233">F59-AR59-AT59-AV59-AX59-AZ59-BB59-BD59-BF59-BH59-BJ59-BL59</f>
        <v>0</v>
      </c>
      <c r="BO59" s="81"/>
      <c r="BP59" s="214">
        <f t="shared" ref="BP59" si="234">F59-AR59-AT59-AV59-AX59-AZ59-BB59-BD59-BF59-BH59-BJ59-BL59-BN59</f>
        <v>0</v>
      </c>
    </row>
    <row r="60" spans="1:68" ht="13.9" x14ac:dyDescent="0.4">
      <c r="A60" s="427"/>
      <c r="B60" s="389" t="s">
        <v>379</v>
      </c>
      <c r="C60" s="180"/>
      <c r="D60" s="83">
        <v>196666</v>
      </c>
      <c r="E60" s="142"/>
      <c r="F60" s="304"/>
      <c r="G60" s="289"/>
      <c r="H60" s="363" t="e">
        <f t="shared" si="207"/>
        <v>#DIV/0!</v>
      </c>
      <c r="I60" s="287"/>
      <c r="J60" s="313" t="e">
        <f t="shared" si="35"/>
        <v>#DIV/0!</v>
      </c>
      <c r="K60" s="287"/>
      <c r="L60" s="288" t="e">
        <f t="shared" si="36"/>
        <v>#DIV/0!</v>
      </c>
      <c r="M60" s="289"/>
      <c r="N60" s="288" t="e">
        <f t="shared" si="210"/>
        <v>#DIV/0!</v>
      </c>
      <c r="O60" s="287"/>
      <c r="P60" s="290" t="e">
        <f t="shared" si="211"/>
        <v>#DIV/0!</v>
      </c>
      <c r="Q60" s="289"/>
      <c r="R60" s="290" t="e">
        <f t="shared" si="212"/>
        <v>#DIV/0!</v>
      </c>
      <c r="S60" s="287"/>
      <c r="T60" s="290" t="e">
        <f t="shared" si="213"/>
        <v>#DIV/0!</v>
      </c>
      <c r="U60" s="287"/>
      <c r="V60" s="290" t="e">
        <f t="shared" si="214"/>
        <v>#DIV/0!</v>
      </c>
      <c r="W60" s="289"/>
      <c r="X60" s="290" t="e">
        <f t="shared" si="215"/>
        <v>#DIV/0!</v>
      </c>
      <c r="Y60" s="287"/>
      <c r="Z60" s="290" t="e">
        <f t="shared" si="216"/>
        <v>#DIV/0!</v>
      </c>
      <c r="AA60" s="289"/>
      <c r="AB60" s="290" t="e">
        <f t="shared" si="217"/>
        <v>#DIV/0!</v>
      </c>
      <c r="AC60" s="287"/>
      <c r="AD60" s="290" t="e">
        <f t="shared" si="218"/>
        <v>#DIV/0!</v>
      </c>
      <c r="AE60" s="289"/>
      <c r="AF60" s="290" t="e">
        <f t="shared" si="219"/>
        <v>#DIV/0!</v>
      </c>
      <c r="AG60" s="287"/>
      <c r="AH60" s="290" t="e">
        <f t="shared" si="220"/>
        <v>#DIV/0!</v>
      </c>
      <c r="AI60" s="289"/>
      <c r="AJ60" s="290" t="e">
        <f t="shared" si="221"/>
        <v>#DIV/0!</v>
      </c>
      <c r="AK60" s="289"/>
      <c r="AL60" s="290" t="e">
        <f t="shared" si="111"/>
        <v>#DIV/0!</v>
      </c>
      <c r="AM60" s="289"/>
      <c r="AN60" s="290" t="e">
        <f t="shared" si="49"/>
        <v>#DIV/0!</v>
      </c>
      <c r="AO60" s="289"/>
      <c r="AP60" s="290" t="e">
        <f t="shared" si="50"/>
        <v>#DIV/0!</v>
      </c>
      <c r="AQ60" s="323" t="e">
        <f t="shared" si="112"/>
        <v>#DIV/0!</v>
      </c>
      <c r="AR60" s="81">
        <f t="shared" si="51"/>
        <v>0</v>
      </c>
      <c r="AS60" s="81"/>
      <c r="AT60" s="84">
        <f t="shared" si="52"/>
        <v>0</v>
      </c>
      <c r="AU60" s="85"/>
      <c r="AV60" s="84">
        <f t="shared" si="53"/>
        <v>0</v>
      </c>
      <c r="AW60" s="81"/>
      <c r="AX60" s="84">
        <f t="shared" si="54"/>
        <v>0</v>
      </c>
      <c r="AY60" s="85"/>
      <c r="AZ60" s="84">
        <f t="shared" si="55"/>
        <v>0</v>
      </c>
      <c r="BA60" s="81"/>
      <c r="BB60" s="84">
        <f t="shared" si="56"/>
        <v>0</v>
      </c>
      <c r="BC60" s="85"/>
      <c r="BD60" s="84">
        <f t="shared" si="57"/>
        <v>0</v>
      </c>
      <c r="BE60" s="85"/>
      <c r="BF60" s="84">
        <f t="shared" si="58"/>
        <v>0</v>
      </c>
      <c r="BG60" s="85"/>
      <c r="BH60" s="84">
        <f t="shared" si="59"/>
        <v>0</v>
      </c>
      <c r="BI60" s="85"/>
      <c r="BJ60" s="84">
        <f t="shared" si="60"/>
        <v>0</v>
      </c>
      <c r="BK60" s="85"/>
      <c r="BL60" s="84">
        <f t="shared" si="61"/>
        <v>0</v>
      </c>
      <c r="BM60" s="85"/>
      <c r="BN60" s="84">
        <f t="shared" si="62"/>
        <v>0</v>
      </c>
      <c r="BO60" s="81"/>
      <c r="BP60" s="214">
        <f t="shared" si="63"/>
        <v>0</v>
      </c>
    </row>
    <row r="61" spans="1:68" ht="13.9" x14ac:dyDescent="0.4">
      <c r="A61" s="427"/>
      <c r="B61" s="389" t="s">
        <v>765</v>
      </c>
      <c r="C61" s="180"/>
      <c r="D61" s="83">
        <v>88843.61</v>
      </c>
      <c r="E61" s="142"/>
      <c r="F61" s="304">
        <f>94350.59</f>
        <v>94350.59</v>
      </c>
      <c r="G61" s="289">
        <v>1800</v>
      </c>
      <c r="H61" s="363">
        <f t="shared" si="207"/>
        <v>1.9077782131516084E-2</v>
      </c>
      <c r="I61" s="287"/>
      <c r="J61" s="313">
        <f t="shared" si="35"/>
        <v>0</v>
      </c>
      <c r="K61" s="287">
        <v>8401.19</v>
      </c>
      <c r="L61" s="288">
        <f t="shared" si="36"/>
        <v>8.9042262480817563E-2</v>
      </c>
      <c r="M61" s="289">
        <v>6763.42</v>
      </c>
      <c r="N61" s="288">
        <f t="shared" si="210"/>
        <v>7.168391845774362E-2</v>
      </c>
      <c r="O61" s="287">
        <f>5970.62+1770.64</f>
        <v>7741.26</v>
      </c>
      <c r="P61" s="290">
        <f t="shared" si="211"/>
        <v>8.204781761301122E-2</v>
      </c>
      <c r="Q61" s="289">
        <f>14124.58+6381.77</f>
        <v>20506.349999999999</v>
      </c>
      <c r="R61" s="290">
        <f t="shared" si="212"/>
        <v>0.21734204311811933</v>
      </c>
      <c r="S61" s="287">
        <v>7600.36</v>
      </c>
      <c r="T61" s="290">
        <f t="shared" si="213"/>
        <v>8.0554451222827547E-2</v>
      </c>
      <c r="U61" s="287">
        <v>7307.15</v>
      </c>
      <c r="V61" s="290">
        <f t="shared" si="214"/>
        <v>7.7446786501282075E-2</v>
      </c>
      <c r="W61" s="289">
        <v>13951.15</v>
      </c>
      <c r="X61" s="290">
        <f t="shared" si="215"/>
        <v>0.1478650001022781</v>
      </c>
      <c r="Y61" s="287">
        <v>13677.21</v>
      </c>
      <c r="Z61" s="290">
        <f t="shared" si="216"/>
        <v>0.14496157363721837</v>
      </c>
      <c r="AA61" s="289"/>
      <c r="AB61" s="290">
        <f t="shared" si="217"/>
        <v>0</v>
      </c>
      <c r="AC61" s="287"/>
      <c r="AD61" s="290">
        <f t="shared" si="218"/>
        <v>0</v>
      </c>
      <c r="AE61" s="289"/>
      <c r="AF61" s="290">
        <f t="shared" si="219"/>
        <v>0</v>
      </c>
      <c r="AG61" s="287">
        <v>1095.52</v>
      </c>
      <c r="AH61" s="290">
        <f t="shared" si="220"/>
        <v>1.1611162155954723E-2</v>
      </c>
      <c r="AI61" s="289"/>
      <c r="AJ61" s="290">
        <f t="shared" si="221"/>
        <v>0</v>
      </c>
      <c r="AK61" s="289"/>
      <c r="AL61" s="290">
        <f t="shared" si="111"/>
        <v>0</v>
      </c>
      <c r="AM61" s="289"/>
      <c r="AN61" s="290">
        <f t="shared" si="49"/>
        <v>0</v>
      </c>
      <c r="AO61" s="289"/>
      <c r="AP61" s="290">
        <f t="shared" si="50"/>
        <v>0</v>
      </c>
      <c r="AQ61" s="323">
        <f t="shared" si="112"/>
        <v>0.94163279742076866</v>
      </c>
      <c r="AR61" s="81">
        <v>0</v>
      </c>
      <c r="AS61" s="81"/>
      <c r="AT61" s="84">
        <v>0</v>
      </c>
      <c r="AU61" s="85"/>
      <c r="AV61" s="84">
        <v>0</v>
      </c>
      <c r="AW61" s="81"/>
      <c r="AX61" s="230">
        <f>AY61</f>
        <v>9277.51</v>
      </c>
      <c r="AY61" s="231">
        <f>9277.51</f>
        <v>9277.51</v>
      </c>
      <c r="AZ61" s="230">
        <f>BA61</f>
        <v>35705.1</v>
      </c>
      <c r="BA61" s="195">
        <v>35705.1</v>
      </c>
      <c r="BB61" s="230">
        <f>BC61</f>
        <v>25027.88</v>
      </c>
      <c r="BC61" s="231">
        <v>25027.88</v>
      </c>
      <c r="BD61" s="84">
        <f>BE61</f>
        <v>15262.16</v>
      </c>
      <c r="BE61" s="435">
        <v>15262.16</v>
      </c>
      <c r="BF61" s="84">
        <f t="shared" si="58"/>
        <v>9077.9400000000023</v>
      </c>
      <c r="BG61" s="85"/>
      <c r="BH61" s="84">
        <f t="shared" si="59"/>
        <v>0</v>
      </c>
      <c r="BI61" s="85"/>
      <c r="BJ61" s="84">
        <f t="shared" si="60"/>
        <v>0</v>
      </c>
      <c r="BK61" s="85"/>
      <c r="BL61" s="84">
        <f t="shared" si="61"/>
        <v>0</v>
      </c>
      <c r="BM61" s="85"/>
      <c r="BN61" s="84">
        <f t="shared" si="62"/>
        <v>0</v>
      </c>
      <c r="BO61" s="81"/>
      <c r="BP61" s="214">
        <f t="shared" si="63"/>
        <v>0</v>
      </c>
    </row>
    <row r="62" spans="1:68" ht="13.9" x14ac:dyDescent="0.4">
      <c r="A62" s="427"/>
      <c r="B62" s="389" t="s">
        <v>183</v>
      </c>
      <c r="C62" s="180"/>
      <c r="D62" s="83">
        <v>20997.32</v>
      </c>
      <c r="E62" s="142"/>
      <c r="F62" s="304">
        <f>D62</f>
        <v>20997.32</v>
      </c>
      <c r="G62" s="289">
        <v>2160</v>
      </c>
      <c r="H62" s="363">
        <f t="shared" si="207"/>
        <v>0.10287027106316425</v>
      </c>
      <c r="I62" s="287"/>
      <c r="J62" s="313">
        <f t="shared" si="35"/>
        <v>0</v>
      </c>
      <c r="K62" s="287">
        <v>3227.1</v>
      </c>
      <c r="L62" s="288">
        <f t="shared" si="36"/>
        <v>0.15369104247589693</v>
      </c>
      <c r="M62" s="289">
        <v>1294.78</v>
      </c>
      <c r="N62" s="288">
        <f t="shared" si="210"/>
        <v>6.1664059984798063E-2</v>
      </c>
      <c r="O62" s="287">
        <v>5858.8</v>
      </c>
      <c r="P62" s="290">
        <f t="shared" si="211"/>
        <v>0.27902608523373462</v>
      </c>
      <c r="Q62" s="289">
        <f>515.78+471.14</f>
        <v>986.92</v>
      </c>
      <c r="R62" s="290">
        <f t="shared" si="212"/>
        <v>4.7002188850767623E-2</v>
      </c>
      <c r="S62" s="287">
        <v>1961.2</v>
      </c>
      <c r="T62" s="290">
        <f t="shared" si="213"/>
        <v>9.3402396115313771E-2</v>
      </c>
      <c r="U62" s="287">
        <f>1114.85+765.77</f>
        <v>1880.62</v>
      </c>
      <c r="V62" s="290">
        <f t="shared" si="214"/>
        <v>8.9564763503151831E-2</v>
      </c>
      <c r="W62" s="289">
        <v>244.41</v>
      </c>
      <c r="X62" s="290">
        <f t="shared" si="215"/>
        <v>1.1640056921549988E-2</v>
      </c>
      <c r="Y62" s="287"/>
      <c r="Z62" s="290">
        <f t="shared" si="216"/>
        <v>0</v>
      </c>
      <c r="AA62" s="289"/>
      <c r="AB62" s="290">
        <f t="shared" si="217"/>
        <v>0</v>
      </c>
      <c r="AC62" s="287"/>
      <c r="AD62" s="290">
        <f t="shared" si="218"/>
        <v>0</v>
      </c>
      <c r="AE62" s="289"/>
      <c r="AF62" s="290">
        <f t="shared" si="219"/>
        <v>0</v>
      </c>
      <c r="AG62" s="287"/>
      <c r="AH62" s="290">
        <f t="shared" si="220"/>
        <v>0</v>
      </c>
      <c r="AI62" s="289">
        <v>3854.63</v>
      </c>
      <c r="AJ62" s="290">
        <f t="shared" si="221"/>
        <v>0.18357723747602075</v>
      </c>
      <c r="AK62" s="289"/>
      <c r="AL62" s="290">
        <f t="shared" si="111"/>
        <v>0</v>
      </c>
      <c r="AM62" s="289"/>
      <c r="AN62" s="290">
        <f t="shared" si="49"/>
        <v>0</v>
      </c>
      <c r="AO62" s="289"/>
      <c r="AP62" s="290">
        <f t="shared" si="50"/>
        <v>0</v>
      </c>
      <c r="AQ62" s="323">
        <f t="shared" si="112"/>
        <v>1.0224381016243977</v>
      </c>
      <c r="AR62" s="81">
        <v>0</v>
      </c>
      <c r="AS62" s="81"/>
      <c r="AT62" s="84">
        <v>0</v>
      </c>
      <c r="AU62" s="85"/>
      <c r="AV62" s="84">
        <v>0</v>
      </c>
      <c r="AW62" s="81"/>
      <c r="AX62" s="84">
        <v>0</v>
      </c>
      <c r="AY62" s="85"/>
      <c r="AZ62" s="230">
        <f>BA62</f>
        <v>5201.7700000000004</v>
      </c>
      <c r="BA62" s="195">
        <v>5201.7700000000004</v>
      </c>
      <c r="BB62" s="230">
        <f>BC62</f>
        <v>9293.16</v>
      </c>
      <c r="BC62" s="231">
        <f>9293.16</f>
        <v>9293.16</v>
      </c>
      <c r="BD62" s="84">
        <f>BE62</f>
        <v>6101.56</v>
      </c>
      <c r="BE62" s="435">
        <v>6101.56</v>
      </c>
      <c r="BF62" s="84">
        <f t="shared" si="58"/>
        <v>400.82999999999902</v>
      </c>
      <c r="BG62" s="85"/>
      <c r="BH62" s="84">
        <f t="shared" si="59"/>
        <v>0</v>
      </c>
      <c r="BI62" s="85"/>
      <c r="BJ62" s="84">
        <f t="shared" si="60"/>
        <v>0</v>
      </c>
      <c r="BK62" s="85"/>
      <c r="BL62" s="84">
        <f t="shared" si="61"/>
        <v>0</v>
      </c>
      <c r="BM62" s="85"/>
      <c r="BN62" s="84">
        <f t="shared" si="62"/>
        <v>0</v>
      </c>
      <c r="BO62" s="81"/>
      <c r="BP62" s="214">
        <f t="shared" si="63"/>
        <v>0</v>
      </c>
    </row>
    <row r="63" spans="1:68" ht="13.9" x14ac:dyDescent="0.4">
      <c r="A63" s="427"/>
      <c r="B63" s="389" t="s">
        <v>778</v>
      </c>
      <c r="C63" s="180"/>
      <c r="D63" s="83">
        <v>86969</v>
      </c>
      <c r="E63" s="142"/>
      <c r="F63" s="304"/>
      <c r="G63" s="289"/>
      <c r="H63" s="363" t="e">
        <f t="shared" si="207"/>
        <v>#DIV/0!</v>
      </c>
      <c r="I63" s="287"/>
      <c r="J63" s="313" t="e">
        <f t="shared" si="35"/>
        <v>#DIV/0!</v>
      </c>
      <c r="K63" s="287"/>
      <c r="L63" s="288" t="e">
        <f t="shared" si="36"/>
        <v>#DIV/0!</v>
      </c>
      <c r="M63" s="289"/>
      <c r="N63" s="288" t="e">
        <f t="shared" si="210"/>
        <v>#DIV/0!</v>
      </c>
      <c r="O63" s="287"/>
      <c r="P63" s="290" t="e">
        <f t="shared" si="211"/>
        <v>#DIV/0!</v>
      </c>
      <c r="Q63" s="289"/>
      <c r="R63" s="290" t="e">
        <f t="shared" si="212"/>
        <v>#DIV/0!</v>
      </c>
      <c r="S63" s="287"/>
      <c r="T63" s="290" t="e">
        <f t="shared" si="213"/>
        <v>#DIV/0!</v>
      </c>
      <c r="U63" s="287"/>
      <c r="V63" s="290" t="e">
        <f t="shared" si="214"/>
        <v>#DIV/0!</v>
      </c>
      <c r="W63" s="289"/>
      <c r="X63" s="290" t="e">
        <f t="shared" si="215"/>
        <v>#DIV/0!</v>
      </c>
      <c r="Y63" s="287"/>
      <c r="Z63" s="290" t="e">
        <f t="shared" si="216"/>
        <v>#DIV/0!</v>
      </c>
      <c r="AA63" s="289"/>
      <c r="AB63" s="290" t="e">
        <f t="shared" si="217"/>
        <v>#DIV/0!</v>
      </c>
      <c r="AC63" s="287"/>
      <c r="AD63" s="290" t="e">
        <f t="shared" si="218"/>
        <v>#DIV/0!</v>
      </c>
      <c r="AE63" s="289"/>
      <c r="AF63" s="290" t="e">
        <f t="shared" si="219"/>
        <v>#DIV/0!</v>
      </c>
      <c r="AG63" s="287"/>
      <c r="AH63" s="290" t="e">
        <f t="shared" si="220"/>
        <v>#DIV/0!</v>
      </c>
      <c r="AI63" s="289"/>
      <c r="AJ63" s="290" t="e">
        <f t="shared" si="221"/>
        <v>#DIV/0!</v>
      </c>
      <c r="AK63" s="289"/>
      <c r="AL63" s="290" t="e">
        <f t="shared" si="111"/>
        <v>#DIV/0!</v>
      </c>
      <c r="AM63" s="289"/>
      <c r="AN63" s="290" t="e">
        <f t="shared" si="49"/>
        <v>#DIV/0!</v>
      </c>
      <c r="AO63" s="289"/>
      <c r="AP63" s="290" t="e">
        <f t="shared" si="50"/>
        <v>#DIV/0!</v>
      </c>
      <c r="AQ63" s="323" t="e">
        <f t="shared" si="112"/>
        <v>#DIV/0!</v>
      </c>
      <c r="AR63" s="81">
        <f t="shared" si="51"/>
        <v>0</v>
      </c>
      <c r="AS63" s="81"/>
      <c r="AT63" s="84">
        <f t="shared" si="52"/>
        <v>0</v>
      </c>
      <c r="AU63" s="85"/>
      <c r="AV63" s="84">
        <f t="shared" si="53"/>
        <v>0</v>
      </c>
      <c r="AW63" s="81"/>
      <c r="AX63" s="84">
        <f t="shared" si="54"/>
        <v>0</v>
      </c>
      <c r="AY63" s="85"/>
      <c r="AZ63" s="84">
        <f t="shared" si="55"/>
        <v>0</v>
      </c>
      <c r="BA63" s="81"/>
      <c r="BB63" s="84">
        <f t="shared" si="56"/>
        <v>0</v>
      </c>
      <c r="BC63" s="85"/>
      <c r="BD63" s="84">
        <f t="shared" si="57"/>
        <v>0</v>
      </c>
      <c r="BE63" s="85"/>
      <c r="BF63" s="84">
        <f t="shared" si="58"/>
        <v>0</v>
      </c>
      <c r="BG63" s="85"/>
      <c r="BH63" s="84">
        <f t="shared" si="59"/>
        <v>0</v>
      </c>
      <c r="BI63" s="85"/>
      <c r="BJ63" s="84">
        <f t="shared" si="60"/>
        <v>0</v>
      </c>
      <c r="BK63" s="85"/>
      <c r="BL63" s="84">
        <f t="shared" si="61"/>
        <v>0</v>
      </c>
      <c r="BM63" s="85"/>
      <c r="BN63" s="84">
        <f t="shared" si="62"/>
        <v>0</v>
      </c>
      <c r="BO63" s="81"/>
      <c r="BP63" s="214">
        <f t="shared" si="63"/>
        <v>0</v>
      </c>
    </row>
    <row r="64" spans="1:68" ht="13.9" x14ac:dyDescent="0.4">
      <c r="A64" s="427"/>
      <c r="B64" s="389" t="s">
        <v>783</v>
      </c>
      <c r="C64" s="180"/>
      <c r="D64" s="83">
        <v>52395</v>
      </c>
      <c r="E64" s="142"/>
      <c r="F64" s="433">
        <f>D64</f>
        <v>52395</v>
      </c>
      <c r="G64" s="289"/>
      <c r="H64" s="363">
        <f t="shared" si="207"/>
        <v>0</v>
      </c>
      <c r="I64" s="287"/>
      <c r="J64" s="313">
        <f t="shared" si="35"/>
        <v>0</v>
      </c>
      <c r="K64" s="287"/>
      <c r="L64" s="288">
        <f t="shared" si="36"/>
        <v>0</v>
      </c>
      <c r="M64" s="289"/>
      <c r="N64" s="288">
        <f t="shared" si="210"/>
        <v>0</v>
      </c>
      <c r="O64" s="287"/>
      <c r="P64" s="290">
        <f t="shared" si="211"/>
        <v>0</v>
      </c>
      <c r="Q64" s="289"/>
      <c r="R64" s="290">
        <f t="shared" si="212"/>
        <v>0</v>
      </c>
      <c r="S64" s="287"/>
      <c r="T64" s="290">
        <f t="shared" si="213"/>
        <v>0</v>
      </c>
      <c r="U64" s="287"/>
      <c r="V64" s="290">
        <f t="shared" si="214"/>
        <v>0</v>
      </c>
      <c r="W64" s="289"/>
      <c r="X64" s="290">
        <f t="shared" si="215"/>
        <v>0</v>
      </c>
      <c r="Y64" s="287"/>
      <c r="Z64" s="290">
        <f t="shared" si="216"/>
        <v>0</v>
      </c>
      <c r="AA64" s="289"/>
      <c r="AB64" s="290">
        <f t="shared" si="217"/>
        <v>0</v>
      </c>
      <c r="AC64" s="287"/>
      <c r="AD64" s="290">
        <f t="shared" si="218"/>
        <v>0</v>
      </c>
      <c r="AE64" s="289"/>
      <c r="AF64" s="290">
        <f t="shared" si="219"/>
        <v>0</v>
      </c>
      <c r="AG64" s="287"/>
      <c r="AH64" s="290">
        <f t="shared" si="220"/>
        <v>0</v>
      </c>
      <c r="AI64" s="289"/>
      <c r="AJ64" s="290">
        <f t="shared" si="221"/>
        <v>0</v>
      </c>
      <c r="AK64" s="289"/>
      <c r="AL64" s="290">
        <f t="shared" si="111"/>
        <v>0</v>
      </c>
      <c r="AM64" s="289"/>
      <c r="AN64" s="290">
        <f t="shared" si="49"/>
        <v>0</v>
      </c>
      <c r="AO64" s="289"/>
      <c r="AP64" s="290">
        <f t="shared" si="50"/>
        <v>0</v>
      </c>
      <c r="AQ64" s="323">
        <f t="shared" si="112"/>
        <v>0</v>
      </c>
      <c r="AR64" s="81">
        <v>0</v>
      </c>
      <c r="AS64" s="81"/>
      <c r="AT64" s="84">
        <v>0</v>
      </c>
      <c r="AU64" s="85"/>
      <c r="AV64" s="84">
        <v>0</v>
      </c>
      <c r="AW64" s="81"/>
      <c r="AX64" s="84">
        <v>0</v>
      </c>
      <c r="AY64" s="85"/>
      <c r="AZ64" s="84">
        <v>0</v>
      </c>
      <c r="BA64" s="81"/>
      <c r="BB64" s="84">
        <v>0</v>
      </c>
      <c r="BC64" s="85"/>
      <c r="BD64" s="84">
        <v>0</v>
      </c>
      <c r="BE64" s="85"/>
      <c r="BF64" s="84">
        <v>8000</v>
      </c>
      <c r="BG64" s="85"/>
      <c r="BH64" s="84">
        <v>24000</v>
      </c>
      <c r="BI64" s="85"/>
      <c r="BJ64" s="84">
        <v>0</v>
      </c>
      <c r="BK64" s="85"/>
      <c r="BL64" s="84">
        <v>0</v>
      </c>
      <c r="BM64" s="85"/>
      <c r="BN64" s="84">
        <f t="shared" si="62"/>
        <v>20395</v>
      </c>
      <c r="BO64" s="81"/>
      <c r="BP64" s="214">
        <f t="shared" si="63"/>
        <v>0</v>
      </c>
    </row>
    <row r="65" spans="1:68" ht="13.9" x14ac:dyDescent="0.4">
      <c r="A65" s="427"/>
      <c r="B65" s="389" t="s">
        <v>787</v>
      </c>
      <c r="C65" s="180"/>
      <c r="D65" s="83">
        <v>71806.759999999995</v>
      </c>
      <c r="E65" s="142">
        <f t="shared" ref="E65" si="235">D65</f>
        <v>71806.759999999995</v>
      </c>
      <c r="F65" s="304"/>
      <c r="G65" s="289"/>
      <c r="H65" s="363" t="e">
        <f t="shared" si="207"/>
        <v>#DIV/0!</v>
      </c>
      <c r="I65" s="287"/>
      <c r="J65" s="313" t="e">
        <f t="shared" si="35"/>
        <v>#DIV/0!</v>
      </c>
      <c r="K65" s="287"/>
      <c r="L65" s="288" t="e">
        <f t="shared" si="36"/>
        <v>#DIV/0!</v>
      </c>
      <c r="M65" s="289"/>
      <c r="N65" s="288" t="e">
        <f t="shared" si="210"/>
        <v>#DIV/0!</v>
      </c>
      <c r="O65" s="287"/>
      <c r="P65" s="290" t="e">
        <f t="shared" si="211"/>
        <v>#DIV/0!</v>
      </c>
      <c r="Q65" s="289"/>
      <c r="R65" s="290" t="e">
        <f t="shared" si="212"/>
        <v>#DIV/0!</v>
      </c>
      <c r="S65" s="287"/>
      <c r="T65" s="290" t="e">
        <f t="shared" si="213"/>
        <v>#DIV/0!</v>
      </c>
      <c r="U65" s="287"/>
      <c r="V65" s="290" t="e">
        <f t="shared" si="214"/>
        <v>#DIV/0!</v>
      </c>
      <c r="W65" s="289"/>
      <c r="X65" s="290" t="e">
        <f t="shared" si="215"/>
        <v>#DIV/0!</v>
      </c>
      <c r="Y65" s="287"/>
      <c r="Z65" s="290" t="e">
        <f t="shared" si="216"/>
        <v>#DIV/0!</v>
      </c>
      <c r="AA65" s="289"/>
      <c r="AB65" s="290" t="e">
        <f t="shared" si="217"/>
        <v>#DIV/0!</v>
      </c>
      <c r="AC65" s="287"/>
      <c r="AD65" s="290" t="e">
        <f t="shared" si="218"/>
        <v>#DIV/0!</v>
      </c>
      <c r="AE65" s="289"/>
      <c r="AF65" s="290" t="e">
        <f t="shared" si="219"/>
        <v>#DIV/0!</v>
      </c>
      <c r="AG65" s="287"/>
      <c r="AH65" s="290" t="e">
        <f t="shared" si="220"/>
        <v>#DIV/0!</v>
      </c>
      <c r="AI65" s="289"/>
      <c r="AJ65" s="290" t="e">
        <f t="shared" si="221"/>
        <v>#DIV/0!</v>
      </c>
      <c r="AK65" s="289"/>
      <c r="AL65" s="290" t="e">
        <f t="shared" si="111"/>
        <v>#DIV/0!</v>
      </c>
      <c r="AM65" s="289"/>
      <c r="AN65" s="290" t="e">
        <f t="shared" si="49"/>
        <v>#DIV/0!</v>
      </c>
      <c r="AO65" s="289"/>
      <c r="AP65" s="290" t="e">
        <f t="shared" si="50"/>
        <v>#DIV/0!</v>
      </c>
      <c r="AQ65" s="323" t="e">
        <f t="shared" si="112"/>
        <v>#DIV/0!</v>
      </c>
      <c r="AR65" s="81">
        <f t="shared" si="51"/>
        <v>0</v>
      </c>
      <c r="AS65" s="81"/>
      <c r="AT65" s="84">
        <f t="shared" si="52"/>
        <v>0</v>
      </c>
      <c r="AU65" s="85"/>
      <c r="AV65" s="84">
        <f t="shared" si="53"/>
        <v>0</v>
      </c>
      <c r="AW65" s="81"/>
      <c r="AX65" s="84">
        <f t="shared" si="54"/>
        <v>0</v>
      </c>
      <c r="AY65" s="85"/>
      <c r="AZ65" s="84">
        <f t="shared" si="55"/>
        <v>0</v>
      </c>
      <c r="BA65" s="81"/>
      <c r="BB65" s="84">
        <f t="shared" si="56"/>
        <v>0</v>
      </c>
      <c r="BC65" s="85"/>
      <c r="BD65" s="84">
        <f t="shared" si="57"/>
        <v>0</v>
      </c>
      <c r="BE65" s="85"/>
      <c r="BF65" s="84">
        <f t="shared" si="58"/>
        <v>0</v>
      </c>
      <c r="BG65" s="85"/>
      <c r="BH65" s="84">
        <f t="shared" si="59"/>
        <v>0</v>
      </c>
      <c r="BI65" s="85"/>
      <c r="BJ65" s="84">
        <f t="shared" si="60"/>
        <v>0</v>
      </c>
      <c r="BK65" s="85"/>
      <c r="BL65" s="84">
        <f t="shared" si="61"/>
        <v>0</v>
      </c>
      <c r="BM65" s="85"/>
      <c r="BN65" s="84">
        <f t="shared" si="62"/>
        <v>0</v>
      </c>
      <c r="BO65" s="81"/>
      <c r="BP65" s="214">
        <f t="shared" si="63"/>
        <v>0</v>
      </c>
    </row>
    <row r="66" spans="1:68" ht="13.9" x14ac:dyDescent="0.4">
      <c r="A66" s="427"/>
      <c r="B66" s="389" t="s">
        <v>777</v>
      </c>
      <c r="C66" s="180"/>
      <c r="D66" s="107">
        <v>141779</v>
      </c>
      <c r="E66" s="142"/>
      <c r="F66" s="304"/>
      <c r="G66" s="289"/>
      <c r="H66" s="363" t="e">
        <f t="shared" ref="H66:H73" si="236">G66/F66</f>
        <v>#DIV/0!</v>
      </c>
      <c r="I66" s="287"/>
      <c r="J66" s="313" t="e">
        <f t="shared" ref="J66:J73" si="237">I66/F66</f>
        <v>#DIV/0!</v>
      </c>
      <c r="K66" s="287"/>
      <c r="L66" s="288" t="e">
        <f t="shared" ref="L66:L73" si="238">K66/F66</f>
        <v>#DIV/0!</v>
      </c>
      <c r="M66" s="289"/>
      <c r="N66" s="288" t="e">
        <f t="shared" ref="N66:N75" si="239">M66/F66</f>
        <v>#DIV/0!</v>
      </c>
      <c r="O66" s="287"/>
      <c r="P66" s="290" t="e">
        <f t="shared" ref="P66:P75" si="240">O66/F66</f>
        <v>#DIV/0!</v>
      </c>
      <c r="Q66" s="289"/>
      <c r="R66" s="290" t="e">
        <f t="shared" ref="R66:R75" si="241">Q66/F66</f>
        <v>#DIV/0!</v>
      </c>
      <c r="S66" s="287"/>
      <c r="T66" s="290" t="e">
        <f t="shared" ref="T66:T75" si="242">S66/F66</f>
        <v>#DIV/0!</v>
      </c>
      <c r="U66" s="287"/>
      <c r="V66" s="290" t="e">
        <f t="shared" ref="V66:V75" si="243">U66/F66</f>
        <v>#DIV/0!</v>
      </c>
      <c r="W66" s="289"/>
      <c r="X66" s="290" t="e">
        <f t="shared" ref="X66:X75" si="244">W66/F66</f>
        <v>#DIV/0!</v>
      </c>
      <c r="Y66" s="287"/>
      <c r="Z66" s="290" t="e">
        <f t="shared" ref="Z66:Z75" si="245">Y66/F66</f>
        <v>#DIV/0!</v>
      </c>
      <c r="AA66" s="289"/>
      <c r="AB66" s="290" t="e">
        <f t="shared" ref="AB66:AB75" si="246">AA66/F66</f>
        <v>#DIV/0!</v>
      </c>
      <c r="AC66" s="287"/>
      <c r="AD66" s="290" t="e">
        <f t="shared" ref="AD66:AD75" si="247">AC66/F66</f>
        <v>#DIV/0!</v>
      </c>
      <c r="AE66" s="289"/>
      <c r="AF66" s="290" t="e">
        <f t="shared" ref="AF66:AF75" si="248">AE66/F66</f>
        <v>#DIV/0!</v>
      </c>
      <c r="AG66" s="287"/>
      <c r="AH66" s="290" t="e">
        <f t="shared" ref="AH66:AH75" si="249">AG66/F66</f>
        <v>#DIV/0!</v>
      </c>
      <c r="AI66" s="289"/>
      <c r="AJ66" s="290" t="e">
        <f t="shared" ref="AJ66:AJ75" si="250">AI66/F66</f>
        <v>#DIV/0!</v>
      </c>
      <c r="AK66" s="289"/>
      <c r="AL66" s="290" t="e">
        <f t="shared" si="111"/>
        <v>#DIV/0!</v>
      </c>
      <c r="AM66" s="289"/>
      <c r="AN66" s="290" t="e">
        <f t="shared" si="49"/>
        <v>#DIV/0!</v>
      </c>
      <c r="AO66" s="289"/>
      <c r="AP66" s="290" t="e">
        <f t="shared" si="50"/>
        <v>#DIV/0!</v>
      </c>
      <c r="AQ66" s="323" t="e">
        <f t="shared" si="112"/>
        <v>#DIV/0!</v>
      </c>
      <c r="AR66" s="81">
        <f t="shared" si="51"/>
        <v>0</v>
      </c>
      <c r="AS66" s="81"/>
      <c r="AT66" s="84">
        <f t="shared" si="52"/>
        <v>0</v>
      </c>
      <c r="AU66" s="85"/>
      <c r="AV66" s="84">
        <f t="shared" si="53"/>
        <v>0</v>
      </c>
      <c r="AW66" s="81"/>
      <c r="AX66" s="84">
        <f t="shared" si="54"/>
        <v>0</v>
      </c>
      <c r="AY66" s="85"/>
      <c r="AZ66" s="84">
        <f t="shared" si="55"/>
        <v>0</v>
      </c>
      <c r="BA66" s="81"/>
      <c r="BB66" s="84">
        <f t="shared" si="56"/>
        <v>0</v>
      </c>
      <c r="BC66" s="85"/>
      <c r="BD66" s="84">
        <f t="shared" si="57"/>
        <v>0</v>
      </c>
      <c r="BE66" s="85"/>
      <c r="BF66" s="84">
        <f t="shared" si="58"/>
        <v>0</v>
      </c>
      <c r="BG66" s="85"/>
      <c r="BH66" s="84">
        <f t="shared" si="59"/>
        <v>0</v>
      </c>
      <c r="BI66" s="85"/>
      <c r="BJ66" s="84">
        <f t="shared" si="60"/>
        <v>0</v>
      </c>
      <c r="BK66" s="85"/>
      <c r="BL66" s="84">
        <f t="shared" si="61"/>
        <v>0</v>
      </c>
      <c r="BM66" s="85"/>
      <c r="BN66" s="84">
        <f t="shared" si="62"/>
        <v>0</v>
      </c>
      <c r="BO66" s="81"/>
      <c r="BP66" s="214">
        <f t="shared" si="63"/>
        <v>0</v>
      </c>
    </row>
    <row r="67" spans="1:68" ht="13.9" x14ac:dyDescent="0.4">
      <c r="A67" s="427"/>
      <c r="B67" s="389" t="s">
        <v>838</v>
      </c>
      <c r="C67" s="180"/>
      <c r="D67" s="83">
        <v>67113.22</v>
      </c>
      <c r="E67" s="142">
        <f t="shared" ref="E67:E75" si="251">D67</f>
        <v>67113.22</v>
      </c>
      <c r="F67" s="304"/>
      <c r="G67" s="289"/>
      <c r="H67" s="363" t="e">
        <f t="shared" si="236"/>
        <v>#DIV/0!</v>
      </c>
      <c r="I67" s="287"/>
      <c r="J67" s="313" t="e">
        <f t="shared" si="237"/>
        <v>#DIV/0!</v>
      </c>
      <c r="K67" s="287"/>
      <c r="L67" s="288" t="e">
        <f t="shared" si="238"/>
        <v>#DIV/0!</v>
      </c>
      <c r="M67" s="289"/>
      <c r="N67" s="288" t="e">
        <f>M67/F67</f>
        <v>#DIV/0!</v>
      </c>
      <c r="O67" s="287"/>
      <c r="P67" s="290" t="e">
        <f>O67/F67</f>
        <v>#DIV/0!</v>
      </c>
      <c r="Q67" s="289"/>
      <c r="R67" s="290" t="e">
        <f>Q67/F67</f>
        <v>#DIV/0!</v>
      </c>
      <c r="S67" s="287"/>
      <c r="T67" s="290" t="e">
        <f>S67/F67</f>
        <v>#DIV/0!</v>
      </c>
      <c r="U67" s="287"/>
      <c r="V67" s="290" t="e">
        <f>U67/F67</f>
        <v>#DIV/0!</v>
      </c>
      <c r="W67" s="289"/>
      <c r="X67" s="290" t="e">
        <f>W67/F67</f>
        <v>#DIV/0!</v>
      </c>
      <c r="Y67" s="287"/>
      <c r="Z67" s="290" t="e">
        <f>Y67/F67</f>
        <v>#DIV/0!</v>
      </c>
      <c r="AA67" s="289"/>
      <c r="AB67" s="290" t="e">
        <f>AA67/F67</f>
        <v>#DIV/0!</v>
      </c>
      <c r="AC67" s="287"/>
      <c r="AD67" s="290" t="e">
        <f>AC67/F67</f>
        <v>#DIV/0!</v>
      </c>
      <c r="AE67" s="289"/>
      <c r="AF67" s="290" t="e">
        <f>AE67/F67</f>
        <v>#DIV/0!</v>
      </c>
      <c r="AG67" s="287"/>
      <c r="AH67" s="290" t="e">
        <f>AG67/F67</f>
        <v>#DIV/0!</v>
      </c>
      <c r="AI67" s="289"/>
      <c r="AJ67" s="290" t="e">
        <f>AI67/F67</f>
        <v>#DIV/0!</v>
      </c>
      <c r="AK67" s="289"/>
      <c r="AL67" s="290" t="e">
        <f t="shared" ref="AL67" si="252">AK67/F67</f>
        <v>#DIV/0!</v>
      </c>
      <c r="AM67" s="289"/>
      <c r="AN67" s="290" t="e">
        <f t="shared" si="49"/>
        <v>#DIV/0!</v>
      </c>
      <c r="AO67" s="289"/>
      <c r="AP67" s="290" t="e">
        <f t="shared" si="50"/>
        <v>#DIV/0!</v>
      </c>
      <c r="AQ67" s="323" t="e">
        <f t="shared" ref="AQ67" si="253">L67+N67+P67+R67+T67+V67+X67+Z67+AB67+AD67+H67+J67+AJ67+AF67+AH67+AN67+AP67+AL67</f>
        <v>#DIV/0!</v>
      </c>
      <c r="AR67" s="81">
        <f t="shared" si="51"/>
        <v>0</v>
      </c>
      <c r="AS67" s="81"/>
      <c r="AT67" s="84">
        <f t="shared" si="52"/>
        <v>0</v>
      </c>
      <c r="AU67" s="85"/>
      <c r="AV67" s="84">
        <f t="shared" si="53"/>
        <v>0</v>
      </c>
      <c r="AW67" s="81"/>
      <c r="AX67" s="84">
        <f t="shared" si="54"/>
        <v>0</v>
      </c>
      <c r="AY67" s="85"/>
      <c r="AZ67" s="84">
        <f t="shared" si="55"/>
        <v>0</v>
      </c>
      <c r="BA67" s="81"/>
      <c r="BB67" s="84">
        <f t="shared" si="56"/>
        <v>0</v>
      </c>
      <c r="BC67" s="85"/>
      <c r="BD67" s="84">
        <f t="shared" si="57"/>
        <v>0</v>
      </c>
      <c r="BE67" s="85"/>
      <c r="BF67" s="84">
        <f t="shared" si="58"/>
        <v>0</v>
      </c>
      <c r="BG67" s="85"/>
      <c r="BH67" s="84">
        <f t="shared" si="59"/>
        <v>0</v>
      </c>
      <c r="BI67" s="85"/>
      <c r="BJ67" s="84">
        <f t="shared" si="60"/>
        <v>0</v>
      </c>
      <c r="BK67" s="85"/>
      <c r="BL67" s="84">
        <f t="shared" si="61"/>
        <v>0</v>
      </c>
      <c r="BM67" s="85"/>
      <c r="BN67" s="84">
        <f t="shared" si="62"/>
        <v>0</v>
      </c>
      <c r="BO67" s="81"/>
      <c r="BP67" s="214">
        <f t="shared" si="63"/>
        <v>0</v>
      </c>
    </row>
    <row r="68" spans="1:68" ht="13.9" x14ac:dyDescent="0.4">
      <c r="A68" s="427"/>
      <c r="B68" s="389" t="s">
        <v>812</v>
      </c>
      <c r="C68" s="180"/>
      <c r="D68" s="83">
        <f>104646.09+977.8-13036.87-11663.41</f>
        <v>80923.61</v>
      </c>
      <c r="E68" s="142"/>
      <c r="F68" s="304">
        <f>D68</f>
        <v>80923.61</v>
      </c>
      <c r="G68" s="289">
        <v>1614</v>
      </c>
      <c r="H68" s="363">
        <f t="shared" si="236"/>
        <v>1.9944735535154696E-2</v>
      </c>
      <c r="I68" s="287"/>
      <c r="J68" s="313">
        <f t="shared" si="237"/>
        <v>0</v>
      </c>
      <c r="K68" s="287">
        <v>11007.39</v>
      </c>
      <c r="L68" s="288">
        <f t="shared" si="238"/>
        <v>0.13602198418978095</v>
      </c>
      <c r="M68" s="289">
        <v>23395.46</v>
      </c>
      <c r="N68" s="288">
        <f t="shared" si="239"/>
        <v>0.28910549096858135</v>
      </c>
      <c r="O68" s="287">
        <f>10942.29+977.8</f>
        <v>11920.09</v>
      </c>
      <c r="P68" s="290">
        <f t="shared" si="240"/>
        <v>0.14730052206024916</v>
      </c>
      <c r="Q68" s="289"/>
      <c r="R68" s="290">
        <f t="shared" si="241"/>
        <v>0</v>
      </c>
      <c r="S68" s="287">
        <v>10720.29</v>
      </c>
      <c r="T68" s="290">
        <f t="shared" si="242"/>
        <v>0.13247419387246814</v>
      </c>
      <c r="U68" s="287">
        <f>3896+6213.38</f>
        <v>10109.380000000001</v>
      </c>
      <c r="V68" s="290">
        <f t="shared" si="243"/>
        <v>0.12492497554174858</v>
      </c>
      <c r="W68" s="289"/>
      <c r="X68" s="290">
        <f t="shared" si="244"/>
        <v>0</v>
      </c>
      <c r="Y68" s="287"/>
      <c r="Z68" s="290">
        <f t="shared" si="245"/>
        <v>0</v>
      </c>
      <c r="AA68" s="289"/>
      <c r="AB68" s="290">
        <f t="shared" si="246"/>
        <v>0</v>
      </c>
      <c r="AC68" s="287">
        <f>801.36+1844.4+1132.08+1780.8</f>
        <v>5558.64</v>
      </c>
      <c r="AD68" s="290">
        <f t="shared" si="247"/>
        <v>6.8689965759065871E-2</v>
      </c>
      <c r="AE68" s="289">
        <v>6147.86</v>
      </c>
      <c r="AF68" s="290">
        <f t="shared" si="248"/>
        <v>7.5971153536032315E-2</v>
      </c>
      <c r="AG68" s="287">
        <v>450.5</v>
      </c>
      <c r="AH68" s="290">
        <f t="shared" si="249"/>
        <v>5.5669785369189539E-3</v>
      </c>
      <c r="AI68" s="289"/>
      <c r="AJ68" s="290">
        <f t="shared" si="250"/>
        <v>0</v>
      </c>
      <c r="AK68" s="289"/>
      <c r="AL68" s="290">
        <f t="shared" si="111"/>
        <v>0</v>
      </c>
      <c r="AM68" s="289"/>
      <c r="AN68" s="290">
        <f t="shared" si="49"/>
        <v>0</v>
      </c>
      <c r="AO68" s="289"/>
      <c r="AP68" s="290">
        <f t="shared" si="50"/>
        <v>0</v>
      </c>
      <c r="AQ68" s="323">
        <f t="shared" si="112"/>
        <v>1.0000000000000002</v>
      </c>
      <c r="AR68" s="81">
        <v>0</v>
      </c>
      <c r="AS68" s="81"/>
      <c r="AT68" s="84">
        <v>0</v>
      </c>
      <c r="AU68" s="85"/>
      <c r="AV68" s="84">
        <v>0</v>
      </c>
      <c r="AW68" s="81"/>
      <c r="AX68" s="84">
        <v>0</v>
      </c>
      <c r="AY68" s="85"/>
      <c r="AZ68" s="84">
        <v>0</v>
      </c>
      <c r="BA68" s="81"/>
      <c r="BB68" s="84">
        <v>0</v>
      </c>
      <c r="BC68" s="85"/>
      <c r="BD68" s="84">
        <v>0</v>
      </c>
      <c r="BE68" s="85"/>
      <c r="BF68" s="84">
        <v>0</v>
      </c>
      <c r="BG68" s="85"/>
      <c r="BH68" s="84"/>
      <c r="BI68" s="85"/>
      <c r="BJ68" s="84">
        <v>0</v>
      </c>
      <c r="BK68" s="85"/>
      <c r="BL68" s="84">
        <v>12000</v>
      </c>
      <c r="BM68" s="85"/>
      <c r="BN68" s="84">
        <f t="shared" si="62"/>
        <v>68923.61</v>
      </c>
      <c r="BO68" s="81"/>
      <c r="BP68" s="214">
        <f t="shared" si="63"/>
        <v>0</v>
      </c>
    </row>
    <row r="69" spans="1:68" ht="13.9" x14ac:dyDescent="0.4">
      <c r="A69" s="39"/>
      <c r="B69" s="389" t="s">
        <v>813</v>
      </c>
      <c r="C69" s="180"/>
      <c r="D69" s="83">
        <v>76836</v>
      </c>
      <c r="E69" s="142"/>
      <c r="F69" s="304"/>
      <c r="G69" s="289"/>
      <c r="H69" s="363" t="e">
        <f t="shared" ref="H69" si="254">G69/F69</f>
        <v>#DIV/0!</v>
      </c>
      <c r="I69" s="287"/>
      <c r="J69" s="313" t="e">
        <f t="shared" ref="J69" si="255">I69/F69</f>
        <v>#DIV/0!</v>
      </c>
      <c r="K69" s="287"/>
      <c r="L69" s="288" t="e">
        <f t="shared" ref="L69" si="256">K69/F69</f>
        <v>#DIV/0!</v>
      </c>
      <c r="M69" s="289"/>
      <c r="N69" s="288" t="e">
        <f t="shared" si="239"/>
        <v>#DIV/0!</v>
      </c>
      <c r="O69" s="287"/>
      <c r="P69" s="290" t="e">
        <f t="shared" si="240"/>
        <v>#DIV/0!</v>
      </c>
      <c r="Q69" s="289"/>
      <c r="R69" s="290" t="e">
        <f t="shared" si="241"/>
        <v>#DIV/0!</v>
      </c>
      <c r="S69" s="287"/>
      <c r="T69" s="290" t="e">
        <f t="shared" si="242"/>
        <v>#DIV/0!</v>
      </c>
      <c r="U69" s="287"/>
      <c r="V69" s="290" t="e">
        <f t="shared" si="243"/>
        <v>#DIV/0!</v>
      </c>
      <c r="W69" s="289"/>
      <c r="X69" s="290" t="e">
        <f t="shared" si="244"/>
        <v>#DIV/0!</v>
      </c>
      <c r="Y69" s="287"/>
      <c r="Z69" s="290" t="e">
        <f t="shared" si="245"/>
        <v>#DIV/0!</v>
      </c>
      <c r="AA69" s="289"/>
      <c r="AB69" s="290" t="e">
        <f t="shared" si="246"/>
        <v>#DIV/0!</v>
      </c>
      <c r="AC69" s="287"/>
      <c r="AD69" s="290" t="e">
        <f t="shared" si="247"/>
        <v>#DIV/0!</v>
      </c>
      <c r="AE69" s="289"/>
      <c r="AF69" s="290" t="e">
        <f t="shared" si="248"/>
        <v>#DIV/0!</v>
      </c>
      <c r="AG69" s="287"/>
      <c r="AH69" s="290" t="e">
        <f t="shared" si="249"/>
        <v>#DIV/0!</v>
      </c>
      <c r="AI69" s="289"/>
      <c r="AJ69" s="290" t="e">
        <f t="shared" si="250"/>
        <v>#DIV/0!</v>
      </c>
      <c r="AK69" s="289"/>
      <c r="AL69" s="290" t="e">
        <f t="shared" si="111"/>
        <v>#DIV/0!</v>
      </c>
      <c r="AM69" s="289"/>
      <c r="AN69" s="290" t="e">
        <f t="shared" si="49"/>
        <v>#DIV/0!</v>
      </c>
      <c r="AO69" s="289"/>
      <c r="AP69" s="290" t="e">
        <f t="shared" si="50"/>
        <v>#DIV/0!</v>
      </c>
      <c r="AQ69" s="323" t="e">
        <f t="shared" si="112"/>
        <v>#DIV/0!</v>
      </c>
      <c r="AR69" s="81">
        <f t="shared" si="51"/>
        <v>0</v>
      </c>
      <c r="AS69" s="81"/>
      <c r="AT69" s="84">
        <f t="shared" si="52"/>
        <v>0</v>
      </c>
      <c r="AU69" s="85"/>
      <c r="AV69" s="84">
        <f t="shared" si="53"/>
        <v>0</v>
      </c>
      <c r="AW69" s="81"/>
      <c r="AX69" s="84">
        <f t="shared" si="54"/>
        <v>0</v>
      </c>
      <c r="AY69" s="85"/>
      <c r="AZ69" s="84">
        <f t="shared" si="55"/>
        <v>0</v>
      </c>
      <c r="BA69" s="81"/>
      <c r="BB69" s="84">
        <f t="shared" si="56"/>
        <v>0</v>
      </c>
      <c r="BC69" s="85"/>
      <c r="BD69" s="84">
        <f t="shared" si="57"/>
        <v>0</v>
      </c>
      <c r="BE69" s="85"/>
      <c r="BF69" s="84">
        <f t="shared" si="58"/>
        <v>0</v>
      </c>
      <c r="BG69" s="85"/>
      <c r="BH69" s="84">
        <f t="shared" si="59"/>
        <v>0</v>
      </c>
      <c r="BI69" s="85"/>
      <c r="BJ69" s="84">
        <f t="shared" si="60"/>
        <v>0</v>
      </c>
      <c r="BK69" s="85"/>
      <c r="BL69" s="84">
        <f t="shared" si="61"/>
        <v>0</v>
      </c>
      <c r="BM69" s="85"/>
      <c r="BN69" s="84">
        <f t="shared" si="62"/>
        <v>0</v>
      </c>
      <c r="BO69" s="81"/>
      <c r="BP69" s="214">
        <f t="shared" si="63"/>
        <v>0</v>
      </c>
    </row>
    <row r="70" spans="1:68" ht="13.9" x14ac:dyDescent="0.4">
      <c r="A70" s="427"/>
      <c r="B70" s="389" t="s">
        <v>814</v>
      </c>
      <c r="C70" s="180"/>
      <c r="D70" s="83">
        <f>66186.01+2131.74+9656.4+2732.45</f>
        <v>80706.599999999991</v>
      </c>
      <c r="E70" s="142"/>
      <c r="F70" s="304">
        <f>D70</f>
        <v>80706.599999999991</v>
      </c>
      <c r="G70" s="289">
        <v>1800</v>
      </c>
      <c r="H70" s="363">
        <f t="shared" si="236"/>
        <v>2.2303008675870376E-2</v>
      </c>
      <c r="I70" s="287">
        <v>300.20999999999998</v>
      </c>
      <c r="J70" s="313">
        <f t="shared" si="237"/>
        <v>3.7197701303239143E-3</v>
      </c>
      <c r="K70" s="287">
        <f>5051.31+8168.73</f>
        <v>13220.04</v>
      </c>
      <c r="L70" s="288">
        <f t="shared" si="238"/>
        <v>0.16380370378630746</v>
      </c>
      <c r="M70" s="289">
        <v>3806.95</v>
      </c>
      <c r="N70" s="288">
        <f t="shared" si="239"/>
        <v>4.7170243821447071E-2</v>
      </c>
      <c r="O70" s="287">
        <v>7468.56</v>
      </c>
      <c r="P70" s="290">
        <f t="shared" si="240"/>
        <v>9.253964359792137E-2</v>
      </c>
      <c r="Q70" s="289">
        <v>11620.05</v>
      </c>
      <c r="R70" s="290">
        <f t="shared" si="241"/>
        <v>0.14397893109113755</v>
      </c>
      <c r="S70" s="287">
        <v>4309.07</v>
      </c>
      <c r="T70" s="290">
        <f t="shared" si="242"/>
        <v>5.3391791997184863E-2</v>
      </c>
      <c r="U70" s="287">
        <f>3687.58+1627.09</f>
        <v>5314.67</v>
      </c>
      <c r="V70" s="290">
        <f t="shared" si="243"/>
        <v>6.5851739510771126E-2</v>
      </c>
      <c r="W70" s="289">
        <f>6398.21+580.24</f>
        <v>6978.45</v>
      </c>
      <c r="X70" s="290">
        <f t="shared" si="244"/>
        <v>8.6466906052293124E-2</v>
      </c>
      <c r="Y70" s="287"/>
      <c r="Z70" s="290">
        <f t="shared" si="245"/>
        <v>0</v>
      </c>
      <c r="AA70" s="289"/>
      <c r="AB70" s="290">
        <f t="shared" si="246"/>
        <v>0</v>
      </c>
      <c r="AC70" s="287"/>
      <c r="AD70" s="290">
        <f t="shared" si="247"/>
        <v>0</v>
      </c>
      <c r="AE70" s="289"/>
      <c r="AF70" s="290">
        <f t="shared" si="248"/>
        <v>0</v>
      </c>
      <c r="AG70" s="287"/>
      <c r="AH70" s="290">
        <f t="shared" si="249"/>
        <v>0</v>
      </c>
      <c r="AI70" s="289">
        <v>8668.01</v>
      </c>
      <c r="AJ70" s="290">
        <f t="shared" si="250"/>
        <v>0.10740150124029511</v>
      </c>
      <c r="AK70" s="289"/>
      <c r="AL70" s="290">
        <f t="shared" si="111"/>
        <v>0</v>
      </c>
      <c r="AM70" s="289"/>
      <c r="AN70" s="290">
        <f t="shared" si="49"/>
        <v>0</v>
      </c>
      <c r="AO70" s="289"/>
      <c r="AP70" s="290">
        <f t="shared" si="50"/>
        <v>0</v>
      </c>
      <c r="AQ70" s="323">
        <f t="shared" si="112"/>
        <v>0.7866272399035521</v>
      </c>
      <c r="AR70" s="81">
        <v>0</v>
      </c>
      <c r="AS70" s="81"/>
      <c r="AT70" s="84">
        <v>0</v>
      </c>
      <c r="AU70" s="85"/>
      <c r="AV70" s="84">
        <v>0</v>
      </c>
      <c r="AW70" s="81"/>
      <c r="AX70" s="84">
        <v>0</v>
      </c>
      <c r="AY70" s="85"/>
      <c r="AZ70" s="84">
        <v>0</v>
      </c>
      <c r="BA70" s="81"/>
      <c r="BB70" s="84">
        <v>0</v>
      </c>
      <c r="BC70" s="85"/>
      <c r="BD70" s="84">
        <f>BE70</f>
        <v>9300.34</v>
      </c>
      <c r="BE70" s="435">
        <v>9300.34</v>
      </c>
      <c r="BF70" s="84">
        <v>25000</v>
      </c>
      <c r="BG70" s="85"/>
      <c r="BH70" s="84">
        <v>15000</v>
      </c>
      <c r="BI70" s="85"/>
      <c r="BJ70" s="84">
        <v>10000</v>
      </c>
      <c r="BK70" s="85"/>
      <c r="BL70" s="84">
        <f t="shared" si="61"/>
        <v>21406.259999999995</v>
      </c>
      <c r="BM70" s="85"/>
      <c r="BN70" s="84">
        <f t="shared" si="62"/>
        <v>0</v>
      </c>
      <c r="BO70" s="81"/>
      <c r="BP70" s="214">
        <f t="shared" si="63"/>
        <v>0</v>
      </c>
    </row>
    <row r="71" spans="1:68" ht="13.9" x14ac:dyDescent="0.4">
      <c r="A71" s="427"/>
      <c r="B71" s="389" t="s">
        <v>815</v>
      </c>
      <c r="C71" s="180"/>
      <c r="D71" s="83">
        <v>160086</v>
      </c>
      <c r="E71" s="142"/>
      <c r="F71" s="304"/>
      <c r="G71" s="289"/>
      <c r="H71" s="363" t="e">
        <f t="shared" si="236"/>
        <v>#DIV/0!</v>
      </c>
      <c r="I71" s="287"/>
      <c r="J71" s="313" t="e">
        <f t="shared" si="237"/>
        <v>#DIV/0!</v>
      </c>
      <c r="K71" s="287"/>
      <c r="L71" s="288" t="e">
        <f t="shared" si="238"/>
        <v>#DIV/0!</v>
      </c>
      <c r="M71" s="289"/>
      <c r="N71" s="288" t="e">
        <f t="shared" si="239"/>
        <v>#DIV/0!</v>
      </c>
      <c r="O71" s="287"/>
      <c r="P71" s="290" t="e">
        <f t="shared" si="240"/>
        <v>#DIV/0!</v>
      </c>
      <c r="Q71" s="289"/>
      <c r="R71" s="290" t="e">
        <f t="shared" si="241"/>
        <v>#DIV/0!</v>
      </c>
      <c r="S71" s="287"/>
      <c r="T71" s="290" t="e">
        <f t="shared" si="242"/>
        <v>#DIV/0!</v>
      </c>
      <c r="U71" s="287"/>
      <c r="V71" s="290" t="e">
        <f t="shared" si="243"/>
        <v>#DIV/0!</v>
      </c>
      <c r="W71" s="289"/>
      <c r="X71" s="290" t="e">
        <f t="shared" si="244"/>
        <v>#DIV/0!</v>
      </c>
      <c r="Y71" s="287"/>
      <c r="Z71" s="290" t="e">
        <f t="shared" si="245"/>
        <v>#DIV/0!</v>
      </c>
      <c r="AA71" s="289"/>
      <c r="AB71" s="290" t="e">
        <f t="shared" si="246"/>
        <v>#DIV/0!</v>
      </c>
      <c r="AC71" s="287"/>
      <c r="AD71" s="290" t="e">
        <f t="shared" si="247"/>
        <v>#DIV/0!</v>
      </c>
      <c r="AE71" s="289"/>
      <c r="AF71" s="290" t="e">
        <f t="shared" si="248"/>
        <v>#DIV/0!</v>
      </c>
      <c r="AG71" s="287"/>
      <c r="AH71" s="290" t="e">
        <f t="shared" si="249"/>
        <v>#DIV/0!</v>
      </c>
      <c r="AI71" s="289"/>
      <c r="AJ71" s="290" t="e">
        <f t="shared" si="250"/>
        <v>#DIV/0!</v>
      </c>
      <c r="AK71" s="289"/>
      <c r="AL71" s="290" t="e">
        <f t="shared" si="111"/>
        <v>#DIV/0!</v>
      </c>
      <c r="AM71" s="289"/>
      <c r="AN71" s="290" t="e">
        <f t="shared" si="49"/>
        <v>#DIV/0!</v>
      </c>
      <c r="AO71" s="289"/>
      <c r="AP71" s="290" t="e">
        <f t="shared" si="50"/>
        <v>#DIV/0!</v>
      </c>
      <c r="AQ71" s="323" t="e">
        <f t="shared" si="112"/>
        <v>#DIV/0!</v>
      </c>
      <c r="AR71" s="81">
        <f t="shared" si="51"/>
        <v>0</v>
      </c>
      <c r="AS71" s="81"/>
      <c r="AT71" s="84">
        <f t="shared" si="52"/>
        <v>0</v>
      </c>
      <c r="AU71" s="85"/>
      <c r="AV71" s="84">
        <f t="shared" si="53"/>
        <v>0</v>
      </c>
      <c r="AW71" s="81"/>
      <c r="AX71" s="84">
        <f t="shared" si="54"/>
        <v>0</v>
      </c>
      <c r="AY71" s="85"/>
      <c r="AZ71" s="84">
        <f t="shared" si="55"/>
        <v>0</v>
      </c>
      <c r="BA71" s="81"/>
      <c r="BB71" s="84">
        <f t="shared" si="56"/>
        <v>0</v>
      </c>
      <c r="BC71" s="85"/>
      <c r="BD71" s="84">
        <f t="shared" si="57"/>
        <v>0</v>
      </c>
      <c r="BE71" s="85"/>
      <c r="BF71" s="84">
        <f t="shared" si="58"/>
        <v>0</v>
      </c>
      <c r="BG71" s="85"/>
      <c r="BH71" s="84">
        <f t="shared" si="59"/>
        <v>0</v>
      </c>
      <c r="BI71" s="85"/>
      <c r="BJ71" s="84">
        <f t="shared" si="60"/>
        <v>0</v>
      </c>
      <c r="BK71" s="85"/>
      <c r="BL71" s="84">
        <f t="shared" si="61"/>
        <v>0</v>
      </c>
      <c r="BM71" s="85"/>
      <c r="BN71" s="84">
        <f t="shared" si="62"/>
        <v>0</v>
      </c>
      <c r="BO71" s="81"/>
      <c r="BP71" s="214">
        <f t="shared" si="63"/>
        <v>0</v>
      </c>
    </row>
    <row r="72" spans="1:68" ht="13.9" x14ac:dyDescent="0.4">
      <c r="A72" s="427"/>
      <c r="B72" s="389" t="s">
        <v>821</v>
      </c>
      <c r="C72" s="180"/>
      <c r="D72" s="83">
        <v>19248</v>
      </c>
      <c r="E72" s="141"/>
      <c r="F72" s="304">
        <f t="shared" ref="F72" si="257">D72</f>
        <v>19248</v>
      </c>
      <c r="G72" s="289"/>
      <c r="H72" s="363">
        <f>G72/F72</f>
        <v>0</v>
      </c>
      <c r="I72" s="287"/>
      <c r="J72" s="313">
        <f>I72/F72</f>
        <v>0</v>
      </c>
      <c r="K72" s="287">
        <v>4833.62</v>
      </c>
      <c r="L72" s="288">
        <f>K72/F72</f>
        <v>0.25112323358270988</v>
      </c>
      <c r="M72" s="289">
        <v>997.97</v>
      </c>
      <c r="N72" s="288">
        <f t="shared" si="239"/>
        <v>5.184798420615129E-2</v>
      </c>
      <c r="O72" s="287">
        <v>2436.11</v>
      </c>
      <c r="P72" s="290">
        <f t="shared" si="240"/>
        <v>0.12656431837073984</v>
      </c>
      <c r="Q72" s="289">
        <v>8042.88</v>
      </c>
      <c r="R72" s="290">
        <f t="shared" si="241"/>
        <v>0.41785536159601</v>
      </c>
      <c r="S72" s="287"/>
      <c r="T72" s="290">
        <f t="shared" si="242"/>
        <v>0</v>
      </c>
      <c r="U72" s="287"/>
      <c r="V72" s="290">
        <f t="shared" si="243"/>
        <v>0</v>
      </c>
      <c r="W72" s="289"/>
      <c r="X72" s="290">
        <f t="shared" si="244"/>
        <v>0</v>
      </c>
      <c r="Y72" s="287"/>
      <c r="Z72" s="290">
        <f t="shared" si="245"/>
        <v>0</v>
      </c>
      <c r="AA72" s="289"/>
      <c r="AB72" s="290">
        <f t="shared" si="246"/>
        <v>0</v>
      </c>
      <c r="AC72" s="287"/>
      <c r="AD72" s="290">
        <f t="shared" si="247"/>
        <v>0</v>
      </c>
      <c r="AE72" s="289"/>
      <c r="AF72" s="290">
        <f t="shared" si="248"/>
        <v>0</v>
      </c>
      <c r="AG72" s="287"/>
      <c r="AH72" s="290">
        <f t="shared" si="249"/>
        <v>0</v>
      </c>
      <c r="AI72" s="289"/>
      <c r="AJ72" s="290">
        <f t="shared" si="250"/>
        <v>0</v>
      </c>
      <c r="AK72" s="289"/>
      <c r="AL72" s="290">
        <f t="shared" ref="AL72" si="258">AK72/F72</f>
        <v>0</v>
      </c>
      <c r="AM72" s="289"/>
      <c r="AN72" s="290">
        <f t="shared" si="49"/>
        <v>0</v>
      </c>
      <c r="AO72" s="289">
        <v>2937.49</v>
      </c>
      <c r="AP72" s="290">
        <f t="shared" si="50"/>
        <v>0.15261273898586866</v>
      </c>
      <c r="AQ72" s="323">
        <f t="shared" ref="AQ72" si="259">L72+N72+P72+R72+T72+V72+X72+Z72+AB72+AD72+H72+J72+AJ72+AF72+AH72+AN72+AP72+AL72</f>
        <v>1.0000036367414797</v>
      </c>
      <c r="AR72" s="81">
        <v>0</v>
      </c>
      <c r="AS72" s="81">
        <v>0</v>
      </c>
      <c r="AT72" s="84">
        <v>0</v>
      </c>
      <c r="AU72" s="85"/>
      <c r="AV72" s="84">
        <v>0</v>
      </c>
      <c r="AW72" s="81"/>
      <c r="AX72" s="84">
        <v>0</v>
      </c>
      <c r="AY72" s="85"/>
      <c r="AZ72" s="84">
        <v>0</v>
      </c>
      <c r="BA72" s="81"/>
      <c r="BB72" s="84">
        <v>0</v>
      </c>
      <c r="BC72" s="85"/>
      <c r="BD72" s="84">
        <f>BE72</f>
        <v>19248.07</v>
      </c>
      <c r="BE72" s="435">
        <v>19248.07</v>
      </c>
      <c r="BF72" s="84">
        <f t="shared" si="58"/>
        <v>-6.9999999999708962E-2</v>
      </c>
      <c r="BG72" s="85"/>
      <c r="BH72" s="84">
        <f t="shared" si="59"/>
        <v>0</v>
      </c>
      <c r="BI72" s="85"/>
      <c r="BJ72" s="84">
        <f t="shared" si="60"/>
        <v>0</v>
      </c>
      <c r="BK72" s="85"/>
      <c r="BL72" s="84">
        <f t="shared" si="61"/>
        <v>0</v>
      </c>
      <c r="BM72" s="85"/>
      <c r="BN72" s="84">
        <f t="shared" si="62"/>
        <v>0</v>
      </c>
      <c r="BO72" s="81"/>
      <c r="BP72" s="214">
        <f t="shared" si="63"/>
        <v>0</v>
      </c>
    </row>
    <row r="73" spans="1:68" ht="13.9" x14ac:dyDescent="0.4">
      <c r="A73" s="427"/>
      <c r="B73" s="389" t="s">
        <v>782</v>
      </c>
      <c r="C73" s="180"/>
      <c r="D73" s="83">
        <v>30937</v>
      </c>
      <c r="E73" s="142"/>
      <c r="F73" s="304">
        <f>D73</f>
        <v>30937</v>
      </c>
      <c r="G73" s="289">
        <v>1800</v>
      </c>
      <c r="H73" s="363">
        <f t="shared" si="236"/>
        <v>5.8182758509228431E-2</v>
      </c>
      <c r="I73" s="287"/>
      <c r="J73" s="313">
        <f t="shared" si="237"/>
        <v>0</v>
      </c>
      <c r="K73" s="287">
        <v>7732.66</v>
      </c>
      <c r="L73" s="288">
        <f t="shared" si="238"/>
        <v>0.24994860522998352</v>
      </c>
      <c r="M73" s="289">
        <v>4207.5600000000004</v>
      </c>
      <c r="N73" s="288">
        <f t="shared" si="239"/>
        <v>0.13600413744060511</v>
      </c>
      <c r="O73" s="287">
        <v>5016.22</v>
      </c>
      <c r="P73" s="290">
        <f t="shared" si="240"/>
        <v>0.16214306493842326</v>
      </c>
      <c r="Q73" s="289">
        <v>958.53</v>
      </c>
      <c r="R73" s="290">
        <f t="shared" si="241"/>
        <v>3.0983288618805959E-2</v>
      </c>
      <c r="S73" s="287">
        <v>3113.85</v>
      </c>
      <c r="T73" s="290">
        <f t="shared" si="242"/>
        <v>0.10065132365775609</v>
      </c>
      <c r="U73" s="287">
        <v>1024.51</v>
      </c>
      <c r="V73" s="290">
        <f t="shared" si="243"/>
        <v>3.3116009955716459E-2</v>
      </c>
      <c r="W73" s="289">
        <v>1786.84</v>
      </c>
      <c r="X73" s="290">
        <f t="shared" si="244"/>
        <v>5.7757377897016515E-2</v>
      </c>
      <c r="Y73" s="287"/>
      <c r="Z73" s="290">
        <f t="shared" si="245"/>
        <v>0</v>
      </c>
      <c r="AA73" s="289"/>
      <c r="AB73" s="290">
        <f t="shared" si="246"/>
        <v>0</v>
      </c>
      <c r="AC73" s="287"/>
      <c r="AD73" s="290">
        <f t="shared" si="247"/>
        <v>0</v>
      </c>
      <c r="AE73" s="289"/>
      <c r="AF73" s="290">
        <f t="shared" si="248"/>
        <v>0</v>
      </c>
      <c r="AG73" s="287"/>
      <c r="AH73" s="290">
        <f t="shared" si="249"/>
        <v>0</v>
      </c>
      <c r="AI73" s="289">
        <v>5296.84</v>
      </c>
      <c r="AJ73" s="290">
        <f t="shared" si="250"/>
        <v>0.17121375699001196</v>
      </c>
      <c r="AK73" s="289"/>
      <c r="AL73" s="290">
        <f t="shared" si="111"/>
        <v>0</v>
      </c>
      <c r="AM73" s="289"/>
      <c r="AN73" s="290">
        <f t="shared" si="49"/>
        <v>0</v>
      </c>
      <c r="AO73" s="289"/>
      <c r="AP73" s="290">
        <f t="shared" si="50"/>
        <v>0</v>
      </c>
      <c r="AQ73" s="323">
        <f t="shared" si="112"/>
        <v>1.0000003232375474</v>
      </c>
      <c r="AR73" s="81">
        <v>0</v>
      </c>
      <c r="AS73" s="81"/>
      <c r="AT73" s="84">
        <v>0</v>
      </c>
      <c r="AU73" s="85"/>
      <c r="AV73" s="84">
        <v>0</v>
      </c>
      <c r="AW73" s="81"/>
      <c r="AX73" s="84">
        <v>0</v>
      </c>
      <c r="AY73" s="85"/>
      <c r="AZ73" s="230">
        <f>BA73</f>
        <v>5240.3</v>
      </c>
      <c r="BA73" s="195">
        <v>5240.3</v>
      </c>
      <c r="BB73" s="230">
        <f>BC73</f>
        <v>23308.14</v>
      </c>
      <c r="BC73" s="231">
        <v>23308.14</v>
      </c>
      <c r="BD73" s="84">
        <f t="shared" si="57"/>
        <v>2388.5600000000013</v>
      </c>
      <c r="BE73" s="85">
        <v>350</v>
      </c>
      <c r="BF73" s="84">
        <f t="shared" si="58"/>
        <v>0</v>
      </c>
      <c r="BG73" s="85"/>
      <c r="BH73" s="84">
        <f t="shared" si="59"/>
        <v>0</v>
      </c>
      <c r="BI73" s="85"/>
      <c r="BJ73" s="84">
        <f t="shared" si="60"/>
        <v>0</v>
      </c>
      <c r="BK73" s="85"/>
      <c r="BL73" s="84">
        <f t="shared" si="61"/>
        <v>0</v>
      </c>
      <c r="BM73" s="85"/>
      <c r="BN73" s="84">
        <f t="shared" si="62"/>
        <v>0</v>
      </c>
      <c r="BO73" s="81"/>
      <c r="BP73" s="214">
        <f t="shared" si="63"/>
        <v>0</v>
      </c>
    </row>
    <row r="74" spans="1:68" ht="13.9" x14ac:dyDescent="0.4">
      <c r="A74" s="427"/>
      <c r="B74" s="389" t="s">
        <v>816</v>
      </c>
      <c r="C74" s="180"/>
      <c r="D74" s="83">
        <v>98822</v>
      </c>
      <c r="E74" s="142"/>
      <c r="F74" s="304"/>
      <c r="G74" s="289"/>
      <c r="H74" s="363" t="e">
        <f t="shared" ref="H74" si="260">G74/F74</f>
        <v>#DIV/0!</v>
      </c>
      <c r="I74" s="287"/>
      <c r="J74" s="313" t="e">
        <f t="shared" ref="J74" si="261">I74/F74</f>
        <v>#DIV/0!</v>
      </c>
      <c r="K74" s="287"/>
      <c r="L74" s="288" t="e">
        <f t="shared" ref="L74" si="262">K74/F74</f>
        <v>#DIV/0!</v>
      </c>
      <c r="M74" s="289"/>
      <c r="N74" s="288" t="e">
        <f t="shared" si="239"/>
        <v>#DIV/0!</v>
      </c>
      <c r="O74" s="287"/>
      <c r="P74" s="290" t="e">
        <f t="shared" si="240"/>
        <v>#DIV/0!</v>
      </c>
      <c r="Q74" s="289"/>
      <c r="R74" s="290" t="e">
        <f t="shared" si="241"/>
        <v>#DIV/0!</v>
      </c>
      <c r="S74" s="287"/>
      <c r="T74" s="290" t="e">
        <f t="shared" si="242"/>
        <v>#DIV/0!</v>
      </c>
      <c r="U74" s="287"/>
      <c r="V74" s="290" t="e">
        <f t="shared" si="243"/>
        <v>#DIV/0!</v>
      </c>
      <c r="W74" s="289"/>
      <c r="X74" s="290" t="e">
        <f t="shared" si="244"/>
        <v>#DIV/0!</v>
      </c>
      <c r="Y74" s="287"/>
      <c r="Z74" s="290" t="e">
        <f t="shared" si="245"/>
        <v>#DIV/0!</v>
      </c>
      <c r="AA74" s="289"/>
      <c r="AB74" s="290" t="e">
        <f t="shared" si="246"/>
        <v>#DIV/0!</v>
      </c>
      <c r="AC74" s="287"/>
      <c r="AD74" s="290" t="e">
        <f t="shared" si="247"/>
        <v>#DIV/0!</v>
      </c>
      <c r="AE74" s="289"/>
      <c r="AF74" s="290" t="e">
        <f t="shared" si="248"/>
        <v>#DIV/0!</v>
      </c>
      <c r="AG74" s="287"/>
      <c r="AH74" s="290" t="e">
        <f t="shared" si="249"/>
        <v>#DIV/0!</v>
      </c>
      <c r="AI74" s="289"/>
      <c r="AJ74" s="290" t="e">
        <f t="shared" si="250"/>
        <v>#DIV/0!</v>
      </c>
      <c r="AK74" s="289"/>
      <c r="AL74" s="290" t="e">
        <f t="shared" si="111"/>
        <v>#DIV/0!</v>
      </c>
      <c r="AM74" s="289"/>
      <c r="AN74" s="290" t="e">
        <f t="shared" si="49"/>
        <v>#DIV/0!</v>
      </c>
      <c r="AO74" s="289"/>
      <c r="AP74" s="290" t="e">
        <f t="shared" si="50"/>
        <v>#DIV/0!</v>
      </c>
      <c r="AQ74" s="323" t="e">
        <f t="shared" si="112"/>
        <v>#DIV/0!</v>
      </c>
      <c r="AR74" s="81">
        <f t="shared" si="51"/>
        <v>0</v>
      </c>
      <c r="AS74" s="81"/>
      <c r="AT74" s="84">
        <f t="shared" si="52"/>
        <v>0</v>
      </c>
      <c r="AU74" s="85"/>
      <c r="AV74" s="84">
        <f t="shared" si="53"/>
        <v>0</v>
      </c>
      <c r="AW74" s="81"/>
      <c r="AX74" s="84">
        <f t="shared" si="54"/>
        <v>0</v>
      </c>
      <c r="AY74" s="85"/>
      <c r="AZ74" s="84">
        <f t="shared" si="55"/>
        <v>0</v>
      </c>
      <c r="BA74" s="81"/>
      <c r="BB74" s="84">
        <f t="shared" si="56"/>
        <v>0</v>
      </c>
      <c r="BC74" s="85"/>
      <c r="BD74" s="84">
        <f t="shared" si="57"/>
        <v>0</v>
      </c>
      <c r="BE74" s="85"/>
      <c r="BF74" s="84">
        <f t="shared" si="58"/>
        <v>0</v>
      </c>
      <c r="BG74" s="85"/>
      <c r="BH74" s="84">
        <f t="shared" si="59"/>
        <v>0</v>
      </c>
      <c r="BI74" s="85"/>
      <c r="BJ74" s="84">
        <f t="shared" si="60"/>
        <v>0</v>
      </c>
      <c r="BK74" s="85"/>
      <c r="BL74" s="84">
        <f t="shared" si="61"/>
        <v>0</v>
      </c>
      <c r="BM74" s="85"/>
      <c r="BN74" s="84">
        <f t="shared" si="62"/>
        <v>0</v>
      </c>
      <c r="BO74" s="81"/>
      <c r="BP74" s="214">
        <f t="shared" si="63"/>
        <v>0</v>
      </c>
    </row>
    <row r="75" spans="1:68" ht="13.9" x14ac:dyDescent="0.4">
      <c r="A75" s="427"/>
      <c r="B75" s="389" t="s">
        <v>817</v>
      </c>
      <c r="C75" s="180"/>
      <c r="D75" s="83">
        <v>76200</v>
      </c>
      <c r="E75" s="142">
        <f t="shared" si="251"/>
        <v>76200</v>
      </c>
      <c r="F75" s="304"/>
      <c r="G75" s="289"/>
      <c r="H75" s="363" t="e">
        <f t="shared" si="207"/>
        <v>#DIV/0!</v>
      </c>
      <c r="I75" s="287"/>
      <c r="J75" s="313" t="e">
        <f t="shared" si="35"/>
        <v>#DIV/0!</v>
      </c>
      <c r="K75" s="287"/>
      <c r="L75" s="288" t="e">
        <f t="shared" si="36"/>
        <v>#DIV/0!</v>
      </c>
      <c r="M75" s="289"/>
      <c r="N75" s="288" t="e">
        <f t="shared" si="239"/>
        <v>#DIV/0!</v>
      </c>
      <c r="O75" s="287"/>
      <c r="P75" s="290" t="e">
        <f t="shared" si="240"/>
        <v>#DIV/0!</v>
      </c>
      <c r="Q75" s="289"/>
      <c r="R75" s="290" t="e">
        <f t="shared" si="241"/>
        <v>#DIV/0!</v>
      </c>
      <c r="S75" s="287"/>
      <c r="T75" s="290" t="e">
        <f t="shared" si="242"/>
        <v>#DIV/0!</v>
      </c>
      <c r="U75" s="287"/>
      <c r="V75" s="290" t="e">
        <f t="shared" si="243"/>
        <v>#DIV/0!</v>
      </c>
      <c r="W75" s="289"/>
      <c r="X75" s="290" t="e">
        <f t="shared" si="244"/>
        <v>#DIV/0!</v>
      </c>
      <c r="Y75" s="287"/>
      <c r="Z75" s="290" t="e">
        <f t="shared" si="245"/>
        <v>#DIV/0!</v>
      </c>
      <c r="AA75" s="289"/>
      <c r="AB75" s="290" t="e">
        <f t="shared" si="246"/>
        <v>#DIV/0!</v>
      </c>
      <c r="AC75" s="287"/>
      <c r="AD75" s="290" t="e">
        <f t="shared" si="247"/>
        <v>#DIV/0!</v>
      </c>
      <c r="AE75" s="289"/>
      <c r="AF75" s="290" t="e">
        <f t="shared" si="248"/>
        <v>#DIV/0!</v>
      </c>
      <c r="AG75" s="287"/>
      <c r="AH75" s="290" t="e">
        <f t="shared" si="249"/>
        <v>#DIV/0!</v>
      </c>
      <c r="AI75" s="289"/>
      <c r="AJ75" s="290" t="e">
        <f t="shared" si="250"/>
        <v>#DIV/0!</v>
      </c>
      <c r="AK75" s="289"/>
      <c r="AL75" s="290" t="e">
        <f t="shared" si="111"/>
        <v>#DIV/0!</v>
      </c>
      <c r="AM75" s="289"/>
      <c r="AN75" s="290" t="e">
        <f t="shared" si="49"/>
        <v>#DIV/0!</v>
      </c>
      <c r="AO75" s="289"/>
      <c r="AP75" s="290" t="e">
        <f t="shared" si="50"/>
        <v>#DIV/0!</v>
      </c>
      <c r="AQ75" s="323" t="e">
        <f t="shared" si="112"/>
        <v>#DIV/0!</v>
      </c>
      <c r="AR75" s="81">
        <f t="shared" si="51"/>
        <v>0</v>
      </c>
      <c r="AS75" s="81"/>
      <c r="AT75" s="84">
        <f t="shared" si="52"/>
        <v>0</v>
      </c>
      <c r="AU75" s="85"/>
      <c r="AV75" s="84">
        <f t="shared" si="53"/>
        <v>0</v>
      </c>
      <c r="AW75" s="81"/>
      <c r="AX75" s="84">
        <f t="shared" si="54"/>
        <v>0</v>
      </c>
      <c r="AY75" s="85"/>
      <c r="AZ75" s="84">
        <f t="shared" si="55"/>
        <v>0</v>
      </c>
      <c r="BA75" s="81"/>
      <c r="BB75" s="84">
        <f t="shared" si="56"/>
        <v>0</v>
      </c>
      <c r="BC75" s="85"/>
      <c r="BD75" s="84">
        <f t="shared" si="57"/>
        <v>0</v>
      </c>
      <c r="BE75" s="85"/>
      <c r="BF75" s="84">
        <f t="shared" si="58"/>
        <v>0</v>
      </c>
      <c r="BG75" s="85"/>
      <c r="BH75" s="84">
        <f t="shared" si="59"/>
        <v>0</v>
      </c>
      <c r="BI75" s="85"/>
      <c r="BJ75" s="84">
        <f t="shared" si="60"/>
        <v>0</v>
      </c>
      <c r="BK75" s="85"/>
      <c r="BL75" s="84">
        <f t="shared" si="61"/>
        <v>0</v>
      </c>
      <c r="BM75" s="85"/>
      <c r="BN75" s="84">
        <f t="shared" si="62"/>
        <v>0</v>
      </c>
      <c r="BO75" s="81"/>
      <c r="BP75" s="214">
        <f t="shared" si="63"/>
        <v>0</v>
      </c>
    </row>
    <row r="76" spans="1:68" ht="13.9" x14ac:dyDescent="0.4">
      <c r="A76" s="427"/>
      <c r="B76" s="389" t="s">
        <v>737</v>
      </c>
      <c r="C76" s="180"/>
      <c r="D76" s="83">
        <v>5468</v>
      </c>
      <c r="E76" s="142"/>
      <c r="F76" s="304">
        <f>D76</f>
        <v>5468</v>
      </c>
      <c r="G76" s="289"/>
      <c r="H76" s="363">
        <f t="shared" si="207"/>
        <v>0</v>
      </c>
      <c r="I76" s="287"/>
      <c r="J76" s="313">
        <f t="shared" si="35"/>
        <v>0</v>
      </c>
      <c r="K76" s="287"/>
      <c r="L76" s="288">
        <f t="shared" si="36"/>
        <v>0</v>
      </c>
      <c r="M76" s="289"/>
      <c r="N76" s="288">
        <f>M76/F76</f>
        <v>0</v>
      </c>
      <c r="O76" s="287">
        <v>2965.08</v>
      </c>
      <c r="P76" s="290">
        <f>O76/F76</f>
        <v>0.54226042428675936</v>
      </c>
      <c r="Q76" s="289">
        <v>2503</v>
      </c>
      <c r="R76" s="290">
        <f>Q76/F76</f>
        <v>0.45775420629114849</v>
      </c>
      <c r="S76" s="287"/>
      <c r="T76" s="290">
        <f>S76/F76</f>
        <v>0</v>
      </c>
      <c r="U76" s="287"/>
      <c r="V76" s="290">
        <f>U76/F76</f>
        <v>0</v>
      </c>
      <c r="W76" s="289"/>
      <c r="X76" s="290">
        <f>W76/F76</f>
        <v>0</v>
      </c>
      <c r="Y76" s="287"/>
      <c r="Z76" s="290">
        <f>Y76/F76</f>
        <v>0</v>
      </c>
      <c r="AA76" s="289"/>
      <c r="AB76" s="290">
        <f>AA76/F76</f>
        <v>0</v>
      </c>
      <c r="AC76" s="287"/>
      <c r="AD76" s="290">
        <f>AC76/F76</f>
        <v>0</v>
      </c>
      <c r="AE76" s="289"/>
      <c r="AF76" s="290">
        <f>AE76/F76</f>
        <v>0</v>
      </c>
      <c r="AG76" s="287"/>
      <c r="AH76" s="290">
        <f>AG76/F76</f>
        <v>0</v>
      </c>
      <c r="AI76" s="289"/>
      <c r="AJ76" s="290">
        <f>AI76/F76</f>
        <v>0</v>
      </c>
      <c r="AK76" s="289"/>
      <c r="AL76" s="290">
        <f t="shared" ref="AL76" si="263">AK76/F76</f>
        <v>0</v>
      </c>
      <c r="AM76" s="289"/>
      <c r="AN76" s="290">
        <f t="shared" si="49"/>
        <v>0</v>
      </c>
      <c r="AO76" s="289"/>
      <c r="AP76" s="290">
        <f t="shared" si="50"/>
        <v>0</v>
      </c>
      <c r="AQ76" s="323">
        <f t="shared" ref="AQ76" si="264">L76+N76+P76+R76+T76+V76+X76+Z76+AB76+AD76+H76+J76+AJ76+AF76+AH76+AN76+AP76+AL76</f>
        <v>1.0000146305779078</v>
      </c>
      <c r="AR76" s="81">
        <v>0</v>
      </c>
      <c r="AS76" s="81"/>
      <c r="AT76" s="84">
        <v>0</v>
      </c>
      <c r="AU76" s="85"/>
      <c r="AV76" s="230">
        <f t="shared" si="53"/>
        <v>5468</v>
      </c>
      <c r="AW76" s="195">
        <f>AV76</f>
        <v>5468</v>
      </c>
      <c r="AX76" s="84">
        <f t="shared" si="54"/>
        <v>0</v>
      </c>
      <c r="AY76" s="85"/>
      <c r="AZ76" s="84">
        <f t="shared" si="55"/>
        <v>0</v>
      </c>
      <c r="BA76" s="81"/>
      <c r="BB76" s="84">
        <f t="shared" si="56"/>
        <v>0</v>
      </c>
      <c r="BC76" s="85"/>
      <c r="BD76" s="84">
        <f t="shared" si="57"/>
        <v>0</v>
      </c>
      <c r="BE76" s="85"/>
      <c r="BF76" s="84">
        <f t="shared" si="58"/>
        <v>0</v>
      </c>
      <c r="BG76" s="85"/>
      <c r="BH76" s="84">
        <f t="shared" si="59"/>
        <v>0</v>
      </c>
      <c r="BI76" s="85"/>
      <c r="BJ76" s="84">
        <f t="shared" si="60"/>
        <v>0</v>
      </c>
      <c r="BK76" s="85"/>
      <c r="BL76" s="84">
        <f t="shared" si="61"/>
        <v>0</v>
      </c>
      <c r="BM76" s="85"/>
      <c r="BN76" s="84">
        <f t="shared" si="62"/>
        <v>0</v>
      </c>
      <c r="BO76" s="81"/>
      <c r="BP76" s="214">
        <f t="shared" si="63"/>
        <v>0</v>
      </c>
    </row>
    <row r="77" spans="1:68" ht="14.25" customHeight="1" x14ac:dyDescent="0.4">
      <c r="A77" s="427"/>
      <c r="B77" s="389" t="s">
        <v>775</v>
      </c>
      <c r="C77" s="180"/>
      <c r="D77" s="83">
        <f>'2024-25'!BI62</f>
        <v>6229.5499999999956</v>
      </c>
      <c r="E77" s="107"/>
      <c r="F77" s="304">
        <f>6230+188.37+819.41</f>
        <v>7237.78</v>
      </c>
      <c r="G77" s="289">
        <v>1300</v>
      </c>
      <c r="H77" s="363">
        <f t="shared" si="207"/>
        <v>0.17961308578044649</v>
      </c>
      <c r="I77" s="287"/>
      <c r="J77" s="313">
        <f t="shared" si="35"/>
        <v>0</v>
      </c>
      <c r="K77" s="287"/>
      <c r="L77" s="288">
        <f t="shared" si="36"/>
        <v>0</v>
      </c>
      <c r="M77" s="289"/>
      <c r="N77" s="288">
        <f>M77/F77</f>
        <v>0</v>
      </c>
      <c r="O77" s="287">
        <v>904</v>
      </c>
      <c r="P77" s="290">
        <f>O77/F77</f>
        <v>0.12490017657347972</v>
      </c>
      <c r="Q77" s="289">
        <v>1335.7</v>
      </c>
      <c r="R77" s="290">
        <f>Q77/F77</f>
        <v>0.18454553744380184</v>
      </c>
      <c r="S77" s="287"/>
      <c r="T77" s="290">
        <f>S77/F77</f>
        <v>0</v>
      </c>
      <c r="U77" s="287"/>
      <c r="V77" s="290">
        <f>U77/F77</f>
        <v>0</v>
      </c>
      <c r="W77" s="289">
        <v>1212.8599999999999</v>
      </c>
      <c r="X77" s="290">
        <f>W77/F77</f>
        <v>0.167573482476671</v>
      </c>
      <c r="Y77" s="287"/>
      <c r="Z77" s="290">
        <f>Y77/F77</f>
        <v>0</v>
      </c>
      <c r="AA77" s="289"/>
      <c r="AB77" s="290">
        <f>AA77/F77</f>
        <v>0</v>
      </c>
      <c r="AC77" s="287">
        <f>1384.71+188.37+819.41</f>
        <v>2392.4899999999998</v>
      </c>
      <c r="AD77" s="290">
        <f>AC77/F77</f>
        <v>0.33055577815296955</v>
      </c>
      <c r="AE77" s="289"/>
      <c r="AF77" s="290">
        <f>AE77/F77</f>
        <v>0</v>
      </c>
      <c r="AG77" s="287">
        <v>93</v>
      </c>
      <c r="AH77" s="290">
        <f>AG77/F77</f>
        <v>1.2849243828908865E-2</v>
      </c>
      <c r="AI77" s="289"/>
      <c r="AJ77" s="290">
        <f>AI77/F77</f>
        <v>0</v>
      </c>
      <c r="AK77" s="289"/>
      <c r="AL77" s="290">
        <f t="shared" ref="AL77:AL78" si="265">AK77/F77</f>
        <v>0</v>
      </c>
      <c r="AM77" s="289"/>
      <c r="AN77" s="290">
        <f t="shared" ref="AN77:AN132" si="266">AM77/F77</f>
        <v>0</v>
      </c>
      <c r="AO77" s="289"/>
      <c r="AP77" s="290">
        <f t="shared" ref="AP77:AP132" si="267">AO77/F77</f>
        <v>0</v>
      </c>
      <c r="AQ77" s="323">
        <f t="shared" ref="AQ77:AQ78" si="268">L77+N77+P77+R77+T77+V77+X77+Z77+AB77+AD77+H77+J77+AJ77+AF77+AH77+AN77+AP77+AL77</f>
        <v>1.0000373042562776</v>
      </c>
      <c r="AR77" s="195">
        <f>AS77</f>
        <v>3683.33</v>
      </c>
      <c r="AS77" s="195">
        <v>3683.33</v>
      </c>
      <c r="AT77" s="64">
        <f>819.41+2058.71</f>
        <v>2878.12</v>
      </c>
      <c r="AU77" s="231">
        <f>AT77</f>
        <v>2878.12</v>
      </c>
      <c r="AV77" s="84">
        <v>0</v>
      </c>
      <c r="AW77" s="81"/>
      <c r="AX77" s="84">
        <v>0</v>
      </c>
      <c r="AY77" s="85"/>
      <c r="AZ77" s="230">
        <f t="shared" ref="AZ77:AZ132" si="269">F77-AR77-AT77-AV77-AX77</f>
        <v>676.32999999999993</v>
      </c>
      <c r="BA77" s="195">
        <f>487.53+188.37</f>
        <v>675.9</v>
      </c>
      <c r="BB77" s="84">
        <f t="shared" ref="BB77:BB132" si="270">F77-AR77-AT77-AV77-AX77-AZ77</f>
        <v>0</v>
      </c>
      <c r="BC77" s="85"/>
      <c r="BD77" s="84">
        <f t="shared" ref="BD77:BD132" si="271">F77-AR77-AT77-AV77-AX77-AZ77-BB77</f>
        <v>0</v>
      </c>
      <c r="BE77" s="85"/>
      <c r="BF77" s="84">
        <f t="shared" ref="BF77:BF132" si="272">F77-AR77-AT77-AV77-AX77-AZ77-BB77-BD77</f>
        <v>0</v>
      </c>
      <c r="BG77" s="85"/>
      <c r="BH77" s="84">
        <f t="shared" ref="BH77:BH132" si="273">F77-AR77-AT77-AV77-AX77-AZ77-BB77-BD77-BF77</f>
        <v>0</v>
      </c>
      <c r="BI77" s="85"/>
      <c r="BJ77" s="84">
        <f t="shared" ref="BJ77:BJ132" si="274">F77-AR77-AT77-AV77-AX77-AZ77-BB77-BD77-BF77-BH77</f>
        <v>0</v>
      </c>
      <c r="BK77" s="85"/>
      <c r="BL77" s="84">
        <f t="shared" ref="BL77:BL132" si="275">F77-AR77-AT77-AV77-AX77-AZ77-BB77-BD77-BF77-BH77-BJ77</f>
        <v>0</v>
      </c>
      <c r="BM77" s="85"/>
      <c r="BN77" s="84">
        <f t="shared" ref="BN77:BN132" si="276">F77-AR77-AT77-AV77-AX77-AZ77-BB77-BD77-BF77-BH77-BJ77-BL77</f>
        <v>0</v>
      </c>
      <c r="BO77" s="81"/>
      <c r="BP77" s="214">
        <f t="shared" ref="BP77:BP132" si="277">F77-AR77-AT77-AV77-AX77-AZ77-BB77-BD77-BF77-BH77-BJ77-BL77-BN77</f>
        <v>0</v>
      </c>
    </row>
    <row r="78" spans="1:68" ht="13.9" x14ac:dyDescent="0.4">
      <c r="A78" s="427"/>
      <c r="B78" s="389" t="s">
        <v>785</v>
      </c>
      <c r="C78" s="180"/>
      <c r="D78" s="83">
        <f>'2024-25'!BI54</f>
        <v>26545.41</v>
      </c>
      <c r="E78" s="107"/>
      <c r="F78" s="304">
        <f>D78</f>
        <v>26545.41</v>
      </c>
      <c r="G78" s="289">
        <v>1140.17</v>
      </c>
      <c r="H78" s="363">
        <f t="shared" si="207"/>
        <v>4.2951681665493208E-2</v>
      </c>
      <c r="I78" s="287"/>
      <c r="J78" s="313">
        <f t="shared" si="35"/>
        <v>0</v>
      </c>
      <c r="K78" s="287">
        <v>2950.74</v>
      </c>
      <c r="L78" s="288">
        <f t="shared" si="36"/>
        <v>0.11115820023122641</v>
      </c>
      <c r="M78" s="289">
        <v>2587.67</v>
      </c>
      <c r="N78" s="288">
        <f>M78/F78</f>
        <v>9.7480882759015591E-2</v>
      </c>
      <c r="O78" s="287">
        <v>4573.4399999999996</v>
      </c>
      <c r="P78" s="290">
        <f>O78/F78</f>
        <v>0.17228741240010984</v>
      </c>
      <c r="Q78" s="289">
        <v>1105.08</v>
      </c>
      <c r="R78" s="290">
        <f>Q78/F78</f>
        <v>4.1629795885616383E-2</v>
      </c>
      <c r="S78" s="287">
        <v>2498.7199999999998</v>
      </c>
      <c r="T78" s="290">
        <f>S78/F78</f>
        <v>9.4130020971610523E-2</v>
      </c>
      <c r="U78" s="287">
        <v>2367.81</v>
      </c>
      <c r="V78" s="290">
        <f>U78/F78</f>
        <v>8.9198471600174939E-2</v>
      </c>
      <c r="W78" s="289">
        <v>4547.99</v>
      </c>
      <c r="X78" s="290">
        <f>W78/F78</f>
        <v>0.17132867791456224</v>
      </c>
      <c r="Y78" s="287"/>
      <c r="Z78" s="290">
        <f>Y78/F78</f>
        <v>0</v>
      </c>
      <c r="AA78" s="289"/>
      <c r="AB78" s="290">
        <f>AA78/F78</f>
        <v>0</v>
      </c>
      <c r="AC78" s="287"/>
      <c r="AD78" s="290">
        <f>AC78/F78</f>
        <v>0</v>
      </c>
      <c r="AE78" s="289"/>
      <c r="AF78" s="290">
        <f>AE78/F78</f>
        <v>0</v>
      </c>
      <c r="AG78" s="287">
        <v>260</v>
      </c>
      <c r="AH78" s="290">
        <f>AG78/F78</f>
        <v>9.7945369839832954E-3</v>
      </c>
      <c r="AI78" s="289"/>
      <c r="AJ78" s="290">
        <f>AI78/F78</f>
        <v>0</v>
      </c>
      <c r="AK78" s="289"/>
      <c r="AL78" s="290">
        <f t="shared" si="265"/>
        <v>0</v>
      </c>
      <c r="AM78" s="289"/>
      <c r="AN78" s="290">
        <f t="shared" si="266"/>
        <v>0</v>
      </c>
      <c r="AO78" s="289">
        <v>4513.79</v>
      </c>
      <c r="AP78" s="290">
        <f t="shared" si="267"/>
        <v>0.17004031958820753</v>
      </c>
      <c r="AQ78" s="323">
        <f t="shared" si="268"/>
        <v>0.99999999999999989</v>
      </c>
      <c r="AR78" s="195">
        <f>AS78</f>
        <v>17379.509999999998</v>
      </c>
      <c r="AS78" s="195">
        <v>17379.509999999998</v>
      </c>
      <c r="AT78" s="230">
        <v>8059.93</v>
      </c>
      <c r="AU78" s="231">
        <f>AT78</f>
        <v>8059.93</v>
      </c>
      <c r="AV78" s="84">
        <v>0</v>
      </c>
      <c r="AW78" s="81">
        <f>AV78</f>
        <v>0</v>
      </c>
      <c r="AX78" s="84">
        <v>0</v>
      </c>
      <c r="AY78" s="85"/>
      <c r="AZ78" s="230">
        <f t="shared" si="269"/>
        <v>1105.9700000000012</v>
      </c>
      <c r="BA78" s="195">
        <v>1105.98</v>
      </c>
      <c r="BB78" s="84">
        <f t="shared" si="270"/>
        <v>0</v>
      </c>
      <c r="BC78" s="85"/>
      <c r="BD78" s="84">
        <f t="shared" si="271"/>
        <v>0</v>
      </c>
      <c r="BE78" s="85"/>
      <c r="BF78" s="84">
        <f t="shared" si="272"/>
        <v>0</v>
      </c>
      <c r="BG78" s="85"/>
      <c r="BH78" s="84">
        <f t="shared" si="273"/>
        <v>0</v>
      </c>
      <c r="BI78" s="85"/>
      <c r="BJ78" s="84">
        <f t="shared" si="274"/>
        <v>0</v>
      </c>
      <c r="BK78" s="85"/>
      <c r="BL78" s="84">
        <f t="shared" si="275"/>
        <v>0</v>
      </c>
      <c r="BM78" s="85"/>
      <c r="BN78" s="84">
        <f t="shared" si="276"/>
        <v>0</v>
      </c>
      <c r="BO78" s="81"/>
      <c r="BP78" s="214">
        <f t="shared" si="277"/>
        <v>0</v>
      </c>
    </row>
    <row r="79" spans="1:68" ht="13.9" x14ac:dyDescent="0.4">
      <c r="A79" s="427"/>
      <c r="B79" s="389" t="s">
        <v>774</v>
      </c>
      <c r="C79" s="180"/>
      <c r="D79" s="83">
        <f>'2024-25'!BI63</f>
        <v>18318.269999999997</v>
      </c>
      <c r="E79" s="107"/>
      <c r="F79" s="304">
        <f>D79</f>
        <v>18318.269999999997</v>
      </c>
      <c r="G79" s="289"/>
      <c r="H79" s="363">
        <f t="shared" si="207"/>
        <v>0</v>
      </c>
      <c r="I79" s="287"/>
      <c r="J79" s="313">
        <f t="shared" si="35"/>
        <v>0</v>
      </c>
      <c r="K79" s="287"/>
      <c r="L79" s="288">
        <f t="shared" si="36"/>
        <v>0</v>
      </c>
      <c r="M79" s="289"/>
      <c r="N79" s="288">
        <f>M79/F79</f>
        <v>0</v>
      </c>
      <c r="O79" s="287">
        <v>7748</v>
      </c>
      <c r="P79" s="290">
        <f>O79/F79</f>
        <v>0.42296570582265691</v>
      </c>
      <c r="Q79" s="289">
        <v>1941.85</v>
      </c>
      <c r="R79" s="290">
        <f>Q79/F79</f>
        <v>0.10600618944911284</v>
      </c>
      <c r="S79" s="287">
        <v>732</v>
      </c>
      <c r="T79" s="290">
        <f>S79/F79</f>
        <v>3.9960105402966552E-2</v>
      </c>
      <c r="U79" s="287">
        <v>5752.79</v>
      </c>
      <c r="V79" s="290">
        <f>U79/F79</f>
        <v>0.31404657754253001</v>
      </c>
      <c r="W79" s="289"/>
      <c r="X79" s="290">
        <f>W79/F79</f>
        <v>0</v>
      </c>
      <c r="Y79" s="287"/>
      <c r="Z79" s="290">
        <f>Y79/F79</f>
        <v>0</v>
      </c>
      <c r="AA79" s="289"/>
      <c r="AB79" s="290">
        <f>AA79/F79</f>
        <v>0</v>
      </c>
      <c r="AC79" s="287"/>
      <c r="AD79" s="290">
        <f>AC79/F79</f>
        <v>0</v>
      </c>
      <c r="AE79" s="289"/>
      <c r="AF79" s="290">
        <f>AE79/F79</f>
        <v>0</v>
      </c>
      <c r="AG79" s="287">
        <v>462</v>
      </c>
      <c r="AH79" s="290">
        <f>AG79/F79</f>
        <v>2.522072226252807E-2</v>
      </c>
      <c r="AI79" s="289"/>
      <c r="AJ79" s="290">
        <f>AI79/F79</f>
        <v>0</v>
      </c>
      <c r="AK79" s="289">
        <v>286.55</v>
      </c>
      <c r="AL79" s="290">
        <f t="shared" ref="AL79:AL81" si="278">AK79/F79</f>
        <v>1.5642852736639436E-2</v>
      </c>
      <c r="AM79" s="289"/>
      <c r="AN79" s="290">
        <f t="shared" si="266"/>
        <v>0</v>
      </c>
      <c r="AO79" s="289">
        <v>1395</v>
      </c>
      <c r="AP79" s="290">
        <f t="shared" si="267"/>
        <v>7.6153479558932161E-2</v>
      </c>
      <c r="AQ79" s="323">
        <f t="shared" ref="AQ79:AQ86" si="279">L79+N79+P79+R79+T79+V79+X79+Z79+AB79+AD79+H79+J79+AJ79+AF79+AH79+AN79+AP79+AL79</f>
        <v>0.99999563277536596</v>
      </c>
      <c r="AR79" s="195">
        <f>AS79</f>
        <v>16736.16</v>
      </c>
      <c r="AS79" s="195">
        <v>16736.16</v>
      </c>
      <c r="AT79" s="230">
        <v>1582.11</v>
      </c>
      <c r="AU79" s="231">
        <f>AT79</f>
        <v>1582.11</v>
      </c>
      <c r="AV79" s="84">
        <f t="shared" ref="AV79:AV132" si="280">F79-AR79-AT79</f>
        <v>-2.9558577807620168E-12</v>
      </c>
      <c r="AW79" s="81"/>
      <c r="AX79" s="84">
        <f t="shared" ref="AX79:AX132" si="281">F79-AR79-AT79-AV79</f>
        <v>0</v>
      </c>
      <c r="AY79" s="85"/>
      <c r="AZ79" s="84">
        <f t="shared" si="269"/>
        <v>0</v>
      </c>
      <c r="BA79" s="81"/>
      <c r="BB79" s="84">
        <f t="shared" si="270"/>
        <v>0</v>
      </c>
      <c r="BC79" s="85"/>
      <c r="BD79" s="84">
        <f t="shared" si="271"/>
        <v>0</v>
      </c>
      <c r="BE79" s="85"/>
      <c r="BF79" s="84">
        <f t="shared" si="272"/>
        <v>0</v>
      </c>
      <c r="BG79" s="85"/>
      <c r="BH79" s="84">
        <f t="shared" si="273"/>
        <v>0</v>
      </c>
      <c r="BI79" s="85"/>
      <c r="BJ79" s="84">
        <f t="shared" si="274"/>
        <v>0</v>
      </c>
      <c r="BK79" s="85"/>
      <c r="BL79" s="84">
        <f t="shared" si="275"/>
        <v>0</v>
      </c>
      <c r="BM79" s="85"/>
      <c r="BN79" s="84">
        <f t="shared" si="276"/>
        <v>0</v>
      </c>
      <c r="BO79" s="81"/>
      <c r="BP79" s="214">
        <f t="shared" si="277"/>
        <v>0</v>
      </c>
    </row>
    <row r="80" spans="1:68" ht="13.9" x14ac:dyDescent="0.4">
      <c r="A80" s="427"/>
      <c r="B80" s="389" t="s">
        <v>766</v>
      </c>
      <c r="C80" s="180"/>
      <c r="D80" s="83">
        <f>'2024-25'!BI61</f>
        <v>7897.0600000000031</v>
      </c>
      <c r="E80" s="107"/>
      <c r="F80" s="304">
        <f>D80+741.97+1462.17</f>
        <v>10101.200000000003</v>
      </c>
      <c r="G80" s="289">
        <v>1940.08</v>
      </c>
      <c r="H80" s="363">
        <f t="shared" si="207"/>
        <v>0.19206430919098716</v>
      </c>
      <c r="I80" s="287"/>
      <c r="J80" s="313">
        <f t="shared" si="35"/>
        <v>0</v>
      </c>
      <c r="K80" s="287"/>
      <c r="L80" s="288">
        <f t="shared" si="36"/>
        <v>0</v>
      </c>
      <c r="M80" s="289"/>
      <c r="N80" s="288">
        <f>M80/F80</f>
        <v>0</v>
      </c>
      <c r="O80" s="287">
        <f>798.67+371.35+1914.96</f>
        <v>3084.98</v>
      </c>
      <c r="P80" s="290">
        <f>O80/F80</f>
        <v>0.30540727834316705</v>
      </c>
      <c r="Q80" s="289"/>
      <c r="R80" s="290">
        <f>Q80/F80</f>
        <v>0</v>
      </c>
      <c r="S80" s="287"/>
      <c r="T80" s="290">
        <f>S80/F80</f>
        <v>0</v>
      </c>
      <c r="U80" s="287">
        <v>1596.93</v>
      </c>
      <c r="V80" s="290">
        <f>U80/F80</f>
        <v>0.15809309784976039</v>
      </c>
      <c r="W80" s="289">
        <f>1109.55+1462.17</f>
        <v>2571.7200000000003</v>
      </c>
      <c r="X80" s="290">
        <f>W80/F80</f>
        <v>0.25459549360472017</v>
      </c>
      <c r="Y80" s="287"/>
      <c r="Z80" s="290">
        <f>Y80/F80</f>
        <v>0</v>
      </c>
      <c r="AA80" s="289"/>
      <c r="AB80" s="290">
        <f>AA80/F80</f>
        <v>0</v>
      </c>
      <c r="AC80" s="287">
        <f>165.6+741.97</f>
        <v>907.57</v>
      </c>
      <c r="AD80" s="290">
        <f>AC80/F80</f>
        <v>8.984774086247177E-2</v>
      </c>
      <c r="AE80" s="289"/>
      <c r="AF80" s="290">
        <f>AE80/F80</f>
        <v>0</v>
      </c>
      <c r="AG80" s="287"/>
      <c r="AH80" s="290">
        <f>AG80/F80</f>
        <v>0</v>
      </c>
      <c r="AI80" s="289"/>
      <c r="AJ80" s="290">
        <f>AI80/F80</f>
        <v>0</v>
      </c>
      <c r="AK80" s="289"/>
      <c r="AL80" s="290">
        <f t="shared" si="278"/>
        <v>0</v>
      </c>
      <c r="AM80" s="289"/>
      <c r="AN80" s="290">
        <f t="shared" si="266"/>
        <v>0</v>
      </c>
      <c r="AO80" s="289"/>
      <c r="AP80" s="290">
        <f t="shared" si="267"/>
        <v>0</v>
      </c>
      <c r="AQ80" s="323">
        <f t="shared" si="279"/>
        <v>1.0000079198511065</v>
      </c>
      <c r="AR80" s="195">
        <f>AS80</f>
        <v>6874.02</v>
      </c>
      <c r="AS80" s="195">
        <f>4669.88+741.97+1462.17</f>
        <v>6874.02</v>
      </c>
      <c r="AT80" s="230">
        <v>1553.64</v>
      </c>
      <c r="AU80" s="231">
        <v>1553.64</v>
      </c>
      <c r="AV80" s="230">
        <f t="shared" si="280"/>
        <v>1673.540000000002</v>
      </c>
      <c r="AW80" s="195">
        <f>AV80</f>
        <v>1673.540000000002</v>
      </c>
      <c r="AX80" s="84">
        <f t="shared" si="281"/>
        <v>0</v>
      </c>
      <c r="AY80" s="85"/>
      <c r="AZ80" s="84">
        <f t="shared" si="269"/>
        <v>0</v>
      </c>
      <c r="BA80" s="81"/>
      <c r="BB80" s="84">
        <f t="shared" si="270"/>
        <v>0</v>
      </c>
      <c r="BC80" s="85"/>
      <c r="BD80" s="84">
        <f t="shared" si="271"/>
        <v>0</v>
      </c>
      <c r="BE80" s="85"/>
      <c r="BF80" s="84">
        <f t="shared" si="272"/>
        <v>0</v>
      </c>
      <c r="BG80" s="85"/>
      <c r="BH80" s="84">
        <f t="shared" si="273"/>
        <v>0</v>
      </c>
      <c r="BI80" s="85"/>
      <c r="BJ80" s="84">
        <f t="shared" si="274"/>
        <v>0</v>
      </c>
      <c r="BK80" s="85"/>
      <c r="BL80" s="84">
        <f t="shared" si="275"/>
        <v>0</v>
      </c>
      <c r="BM80" s="85"/>
      <c r="BN80" s="84">
        <f t="shared" si="276"/>
        <v>0</v>
      </c>
      <c r="BO80" s="81"/>
      <c r="BP80" s="214">
        <f t="shared" si="277"/>
        <v>0</v>
      </c>
    </row>
    <row r="81" spans="1:68" ht="13.9" x14ac:dyDescent="0.4">
      <c r="A81" s="427"/>
      <c r="B81" s="389" t="s">
        <v>365</v>
      </c>
      <c r="C81" s="180"/>
      <c r="D81" s="49">
        <f>39869-10157.83</f>
        <v>29711.17</v>
      </c>
      <c r="E81" s="107"/>
      <c r="F81" s="304">
        <f>D81</f>
        <v>29711.17</v>
      </c>
      <c r="G81" s="289">
        <v>1800</v>
      </c>
      <c r="H81" s="363">
        <f t="shared" ref="H81" si="282">G81/F81</f>
        <v>6.0583275582886842E-2</v>
      </c>
      <c r="I81" s="287"/>
      <c r="J81" s="313">
        <f t="shared" ref="J81" si="283">I81/F81</f>
        <v>0</v>
      </c>
      <c r="K81" s="287">
        <v>4469.8900000000003</v>
      </c>
      <c r="L81" s="288">
        <f t="shared" ref="L81" si="284">K81/F81</f>
        <v>0.15044476538621671</v>
      </c>
      <c r="M81" s="289">
        <v>6547.95</v>
      </c>
      <c r="N81" s="288">
        <f t="shared" ref="N81" si="285">M81/F81</f>
        <v>0.22038681075164662</v>
      </c>
      <c r="O81" s="287">
        <f>14328.98+499.56</f>
        <v>14828.539999999999</v>
      </c>
      <c r="P81" s="290">
        <f t="shared" ref="P81" si="286">O81/F81</f>
        <v>0.49908973628436715</v>
      </c>
      <c r="Q81" s="289"/>
      <c r="R81" s="290">
        <f t="shared" ref="R81" si="287">Q81/F81</f>
        <v>0</v>
      </c>
      <c r="S81" s="287"/>
      <c r="T81" s="290">
        <f t="shared" ref="T81" si="288">S81/F81</f>
        <v>0</v>
      </c>
      <c r="U81" s="287">
        <f>1521.48+293.83</f>
        <v>1815.31</v>
      </c>
      <c r="V81" s="290">
        <f t="shared" ref="V81" si="289">U81/F81</f>
        <v>6.1098569999094618E-2</v>
      </c>
      <c r="W81" s="289"/>
      <c r="X81" s="290">
        <f t="shared" ref="X81" si="290">W81/F81</f>
        <v>0</v>
      </c>
      <c r="Y81" s="287"/>
      <c r="Z81" s="290">
        <f t="shared" ref="Z81" si="291">Y81/F81</f>
        <v>0</v>
      </c>
      <c r="AA81" s="289"/>
      <c r="AB81" s="290">
        <f t="shared" ref="AB81" si="292">AA81/F81</f>
        <v>0</v>
      </c>
      <c r="AC81" s="287">
        <v>8964.3799999999992</v>
      </c>
      <c r="AD81" s="290">
        <f t="shared" ref="AD81" si="293">AC81/F81</f>
        <v>0.3017175022053995</v>
      </c>
      <c r="AE81" s="289">
        <v>1076.25</v>
      </c>
      <c r="AF81" s="290">
        <f t="shared" ref="AF81" si="294">AE81/F81</f>
        <v>3.6223750192267756E-2</v>
      </c>
      <c r="AG81" s="287"/>
      <c r="AH81" s="290">
        <f t="shared" ref="AH81" si="295">AG81/F81</f>
        <v>0</v>
      </c>
      <c r="AI81" s="289">
        <v>4045.67</v>
      </c>
      <c r="AJ81" s="290">
        <f t="shared" ref="AJ81" si="296">AI81/F81</f>
        <v>0.13616663362634324</v>
      </c>
      <c r="AK81" s="289"/>
      <c r="AL81" s="290">
        <f t="shared" si="278"/>
        <v>0</v>
      </c>
      <c r="AM81" s="289"/>
      <c r="AN81" s="290">
        <f t="shared" si="266"/>
        <v>0</v>
      </c>
      <c r="AO81" s="289"/>
      <c r="AP81" s="290">
        <f t="shared" si="267"/>
        <v>0</v>
      </c>
      <c r="AQ81" s="323">
        <f t="shared" si="279"/>
        <v>1.4657110440282222</v>
      </c>
      <c r="AR81" s="195">
        <f>AS81</f>
        <v>25546.46</v>
      </c>
      <c r="AS81" s="195">
        <f>8795.12+22006.35-10157.83+1521.48+3381.34</f>
        <v>25546.46</v>
      </c>
      <c r="AT81" s="84">
        <v>0</v>
      </c>
      <c r="AU81" s="85"/>
      <c r="AV81" s="230">
        <f>2286.37+664.3+714.7+499.56</f>
        <v>4164.93</v>
      </c>
      <c r="AW81" s="195">
        <f>AV81</f>
        <v>4164.93</v>
      </c>
      <c r="AX81" s="84">
        <f t="shared" si="281"/>
        <v>-0.22000000000116415</v>
      </c>
      <c r="AY81" s="85"/>
      <c r="AZ81" s="84">
        <f t="shared" si="269"/>
        <v>0</v>
      </c>
      <c r="BA81" s="81"/>
      <c r="BB81" s="84">
        <f t="shared" si="270"/>
        <v>0</v>
      </c>
      <c r="BC81" s="85"/>
      <c r="BD81" s="84">
        <f t="shared" si="271"/>
        <v>0</v>
      </c>
      <c r="BE81" s="85"/>
      <c r="BF81" s="84">
        <f t="shared" si="272"/>
        <v>0</v>
      </c>
      <c r="BG81" s="85"/>
      <c r="BH81" s="84">
        <f t="shared" si="273"/>
        <v>0</v>
      </c>
      <c r="BI81" s="85"/>
      <c r="BJ81" s="84">
        <f t="shared" si="274"/>
        <v>0</v>
      </c>
      <c r="BK81" s="85"/>
      <c r="BL81" s="84">
        <f t="shared" si="275"/>
        <v>0</v>
      </c>
      <c r="BM81" s="85"/>
      <c r="BN81" s="84">
        <f t="shared" si="276"/>
        <v>0</v>
      </c>
      <c r="BO81" s="81"/>
      <c r="BP81" s="214">
        <f t="shared" si="277"/>
        <v>0</v>
      </c>
    </row>
    <row r="82" spans="1:68" ht="13.9" x14ac:dyDescent="0.4">
      <c r="A82" s="430"/>
      <c r="B82" s="368" t="s">
        <v>671</v>
      </c>
      <c r="C82" s="369"/>
      <c r="D82" s="370"/>
      <c r="E82" s="371"/>
      <c r="F82" s="304"/>
      <c r="G82" s="289"/>
      <c r="H82" s="363" t="e">
        <f t="shared" si="34"/>
        <v>#DIV/0!</v>
      </c>
      <c r="I82" s="287"/>
      <c r="J82" s="313" t="e">
        <f t="shared" si="35"/>
        <v>#DIV/0!</v>
      </c>
      <c r="K82" s="287"/>
      <c r="L82" s="288" t="e">
        <f t="shared" si="36"/>
        <v>#DIV/0!</v>
      </c>
      <c r="M82" s="289"/>
      <c r="N82" s="288" t="e">
        <f t="shared" si="37"/>
        <v>#DIV/0!</v>
      </c>
      <c r="O82" s="287"/>
      <c r="P82" s="290" t="e">
        <f t="shared" si="38"/>
        <v>#DIV/0!</v>
      </c>
      <c r="Q82" s="289"/>
      <c r="R82" s="290" t="e">
        <f t="shared" si="39"/>
        <v>#DIV/0!</v>
      </c>
      <c r="S82" s="287"/>
      <c r="T82" s="290" t="e">
        <f t="shared" si="40"/>
        <v>#DIV/0!</v>
      </c>
      <c r="U82" s="287"/>
      <c r="V82" s="290" t="e">
        <f t="shared" si="41"/>
        <v>#DIV/0!</v>
      </c>
      <c r="W82" s="289"/>
      <c r="X82" s="290" t="e">
        <f t="shared" si="42"/>
        <v>#DIV/0!</v>
      </c>
      <c r="Y82" s="287"/>
      <c r="Z82" s="290" t="e">
        <f t="shared" si="43"/>
        <v>#DIV/0!</v>
      </c>
      <c r="AA82" s="289"/>
      <c r="AB82" s="290" t="e">
        <f t="shared" si="44"/>
        <v>#DIV/0!</v>
      </c>
      <c r="AC82" s="287"/>
      <c r="AD82" s="290" t="e">
        <f t="shared" si="45"/>
        <v>#DIV/0!</v>
      </c>
      <c r="AE82" s="289"/>
      <c r="AF82" s="290" t="e">
        <f t="shared" si="46"/>
        <v>#DIV/0!</v>
      </c>
      <c r="AG82" s="287"/>
      <c r="AH82" s="290" t="e">
        <f t="shared" si="47"/>
        <v>#DIV/0!</v>
      </c>
      <c r="AI82" s="289"/>
      <c r="AJ82" s="290" t="e">
        <f t="shared" si="48"/>
        <v>#DIV/0!</v>
      </c>
      <c r="AK82" s="289"/>
      <c r="AL82" s="290" t="e">
        <f t="shared" si="111"/>
        <v>#DIV/0!</v>
      </c>
      <c r="AM82" s="289"/>
      <c r="AN82" s="290" t="e">
        <f t="shared" si="266"/>
        <v>#DIV/0!</v>
      </c>
      <c r="AO82" s="289"/>
      <c r="AP82" s="290" t="e">
        <f t="shared" si="267"/>
        <v>#DIV/0!</v>
      </c>
      <c r="AQ82" s="323" t="e">
        <f t="shared" si="279"/>
        <v>#DIV/0!</v>
      </c>
      <c r="AR82" s="81">
        <f t="shared" ref="AR82:AR97" si="297">+F82</f>
        <v>0</v>
      </c>
      <c r="AS82" s="81"/>
      <c r="AT82" s="84">
        <f t="shared" ref="AT82:AT132" si="298">F82-AR82</f>
        <v>0</v>
      </c>
      <c r="AU82" s="85"/>
      <c r="AV82" s="84">
        <f t="shared" si="280"/>
        <v>0</v>
      </c>
      <c r="AW82" s="81"/>
      <c r="AX82" s="84">
        <f t="shared" si="281"/>
        <v>0</v>
      </c>
      <c r="AY82" s="85"/>
      <c r="AZ82" s="84">
        <f t="shared" si="269"/>
        <v>0</v>
      </c>
      <c r="BA82" s="81"/>
      <c r="BB82" s="84">
        <f t="shared" si="270"/>
        <v>0</v>
      </c>
      <c r="BC82" s="85"/>
      <c r="BD82" s="84">
        <f t="shared" si="271"/>
        <v>0</v>
      </c>
      <c r="BE82" s="85"/>
      <c r="BF82" s="84">
        <f t="shared" si="272"/>
        <v>0</v>
      </c>
      <c r="BG82" s="85"/>
      <c r="BH82" s="84">
        <f t="shared" si="273"/>
        <v>0</v>
      </c>
      <c r="BI82" s="85"/>
      <c r="BJ82" s="84">
        <f t="shared" si="274"/>
        <v>0</v>
      </c>
      <c r="BK82" s="85"/>
      <c r="BL82" s="84">
        <f t="shared" si="275"/>
        <v>0</v>
      </c>
      <c r="BM82" s="85"/>
      <c r="BN82" s="84">
        <f t="shared" si="276"/>
        <v>0</v>
      </c>
      <c r="BO82" s="81"/>
      <c r="BP82" s="214">
        <f t="shared" si="277"/>
        <v>0</v>
      </c>
    </row>
    <row r="83" spans="1:68" x14ac:dyDescent="0.35">
      <c r="B83" s="436" t="s">
        <v>880</v>
      </c>
      <c r="C83" s="180"/>
      <c r="D83" s="83">
        <v>15021.55</v>
      </c>
      <c r="E83" s="142"/>
      <c r="F83" s="304">
        <f>D83</f>
        <v>15021.55</v>
      </c>
      <c r="G83" s="289">
        <v>1152</v>
      </c>
      <c r="H83" s="363">
        <f t="shared" ref="H83" si="299">G83/F83</f>
        <v>7.6689822288645321E-2</v>
      </c>
      <c r="I83" s="287"/>
      <c r="J83" s="313">
        <f t="shared" ref="J83" si="300">I83/F83</f>
        <v>0</v>
      </c>
      <c r="K83" s="287">
        <v>2515.9899999999998</v>
      </c>
      <c r="L83" s="288">
        <f t="shared" ref="L83" si="301">K83/F83</f>
        <v>0.16749203644097979</v>
      </c>
      <c r="M83" s="289">
        <v>1381.02</v>
      </c>
      <c r="N83" s="288">
        <f>M83/F83</f>
        <v>9.1935918730091104E-2</v>
      </c>
      <c r="O83" s="287">
        <v>6600.14</v>
      </c>
      <c r="P83" s="290">
        <f>O83/F83</f>
        <v>0.43937809347237805</v>
      </c>
      <c r="Q83" s="289">
        <v>814.52</v>
      </c>
      <c r="R83" s="290">
        <f>Q83/F83</f>
        <v>5.4223432335544601E-2</v>
      </c>
      <c r="S83" s="287">
        <v>826.74</v>
      </c>
      <c r="T83" s="290">
        <f>S83/F83</f>
        <v>5.5036930276835615E-2</v>
      </c>
      <c r="U83" s="287">
        <v>920.4</v>
      </c>
      <c r="V83" s="290">
        <f>U83/F83</f>
        <v>6.1271972599365579E-2</v>
      </c>
      <c r="W83" s="289"/>
      <c r="X83" s="290">
        <f>W83/F83</f>
        <v>0</v>
      </c>
      <c r="Y83" s="287"/>
      <c r="Z83" s="290">
        <f>Y83/F83</f>
        <v>0</v>
      </c>
      <c r="AA83" s="289"/>
      <c r="AB83" s="290">
        <f>AA83/F83</f>
        <v>0</v>
      </c>
      <c r="AC83" s="287"/>
      <c r="AD83" s="290">
        <f>AC83/F83</f>
        <v>0</v>
      </c>
      <c r="AE83" s="289">
        <v>750.82</v>
      </c>
      <c r="AF83" s="290">
        <f>AE83/F83</f>
        <v>4.9982857960729758E-2</v>
      </c>
      <c r="AG83" s="287">
        <v>59.92</v>
      </c>
      <c r="AH83" s="290">
        <f>AG83/F83</f>
        <v>3.9889358954302324E-3</v>
      </c>
      <c r="AI83" s="289"/>
      <c r="AJ83" s="290">
        <f>AI83/F83</f>
        <v>0</v>
      </c>
      <c r="AK83" s="289"/>
      <c r="AL83" s="290">
        <f t="shared" si="111"/>
        <v>0</v>
      </c>
      <c r="AM83" s="289"/>
      <c r="AN83" s="290">
        <f t="shared" si="266"/>
        <v>0</v>
      </c>
      <c r="AO83" s="289"/>
      <c r="AP83" s="290">
        <f t="shared" si="267"/>
        <v>0</v>
      </c>
      <c r="AQ83" s="323">
        <f t="shared" ref="AQ83" si="302">L83+N83+P83+R83+T83+V83+X83+Z83+AB83+AD83+H83+J83+AJ83+AF83+AH83+AN83+AP83+AL83</f>
        <v>1</v>
      </c>
      <c r="AR83" s="81">
        <v>0</v>
      </c>
      <c r="AS83" s="81"/>
      <c r="AT83" s="84">
        <v>0</v>
      </c>
      <c r="AU83" s="85"/>
      <c r="AV83" s="84">
        <v>0</v>
      </c>
      <c r="AW83" s="81"/>
      <c r="AX83" s="84">
        <v>0</v>
      </c>
      <c r="AY83" s="85"/>
      <c r="AZ83" s="84">
        <v>0</v>
      </c>
      <c r="BA83" s="81"/>
      <c r="BB83" s="84">
        <v>0</v>
      </c>
      <c r="BC83" s="85"/>
      <c r="BD83" s="84">
        <v>0</v>
      </c>
      <c r="BE83" s="85"/>
      <c r="BF83" s="84">
        <v>0</v>
      </c>
      <c r="BG83" s="85"/>
      <c r="BH83" s="84">
        <v>4000</v>
      </c>
      <c r="BI83" s="85"/>
      <c r="BJ83" s="84">
        <f t="shared" si="274"/>
        <v>11021.55</v>
      </c>
      <c r="BK83" s="85"/>
      <c r="BL83" s="84">
        <f t="shared" si="275"/>
        <v>0</v>
      </c>
      <c r="BM83" s="85"/>
      <c r="BN83" s="84">
        <f t="shared" si="276"/>
        <v>0</v>
      </c>
      <c r="BO83" s="81"/>
      <c r="BP83" s="214">
        <f t="shared" si="277"/>
        <v>0</v>
      </c>
    </row>
    <row r="84" spans="1:68" x14ac:dyDescent="0.35">
      <c r="B84" s="436" t="s">
        <v>879</v>
      </c>
      <c r="C84" s="180"/>
      <c r="D84" s="83">
        <v>6700</v>
      </c>
      <c r="E84" s="142"/>
      <c r="F84" s="304">
        <v>6700</v>
      </c>
      <c r="G84" s="289">
        <v>0</v>
      </c>
      <c r="H84" s="363">
        <f t="shared" si="34"/>
        <v>0</v>
      </c>
      <c r="I84" s="287"/>
      <c r="J84" s="313">
        <f t="shared" si="35"/>
        <v>0</v>
      </c>
      <c r="K84" s="287"/>
      <c r="L84" s="288">
        <f t="shared" si="36"/>
        <v>0</v>
      </c>
      <c r="M84" s="289">
        <v>6700</v>
      </c>
      <c r="N84" s="288">
        <f>M84/F84</f>
        <v>1</v>
      </c>
      <c r="O84" s="287"/>
      <c r="P84" s="290">
        <f>O84/F84</f>
        <v>0</v>
      </c>
      <c r="Q84" s="289"/>
      <c r="R84" s="290">
        <f>Q84/F84</f>
        <v>0</v>
      </c>
      <c r="S84" s="287"/>
      <c r="T84" s="290">
        <f>S84/F84</f>
        <v>0</v>
      </c>
      <c r="U84" s="287"/>
      <c r="V84" s="290">
        <f>U84/F84</f>
        <v>0</v>
      </c>
      <c r="W84" s="289"/>
      <c r="X84" s="290">
        <f>W84/F84</f>
        <v>0</v>
      </c>
      <c r="Y84" s="287"/>
      <c r="Z84" s="290">
        <f>Y84/F84</f>
        <v>0</v>
      </c>
      <c r="AA84" s="289"/>
      <c r="AB84" s="290">
        <f>AA84/F84</f>
        <v>0</v>
      </c>
      <c r="AC84" s="287"/>
      <c r="AD84" s="290">
        <f>AC84/F84</f>
        <v>0</v>
      </c>
      <c r="AE84" s="289"/>
      <c r="AF84" s="290">
        <f>AE84/F84</f>
        <v>0</v>
      </c>
      <c r="AG84" s="287"/>
      <c r="AH84" s="290">
        <f>AG84/F84</f>
        <v>0</v>
      </c>
      <c r="AI84" s="289"/>
      <c r="AJ84" s="290">
        <f>AI84/F84</f>
        <v>0</v>
      </c>
      <c r="AK84" s="289"/>
      <c r="AL84" s="290">
        <f t="shared" ref="AL84" si="303">AK84/F84</f>
        <v>0</v>
      </c>
      <c r="AM84" s="289"/>
      <c r="AN84" s="290">
        <f t="shared" ref="AN84" si="304">AM84/F84</f>
        <v>0</v>
      </c>
      <c r="AO84" s="289"/>
      <c r="AP84" s="290">
        <f t="shared" ref="AP84" si="305">AO84/F84</f>
        <v>0</v>
      </c>
      <c r="AQ84" s="323">
        <f t="shared" si="279"/>
        <v>1</v>
      </c>
      <c r="AR84" s="81">
        <v>0</v>
      </c>
      <c r="AS84" s="81"/>
      <c r="AT84" s="84">
        <v>0</v>
      </c>
      <c r="AU84" s="85"/>
      <c r="AV84" s="84">
        <v>0</v>
      </c>
      <c r="AW84" s="81"/>
      <c r="AX84" s="84">
        <v>0</v>
      </c>
      <c r="AY84" s="85"/>
      <c r="AZ84" s="84">
        <v>0</v>
      </c>
      <c r="BA84" s="81"/>
      <c r="BB84" s="84">
        <v>0</v>
      </c>
      <c r="BC84" s="85"/>
      <c r="BD84" s="84">
        <v>0</v>
      </c>
      <c r="BE84" s="85"/>
      <c r="BF84" s="84">
        <f t="shared" ref="BF84" si="306">F84-AR84-AT84-AV84-AX84-AZ84-BB84-BD84</f>
        <v>6700</v>
      </c>
      <c r="BG84" s="85"/>
      <c r="BH84" s="84">
        <f t="shared" ref="BH84" si="307">F84-AR84-AT84-AV84-AX84-AZ84-BB84-BD84-BF84</f>
        <v>0</v>
      </c>
      <c r="BI84" s="85"/>
      <c r="BJ84" s="84">
        <f t="shared" ref="BJ84" si="308">F84-AR84-AT84-AV84-AX84-AZ84-BB84-BD84-BF84-BH84</f>
        <v>0</v>
      </c>
      <c r="BK84" s="85"/>
      <c r="BL84" s="84">
        <f t="shared" ref="BL84" si="309">F84-AR84-AT84-AV84-AX84-AZ84-BB84-BD84-BF84-BH84-BJ84</f>
        <v>0</v>
      </c>
      <c r="BM84" s="85"/>
      <c r="BN84" s="84">
        <f t="shared" ref="BN84" si="310">F84-AR84-AT84-AV84-AX84-AZ84-BB84-BD84-BF84-BH84-BJ84-BL84</f>
        <v>0</v>
      </c>
      <c r="BO84" s="81"/>
      <c r="BP84" s="214">
        <f t="shared" ref="BP84" si="311">F84-AR84-AT84-AV84-AX84-AZ84-BB84-BD84-BF84-BH84-BJ84-BL84-BN84</f>
        <v>0</v>
      </c>
    </row>
    <row r="85" spans="1:68" ht="13.9" x14ac:dyDescent="0.4">
      <c r="A85" s="427"/>
      <c r="B85" s="418" t="s">
        <v>861</v>
      </c>
      <c r="C85" s="180"/>
      <c r="D85" s="83"/>
      <c r="E85" s="142"/>
      <c r="F85" s="304"/>
      <c r="G85" s="289"/>
      <c r="H85" s="363" t="e">
        <f t="shared" si="34"/>
        <v>#DIV/0!</v>
      </c>
      <c r="I85" s="287"/>
      <c r="J85" s="313" t="e">
        <f t="shared" si="35"/>
        <v>#DIV/0!</v>
      </c>
      <c r="K85" s="287"/>
      <c r="L85" s="288" t="e">
        <f t="shared" si="36"/>
        <v>#DIV/0!</v>
      </c>
      <c r="M85" s="289"/>
      <c r="N85" s="288" t="e">
        <f>M85/F85</f>
        <v>#DIV/0!</v>
      </c>
      <c r="O85" s="287"/>
      <c r="P85" s="290" t="e">
        <f>O85/F85</f>
        <v>#DIV/0!</v>
      </c>
      <c r="Q85" s="289"/>
      <c r="R85" s="290" t="e">
        <f>Q85/F85</f>
        <v>#DIV/0!</v>
      </c>
      <c r="S85" s="287"/>
      <c r="T85" s="290" t="e">
        <f>S85/F85</f>
        <v>#DIV/0!</v>
      </c>
      <c r="U85" s="287"/>
      <c r="V85" s="290" t="e">
        <f>U85/F85</f>
        <v>#DIV/0!</v>
      </c>
      <c r="W85" s="289"/>
      <c r="X85" s="290" t="e">
        <f>W85/F85</f>
        <v>#DIV/0!</v>
      </c>
      <c r="Y85" s="287"/>
      <c r="Z85" s="290" t="e">
        <f>Y85/F85</f>
        <v>#DIV/0!</v>
      </c>
      <c r="AA85" s="289"/>
      <c r="AB85" s="290" t="e">
        <f>AA85/F85</f>
        <v>#DIV/0!</v>
      </c>
      <c r="AC85" s="287"/>
      <c r="AD85" s="290" t="e">
        <f>AC85/F85</f>
        <v>#DIV/0!</v>
      </c>
      <c r="AE85" s="289"/>
      <c r="AF85" s="290" t="e">
        <f>AE85/F85</f>
        <v>#DIV/0!</v>
      </c>
      <c r="AG85" s="287"/>
      <c r="AH85" s="290" t="e">
        <f>AG85/F85</f>
        <v>#DIV/0!</v>
      </c>
      <c r="AI85" s="289"/>
      <c r="AJ85" s="290" t="e">
        <f>AI85/F85</f>
        <v>#DIV/0!</v>
      </c>
      <c r="AK85" s="289"/>
      <c r="AL85" s="290" t="e">
        <f t="shared" ref="AL85" si="312">AK85/F85</f>
        <v>#DIV/0!</v>
      </c>
      <c r="AM85" s="289"/>
      <c r="AN85" s="290" t="e">
        <f t="shared" ref="AN85" si="313">AM85/F85</f>
        <v>#DIV/0!</v>
      </c>
      <c r="AO85" s="289"/>
      <c r="AP85" s="290" t="e">
        <f t="shared" ref="AP85" si="314">AO85/F85</f>
        <v>#DIV/0!</v>
      </c>
      <c r="AQ85" s="323" t="e">
        <f t="shared" si="279"/>
        <v>#DIV/0!</v>
      </c>
      <c r="AR85" s="81">
        <f t="shared" si="297"/>
        <v>0</v>
      </c>
      <c r="AS85" s="81"/>
      <c r="AT85" s="84">
        <f t="shared" ref="AT85" si="315">F85-AR85</f>
        <v>0</v>
      </c>
      <c r="AU85" s="85"/>
      <c r="AV85" s="84">
        <f t="shared" ref="AV85" si="316">F85-AR85-AT85</f>
        <v>0</v>
      </c>
      <c r="AW85" s="81"/>
      <c r="AX85" s="84">
        <f t="shared" ref="AX85" si="317">F85-AR85-AT85-AV85</f>
        <v>0</v>
      </c>
      <c r="AY85" s="85"/>
      <c r="AZ85" s="84">
        <f t="shared" ref="AZ85" si="318">F85-AR85-AT85-AV85-AX85</f>
        <v>0</v>
      </c>
      <c r="BA85" s="81"/>
      <c r="BB85" s="84">
        <f t="shared" ref="BB85" si="319">F85-AR85-AT85-AV85-AX85-AZ85</f>
        <v>0</v>
      </c>
      <c r="BC85" s="85"/>
      <c r="BD85" s="84">
        <f t="shared" ref="BD85" si="320">F85-AR85-AT85-AV85-AX85-AZ85-BB85</f>
        <v>0</v>
      </c>
      <c r="BE85" s="85"/>
      <c r="BF85" s="84">
        <f t="shared" ref="BF85" si="321">F85-AR85-AT85-AV85-AX85-AZ85-BB85-BD85</f>
        <v>0</v>
      </c>
      <c r="BG85" s="85"/>
      <c r="BH85" s="84">
        <f t="shared" ref="BH85" si="322">F85-AR85-AT85-AV85-AX85-AZ85-BB85-BD85-BF85</f>
        <v>0</v>
      </c>
      <c r="BI85" s="85"/>
      <c r="BJ85" s="84">
        <f t="shared" ref="BJ85" si="323">F85-AR85-AT85-AV85-AX85-AZ85-BB85-BD85-BF85-BH85</f>
        <v>0</v>
      </c>
      <c r="BK85" s="85"/>
      <c r="BL85" s="84">
        <f t="shared" ref="BL85" si="324">F85-AR85-AT85-AV85-AX85-AZ85-BB85-BD85-BF85-BH85-BJ85</f>
        <v>0</v>
      </c>
      <c r="BM85" s="85"/>
      <c r="BN85" s="84">
        <f t="shared" ref="BN85" si="325">F85-AR85-AT85-AV85-AX85-AZ85-BB85-BD85-BF85-BH85-BJ85-BL85</f>
        <v>0</v>
      </c>
      <c r="BO85" s="81"/>
      <c r="BP85" s="214">
        <f t="shared" ref="BP85" si="326">F85-AR85-AT85-AV85-AX85-AZ85-BB85-BD85-BF85-BH85-BJ85-BL85-BN85</f>
        <v>0</v>
      </c>
    </row>
    <row r="86" spans="1:68" ht="13.9" x14ac:dyDescent="0.4">
      <c r="A86" s="427"/>
      <c r="B86" s="390" t="s">
        <v>858</v>
      </c>
      <c r="C86" s="180"/>
      <c r="D86" s="83">
        <v>10064.290000000001</v>
      </c>
      <c r="E86" s="142">
        <f>D86</f>
        <v>10064.290000000001</v>
      </c>
      <c r="F86" s="304"/>
      <c r="G86" s="289"/>
      <c r="H86" s="363" t="e">
        <f t="shared" ref="H86" si="327">G86/F86</f>
        <v>#DIV/0!</v>
      </c>
      <c r="I86" s="287"/>
      <c r="J86" s="313" t="e">
        <f t="shared" si="35"/>
        <v>#DIV/0!</v>
      </c>
      <c r="K86" s="287"/>
      <c r="L86" s="288" t="e">
        <f t="shared" si="36"/>
        <v>#DIV/0!</v>
      </c>
      <c r="M86" s="289"/>
      <c r="N86" s="288" t="e">
        <f>M86/F86</f>
        <v>#DIV/0!</v>
      </c>
      <c r="O86" s="287"/>
      <c r="P86" s="290" t="e">
        <f>O86/F86</f>
        <v>#DIV/0!</v>
      </c>
      <c r="Q86" s="289"/>
      <c r="R86" s="290" t="e">
        <f>Q86/F86</f>
        <v>#DIV/0!</v>
      </c>
      <c r="S86" s="287"/>
      <c r="T86" s="290" t="e">
        <f>S86/F86</f>
        <v>#DIV/0!</v>
      </c>
      <c r="U86" s="287"/>
      <c r="V86" s="290" t="e">
        <f>U86/F86</f>
        <v>#DIV/0!</v>
      </c>
      <c r="W86" s="289"/>
      <c r="X86" s="290" t="e">
        <f>W86/F86</f>
        <v>#DIV/0!</v>
      </c>
      <c r="Y86" s="287"/>
      <c r="Z86" s="290" t="e">
        <f>Y86/F86</f>
        <v>#DIV/0!</v>
      </c>
      <c r="AA86" s="289"/>
      <c r="AB86" s="290" t="e">
        <f>AA86/F86</f>
        <v>#DIV/0!</v>
      </c>
      <c r="AC86" s="287"/>
      <c r="AD86" s="290" t="e">
        <f>AC86/F86</f>
        <v>#DIV/0!</v>
      </c>
      <c r="AE86" s="289"/>
      <c r="AF86" s="290" t="e">
        <f>AE86/F86</f>
        <v>#DIV/0!</v>
      </c>
      <c r="AG86" s="287"/>
      <c r="AH86" s="290" t="e">
        <f>AG86/F86</f>
        <v>#DIV/0!</v>
      </c>
      <c r="AI86" s="289"/>
      <c r="AJ86" s="290" t="e">
        <f>AI86/F86</f>
        <v>#DIV/0!</v>
      </c>
      <c r="AK86" s="289"/>
      <c r="AL86" s="290" t="e">
        <f t="shared" si="111"/>
        <v>#DIV/0!</v>
      </c>
      <c r="AM86" s="289"/>
      <c r="AN86" s="290" t="e">
        <f t="shared" si="266"/>
        <v>#DIV/0!</v>
      </c>
      <c r="AO86" s="289"/>
      <c r="AP86" s="290" t="e">
        <f t="shared" si="267"/>
        <v>#DIV/0!</v>
      </c>
      <c r="AQ86" s="323" t="e">
        <f t="shared" si="279"/>
        <v>#DIV/0!</v>
      </c>
      <c r="AR86" s="81">
        <f t="shared" ref="AR86" si="328">+F86</f>
        <v>0</v>
      </c>
      <c r="AS86" s="81"/>
      <c r="AT86" s="84">
        <f t="shared" si="298"/>
        <v>0</v>
      </c>
      <c r="AU86" s="85"/>
      <c r="AV86" s="84">
        <f t="shared" si="280"/>
        <v>0</v>
      </c>
      <c r="AW86" s="81"/>
      <c r="AX86" s="84">
        <f t="shared" si="281"/>
        <v>0</v>
      </c>
      <c r="AY86" s="85"/>
      <c r="AZ86" s="84">
        <f t="shared" si="269"/>
        <v>0</v>
      </c>
      <c r="BA86" s="81"/>
      <c r="BB86" s="84">
        <f t="shared" si="270"/>
        <v>0</v>
      </c>
      <c r="BC86" s="85"/>
      <c r="BD86" s="84">
        <f t="shared" si="271"/>
        <v>0</v>
      </c>
      <c r="BE86" s="85"/>
      <c r="BF86" s="84">
        <f t="shared" si="272"/>
        <v>0</v>
      </c>
      <c r="BG86" s="85"/>
      <c r="BH86" s="84">
        <f t="shared" si="273"/>
        <v>0</v>
      </c>
      <c r="BI86" s="85"/>
      <c r="BJ86" s="84">
        <f t="shared" si="274"/>
        <v>0</v>
      </c>
      <c r="BK86" s="85"/>
      <c r="BL86" s="84">
        <f t="shared" si="275"/>
        <v>0</v>
      </c>
      <c r="BM86" s="85"/>
      <c r="BN86" s="84">
        <f t="shared" si="276"/>
        <v>0</v>
      </c>
      <c r="BO86" s="81"/>
      <c r="BP86" s="214">
        <f t="shared" si="277"/>
        <v>0</v>
      </c>
    </row>
    <row r="87" spans="1:68" ht="13.9" x14ac:dyDescent="0.4">
      <c r="A87" s="427"/>
      <c r="B87" s="395" t="s">
        <v>781</v>
      </c>
      <c r="C87" s="180"/>
      <c r="D87" s="83">
        <f>1813-56.8</f>
        <v>1756.2</v>
      </c>
      <c r="E87" s="107"/>
      <c r="F87" s="304">
        <f>D87</f>
        <v>1756.2</v>
      </c>
      <c r="G87" s="289"/>
      <c r="H87" s="363">
        <f t="shared" si="34"/>
        <v>0</v>
      </c>
      <c r="I87" s="287"/>
      <c r="J87" s="313">
        <f t="shared" si="35"/>
        <v>0</v>
      </c>
      <c r="K87" s="287"/>
      <c r="L87" s="288">
        <f t="shared" si="36"/>
        <v>0</v>
      </c>
      <c r="M87" s="289"/>
      <c r="N87" s="288">
        <f>M87/F87</f>
        <v>0</v>
      </c>
      <c r="O87" s="287"/>
      <c r="P87" s="290">
        <f>O87/F87</f>
        <v>0</v>
      </c>
      <c r="Q87" s="289"/>
      <c r="R87" s="290">
        <f>Q87/F87</f>
        <v>0</v>
      </c>
      <c r="S87" s="287"/>
      <c r="T87" s="290">
        <f>S87/F87</f>
        <v>0</v>
      </c>
      <c r="U87" s="287"/>
      <c r="V87" s="290">
        <f>U87/F87</f>
        <v>0</v>
      </c>
      <c r="W87" s="289"/>
      <c r="X87" s="290">
        <f>W87/F87</f>
        <v>0</v>
      </c>
      <c r="Y87" s="287"/>
      <c r="Z87" s="290">
        <f>Y87/F87</f>
        <v>0</v>
      </c>
      <c r="AA87" s="289"/>
      <c r="AB87" s="290">
        <f>AA87/F87</f>
        <v>0</v>
      </c>
      <c r="AC87" s="287"/>
      <c r="AD87" s="290">
        <f>AC87/F87</f>
        <v>0</v>
      </c>
      <c r="AE87" s="289"/>
      <c r="AF87" s="290">
        <f>AE87/F87</f>
        <v>0</v>
      </c>
      <c r="AG87" s="287"/>
      <c r="AH87" s="290">
        <f>AG87/F87</f>
        <v>0</v>
      </c>
      <c r="AI87" s="289">
        <v>1756</v>
      </c>
      <c r="AJ87" s="290">
        <f>AI87/F87</f>
        <v>0.99988611775424208</v>
      </c>
      <c r="AK87" s="289"/>
      <c r="AL87" s="290">
        <f t="shared" ref="AL87" si="329">AK87/F87</f>
        <v>0</v>
      </c>
      <c r="AM87" s="289"/>
      <c r="AN87" s="290">
        <f t="shared" ref="AN87" si="330">AM87/F87</f>
        <v>0</v>
      </c>
      <c r="AO87" s="289"/>
      <c r="AP87" s="290">
        <f t="shared" ref="AP87" si="331">AO87/F87</f>
        <v>0</v>
      </c>
      <c r="AQ87" s="323">
        <f t="shared" ref="AQ87" si="332">L87+N87+P87+R87+T87+V87+X87+Z87+AB87+AD87+H87+J87+AJ87+AF87+AH87+AN87+AP87+AL87</f>
        <v>0.99988611775424208</v>
      </c>
      <c r="AR87" s="81">
        <v>0</v>
      </c>
      <c r="AS87" s="81"/>
      <c r="AT87" s="230">
        <f t="shared" ref="AT87" si="333">F87-AR87</f>
        <v>1756.2</v>
      </c>
      <c r="AU87" s="231">
        <f>1813.06-56.8</f>
        <v>1756.26</v>
      </c>
      <c r="AV87" s="84">
        <f t="shared" ref="AV87" si="334">F87-AR87-AT87</f>
        <v>0</v>
      </c>
      <c r="AW87" s="81"/>
      <c r="AX87" s="84">
        <f t="shared" ref="AX87" si="335">F87-AR87-AT87-AV87</f>
        <v>0</v>
      </c>
      <c r="AY87" s="85"/>
      <c r="AZ87" s="84">
        <f t="shared" ref="AZ87" si="336">F87-AR87-AT87-AV87-AX87</f>
        <v>0</v>
      </c>
      <c r="BA87" s="81"/>
      <c r="BB87" s="84">
        <f t="shared" ref="BB87" si="337">F87-AR87-AT87-AV87-AX87-AZ87</f>
        <v>0</v>
      </c>
      <c r="BC87" s="85"/>
      <c r="BD87" s="84">
        <f t="shared" ref="BD87" si="338">F87-AR87-AT87-AV87-AX87-AZ87-BB87</f>
        <v>0</v>
      </c>
      <c r="BE87" s="85"/>
      <c r="BF87" s="84">
        <f t="shared" ref="BF87" si="339">F87-AR87-AT87-AV87-AX87-AZ87-BB87-BD87</f>
        <v>0</v>
      </c>
      <c r="BG87" s="85"/>
      <c r="BH87" s="84">
        <f t="shared" ref="BH87" si="340">F87-AR87-AT87-AV87-AX87-AZ87-BB87-BD87-BF87</f>
        <v>0</v>
      </c>
      <c r="BI87" s="85"/>
      <c r="BJ87" s="84">
        <f t="shared" ref="BJ87" si="341">F87-AR87-AT87-AV87-AX87-AZ87-BB87-BD87-BF87-BH87</f>
        <v>0</v>
      </c>
      <c r="BK87" s="85"/>
      <c r="BL87" s="84">
        <f t="shared" ref="BL87" si="342">F87-AR87-AT87-AV87-AX87-AZ87-BB87-BD87-BF87-BH87-BJ87</f>
        <v>0</v>
      </c>
      <c r="BM87" s="85"/>
      <c r="BN87" s="84">
        <f t="shared" ref="BN87" si="343">F87-AR87-AT87-AV87-AX87-AZ87-BB87-BD87-BF87-BH87-BJ87-BL87</f>
        <v>0</v>
      </c>
      <c r="BO87" s="81"/>
      <c r="BP87" s="214">
        <f t="shared" ref="BP87" si="344">F87-AR87-AT87-AV87-AX87-AZ87-BB87-BD87-BF87-BH87-BJ87-BL87-BN87</f>
        <v>0</v>
      </c>
    </row>
    <row r="88" spans="1:68" ht="13.9" x14ac:dyDescent="0.4">
      <c r="A88" s="427"/>
      <c r="B88" s="392" t="s">
        <v>818</v>
      </c>
      <c r="C88" s="180"/>
      <c r="D88" s="83">
        <v>5684</v>
      </c>
      <c r="E88" s="107"/>
      <c r="F88" s="304">
        <f>D88</f>
        <v>5684</v>
      </c>
      <c r="G88" s="289"/>
      <c r="H88" s="363">
        <f t="shared" ref="H88:H92" si="345">G88/F88</f>
        <v>0</v>
      </c>
      <c r="I88" s="287"/>
      <c r="J88" s="313">
        <f t="shared" si="35"/>
        <v>0</v>
      </c>
      <c r="K88" s="287"/>
      <c r="L88" s="288">
        <f t="shared" si="36"/>
        <v>0</v>
      </c>
      <c r="M88" s="289"/>
      <c r="N88" s="288">
        <f t="shared" ref="N88:N92" si="346">M88/F88</f>
        <v>0</v>
      </c>
      <c r="O88" s="287"/>
      <c r="P88" s="290">
        <f t="shared" ref="P88:P92" si="347">O88/F88</f>
        <v>0</v>
      </c>
      <c r="Q88" s="289"/>
      <c r="R88" s="290">
        <f t="shared" ref="R88:R92" si="348">Q88/F88</f>
        <v>0</v>
      </c>
      <c r="S88" s="287"/>
      <c r="T88" s="290">
        <f t="shared" ref="T88:T92" si="349">S88/F88</f>
        <v>0</v>
      </c>
      <c r="U88" s="287"/>
      <c r="V88" s="290">
        <f t="shared" ref="V88:V92" si="350">U88/F88</f>
        <v>0</v>
      </c>
      <c r="W88" s="289"/>
      <c r="X88" s="290">
        <f t="shared" ref="X88:X92" si="351">W88/F88</f>
        <v>0</v>
      </c>
      <c r="Y88" s="287"/>
      <c r="Z88" s="290">
        <f t="shared" ref="Z88:Z92" si="352">Y88/F88</f>
        <v>0</v>
      </c>
      <c r="AA88" s="289"/>
      <c r="AB88" s="290">
        <f t="shared" ref="AB88:AB92" si="353">AA88/F88</f>
        <v>0</v>
      </c>
      <c r="AC88" s="287"/>
      <c r="AD88" s="290">
        <f t="shared" ref="AD88:AD92" si="354">AC88/F88</f>
        <v>0</v>
      </c>
      <c r="AE88" s="289"/>
      <c r="AF88" s="290">
        <f t="shared" ref="AF88:AF92" si="355">AE88/F88</f>
        <v>0</v>
      </c>
      <c r="AG88" s="287"/>
      <c r="AH88" s="290">
        <f t="shared" ref="AH88:AH92" si="356">AG88/F88</f>
        <v>0</v>
      </c>
      <c r="AI88" s="289"/>
      <c r="AJ88" s="290">
        <f t="shared" ref="AJ88:AJ92" si="357">AI88/F88</f>
        <v>0</v>
      </c>
      <c r="AK88" s="289"/>
      <c r="AL88" s="290">
        <f t="shared" si="111"/>
        <v>0</v>
      </c>
      <c r="AM88" s="289"/>
      <c r="AN88" s="290">
        <f t="shared" si="266"/>
        <v>0</v>
      </c>
      <c r="AO88" s="289"/>
      <c r="AP88" s="290">
        <f t="shared" si="267"/>
        <v>0</v>
      </c>
      <c r="AQ88" s="323">
        <f t="shared" si="112"/>
        <v>0</v>
      </c>
      <c r="AR88" s="81">
        <v>0</v>
      </c>
      <c r="AS88" s="81"/>
      <c r="AT88" s="84">
        <v>0</v>
      </c>
      <c r="AU88" s="85"/>
      <c r="AV88" s="84">
        <v>0</v>
      </c>
      <c r="AW88" s="81"/>
      <c r="AX88" s="84"/>
      <c r="AY88" s="85"/>
      <c r="AZ88" s="230">
        <f>BA88</f>
        <v>4498.88</v>
      </c>
      <c r="BA88" s="195">
        <v>4498.88</v>
      </c>
      <c r="BB88" s="84">
        <v>0</v>
      </c>
      <c r="BC88" s="85"/>
      <c r="BD88" s="84">
        <v>0</v>
      </c>
      <c r="BE88" s="85"/>
      <c r="BF88" s="84">
        <v>0</v>
      </c>
      <c r="BG88" s="85"/>
      <c r="BH88" s="84">
        <f t="shared" si="273"/>
        <v>1185.1199999999999</v>
      </c>
      <c r="BI88" s="85"/>
      <c r="BJ88" s="84">
        <f t="shared" si="274"/>
        <v>0</v>
      </c>
      <c r="BK88" s="85"/>
      <c r="BL88" s="84">
        <f t="shared" si="275"/>
        <v>0</v>
      </c>
      <c r="BM88" s="85"/>
      <c r="BN88" s="84">
        <f t="shared" si="276"/>
        <v>0</v>
      </c>
      <c r="BO88" s="81"/>
      <c r="BP88" s="214">
        <f t="shared" si="277"/>
        <v>0</v>
      </c>
    </row>
    <row r="89" spans="1:68" s="407" customFormat="1" ht="13.9" x14ac:dyDescent="0.4">
      <c r="A89" s="428"/>
      <c r="B89" s="392" t="s">
        <v>458</v>
      </c>
      <c r="C89" s="396"/>
      <c r="D89" s="105">
        <v>42929.84</v>
      </c>
      <c r="E89" s="63"/>
      <c r="F89" s="305">
        <v>42929.84</v>
      </c>
      <c r="G89" s="397">
        <v>1147.2</v>
      </c>
      <c r="H89" s="398">
        <f t="shared" si="345"/>
        <v>2.6722671223559188E-2</v>
      </c>
      <c r="I89" s="399"/>
      <c r="J89" s="400">
        <f t="shared" si="35"/>
        <v>0</v>
      </c>
      <c r="K89" s="399"/>
      <c r="L89" s="401">
        <f t="shared" si="36"/>
        <v>0</v>
      </c>
      <c r="M89" s="397">
        <v>21290.7</v>
      </c>
      <c r="N89" s="401">
        <f>M89/F89</f>
        <v>0.49594175053995082</v>
      </c>
      <c r="O89" s="399"/>
      <c r="P89" s="402">
        <f>O89/F89</f>
        <v>0</v>
      </c>
      <c r="Q89" s="397">
        <v>3164.46</v>
      </c>
      <c r="R89" s="402">
        <f>Q89/F89</f>
        <v>7.3712364173730907E-2</v>
      </c>
      <c r="S89" s="399"/>
      <c r="T89" s="402">
        <f>S89/F89</f>
        <v>0</v>
      </c>
      <c r="U89" s="399"/>
      <c r="V89" s="402">
        <f>U89/F89</f>
        <v>0</v>
      </c>
      <c r="W89" s="397"/>
      <c r="X89" s="402">
        <f>W89/F89</f>
        <v>0</v>
      </c>
      <c r="Y89" s="399"/>
      <c r="Z89" s="402">
        <f>Y89/F89</f>
        <v>0</v>
      </c>
      <c r="AA89" s="397"/>
      <c r="AB89" s="402">
        <f>AA89/F89</f>
        <v>0</v>
      </c>
      <c r="AC89" s="399">
        <v>17327.48</v>
      </c>
      <c r="AD89" s="402">
        <f>AC89/F89</f>
        <v>0.40362321406275914</v>
      </c>
      <c r="AE89" s="397"/>
      <c r="AF89" s="402">
        <f>AE89/F89</f>
        <v>0</v>
      </c>
      <c r="AG89" s="399"/>
      <c r="AH89" s="402">
        <f>AG89/F89</f>
        <v>0</v>
      </c>
      <c r="AI89" s="397"/>
      <c r="AJ89" s="402">
        <f>AI89/F89</f>
        <v>0</v>
      </c>
      <c r="AK89" s="397"/>
      <c r="AL89" s="402">
        <f t="shared" ref="AL89" si="358">AK89/F89</f>
        <v>0</v>
      </c>
      <c r="AM89" s="397"/>
      <c r="AN89" s="402">
        <f t="shared" ref="AN89" si="359">AM89/F89</f>
        <v>0</v>
      </c>
      <c r="AO89" s="397"/>
      <c r="AP89" s="402">
        <f t="shared" ref="AP89" si="360">AO89/F89</f>
        <v>0</v>
      </c>
      <c r="AQ89" s="323">
        <f t="shared" ref="AQ89" si="361">L89+N89+P89+R89+T89+V89+X89+Z89+AB89+AD89+H89+J89+AJ89+AF89+AH89+AN89+AP89+AL89</f>
        <v>1</v>
      </c>
      <c r="AR89" s="404">
        <v>0</v>
      </c>
      <c r="AS89" s="404">
        <v>0</v>
      </c>
      <c r="AT89" s="416">
        <v>7143.03</v>
      </c>
      <c r="AU89" s="417">
        <f>AT89</f>
        <v>7143.03</v>
      </c>
      <c r="AV89" s="416">
        <v>5485.83</v>
      </c>
      <c r="AW89" s="197">
        <f>AV89</f>
        <v>5485.83</v>
      </c>
      <c r="AX89" s="416">
        <v>30300.98</v>
      </c>
      <c r="AY89" s="417">
        <f>AX89</f>
        <v>30300.98</v>
      </c>
      <c r="AZ89" s="236">
        <f t="shared" ref="AZ89" si="362">F89-AR89-AT89-AV89-AX89</f>
        <v>0</v>
      </c>
      <c r="BA89" s="404"/>
      <c r="BB89" s="236">
        <f t="shared" ref="BB89" si="363">F89-AR89-AT89-AV89-AX89-AZ89</f>
        <v>-3.637978807091713E-12</v>
      </c>
      <c r="BC89" s="405"/>
      <c r="BD89" s="236">
        <f t="shared" ref="BD89" si="364">F89-AR89-AT89-AV89-AX89-AZ89-BB89</f>
        <v>0</v>
      </c>
      <c r="BE89" s="405"/>
      <c r="BF89" s="236">
        <f t="shared" ref="BF89" si="365">F89-AR89-AT89-AV89-AX89-AZ89-BB89-BD89</f>
        <v>0</v>
      </c>
      <c r="BG89" s="405"/>
      <c r="BH89" s="236">
        <f t="shared" ref="BH89" si="366">F89-AR89-AT89-AV89-AX89-AZ89-BB89-BD89-BF89</f>
        <v>0</v>
      </c>
      <c r="BI89" s="405"/>
      <c r="BJ89" s="236">
        <f t="shared" ref="BJ89" si="367">F89-AR89-AT89-AV89-AX89-AZ89-BB89-BD89-BF89-BH89</f>
        <v>0</v>
      </c>
      <c r="BK89" s="405"/>
      <c r="BL89" s="236">
        <f t="shared" ref="BL89" si="368">F89-AR89-AT89-AV89-AX89-AZ89-BB89-BD89-BF89-BH89-BJ89</f>
        <v>0</v>
      </c>
      <c r="BM89" s="405"/>
      <c r="BN89" s="236">
        <f t="shared" ref="BN89" si="369">F89-AR89-AT89-AV89-AX89-AZ89-BB89-BD89-BF89-BH89-BJ89-BL89</f>
        <v>0</v>
      </c>
      <c r="BO89" s="404"/>
      <c r="BP89" s="406">
        <f t="shared" ref="BP89" si="370">F89-AR89-AT89-AV89-AX89-AZ89-BB89-BD89-BF89-BH89-BJ89-BL89-BN89</f>
        <v>0</v>
      </c>
    </row>
    <row r="90" spans="1:68" ht="13.9" x14ac:dyDescent="0.4">
      <c r="A90" s="427"/>
      <c r="B90" s="392" t="s">
        <v>825</v>
      </c>
      <c r="C90" s="180"/>
      <c r="D90" s="83">
        <v>97448</v>
      </c>
      <c r="E90" s="142">
        <f>D90</f>
        <v>97448</v>
      </c>
      <c r="F90" s="304"/>
      <c r="G90" s="289"/>
      <c r="H90" s="363" t="e">
        <f t="shared" si="345"/>
        <v>#DIV/0!</v>
      </c>
      <c r="I90" s="287"/>
      <c r="J90" s="313" t="e">
        <f t="shared" si="35"/>
        <v>#DIV/0!</v>
      </c>
      <c r="K90" s="287"/>
      <c r="L90" s="288" t="e">
        <f t="shared" si="36"/>
        <v>#DIV/0!</v>
      </c>
      <c r="M90" s="289"/>
      <c r="N90" s="288" t="e">
        <f t="shared" si="346"/>
        <v>#DIV/0!</v>
      </c>
      <c r="O90" s="287"/>
      <c r="P90" s="290" t="e">
        <f t="shared" si="347"/>
        <v>#DIV/0!</v>
      </c>
      <c r="Q90" s="289"/>
      <c r="R90" s="290" t="e">
        <f t="shared" si="348"/>
        <v>#DIV/0!</v>
      </c>
      <c r="S90" s="287"/>
      <c r="T90" s="290" t="e">
        <f t="shared" si="349"/>
        <v>#DIV/0!</v>
      </c>
      <c r="U90" s="287"/>
      <c r="V90" s="290" t="e">
        <f t="shared" si="350"/>
        <v>#DIV/0!</v>
      </c>
      <c r="W90" s="289"/>
      <c r="X90" s="290" t="e">
        <f t="shared" si="351"/>
        <v>#DIV/0!</v>
      </c>
      <c r="Y90" s="287"/>
      <c r="Z90" s="290" t="e">
        <f t="shared" si="352"/>
        <v>#DIV/0!</v>
      </c>
      <c r="AA90" s="289"/>
      <c r="AB90" s="290" t="e">
        <f t="shared" si="353"/>
        <v>#DIV/0!</v>
      </c>
      <c r="AC90" s="287"/>
      <c r="AD90" s="290" t="e">
        <f t="shared" si="354"/>
        <v>#DIV/0!</v>
      </c>
      <c r="AE90" s="289"/>
      <c r="AF90" s="290" t="e">
        <f t="shared" si="355"/>
        <v>#DIV/0!</v>
      </c>
      <c r="AG90" s="287"/>
      <c r="AH90" s="290" t="e">
        <f t="shared" si="356"/>
        <v>#DIV/0!</v>
      </c>
      <c r="AI90" s="289"/>
      <c r="AJ90" s="290" t="e">
        <f t="shared" si="357"/>
        <v>#DIV/0!</v>
      </c>
      <c r="AK90" s="289"/>
      <c r="AL90" s="290" t="e">
        <f t="shared" si="111"/>
        <v>#DIV/0!</v>
      </c>
      <c r="AM90" s="289"/>
      <c r="AN90" s="290" t="e">
        <f t="shared" si="266"/>
        <v>#DIV/0!</v>
      </c>
      <c r="AO90" s="289"/>
      <c r="AP90" s="290" t="e">
        <f t="shared" si="267"/>
        <v>#DIV/0!</v>
      </c>
      <c r="AQ90" s="323" t="e">
        <f t="shared" si="112"/>
        <v>#DIV/0!</v>
      </c>
      <c r="AR90" s="81">
        <f t="shared" si="297"/>
        <v>0</v>
      </c>
      <c r="AS90" s="81"/>
      <c r="AT90" s="84">
        <f t="shared" si="298"/>
        <v>0</v>
      </c>
      <c r="AU90" s="85"/>
      <c r="AV90" s="84">
        <f t="shared" si="280"/>
        <v>0</v>
      </c>
      <c r="AW90" s="81"/>
      <c r="AX90" s="84">
        <f t="shared" si="281"/>
        <v>0</v>
      </c>
      <c r="AY90" s="85"/>
      <c r="AZ90" s="84">
        <f t="shared" si="269"/>
        <v>0</v>
      </c>
      <c r="BA90" s="81"/>
      <c r="BB90" s="84">
        <f t="shared" si="270"/>
        <v>0</v>
      </c>
      <c r="BC90" s="85"/>
      <c r="BD90" s="84">
        <f t="shared" si="271"/>
        <v>0</v>
      </c>
      <c r="BE90" s="85"/>
      <c r="BF90" s="84">
        <f t="shared" si="272"/>
        <v>0</v>
      </c>
      <c r="BG90" s="85"/>
      <c r="BH90" s="84">
        <f t="shared" si="273"/>
        <v>0</v>
      </c>
      <c r="BI90" s="85"/>
      <c r="BJ90" s="84">
        <f t="shared" si="274"/>
        <v>0</v>
      </c>
      <c r="BK90" s="85"/>
      <c r="BL90" s="84">
        <f t="shared" si="275"/>
        <v>0</v>
      </c>
      <c r="BM90" s="85"/>
      <c r="BN90" s="84">
        <f t="shared" si="276"/>
        <v>0</v>
      </c>
      <c r="BO90" s="81"/>
      <c r="BP90" s="214">
        <f t="shared" si="277"/>
        <v>0</v>
      </c>
    </row>
    <row r="91" spans="1:68" ht="13.9" x14ac:dyDescent="0.4">
      <c r="A91" s="427"/>
      <c r="B91" s="392" t="s">
        <v>848</v>
      </c>
      <c r="C91" s="180"/>
      <c r="D91" s="83">
        <v>7000</v>
      </c>
      <c r="E91" s="142"/>
      <c r="F91" s="304">
        <f>D91</f>
        <v>7000</v>
      </c>
      <c r="G91" s="289"/>
      <c r="H91" s="363">
        <f t="shared" si="345"/>
        <v>0</v>
      </c>
      <c r="I91" s="287"/>
      <c r="J91" s="313">
        <f t="shared" si="35"/>
        <v>0</v>
      </c>
      <c r="K91" s="287"/>
      <c r="L91" s="288">
        <f t="shared" si="36"/>
        <v>0</v>
      </c>
      <c r="M91" s="289">
        <v>7000</v>
      </c>
      <c r="N91" s="288">
        <f>M91/F91</f>
        <v>1</v>
      </c>
      <c r="O91" s="287"/>
      <c r="P91" s="290">
        <f>O91/F91</f>
        <v>0</v>
      </c>
      <c r="Q91" s="289"/>
      <c r="R91" s="290">
        <f>Q91/F91</f>
        <v>0</v>
      </c>
      <c r="S91" s="287"/>
      <c r="T91" s="290">
        <f>S91/F91</f>
        <v>0</v>
      </c>
      <c r="U91" s="287"/>
      <c r="V91" s="290">
        <f>U91/F91</f>
        <v>0</v>
      </c>
      <c r="W91" s="289"/>
      <c r="X91" s="290">
        <f>W91/F91</f>
        <v>0</v>
      </c>
      <c r="Y91" s="287"/>
      <c r="Z91" s="290">
        <f>Y91/F91</f>
        <v>0</v>
      </c>
      <c r="AA91" s="289"/>
      <c r="AB91" s="290">
        <f>AA91/F91</f>
        <v>0</v>
      </c>
      <c r="AC91" s="287"/>
      <c r="AD91" s="290">
        <f>AC91/F91</f>
        <v>0</v>
      </c>
      <c r="AE91" s="289"/>
      <c r="AF91" s="290">
        <f>AE91/F91</f>
        <v>0</v>
      </c>
      <c r="AG91" s="287"/>
      <c r="AH91" s="290">
        <f>AG91/F91</f>
        <v>0</v>
      </c>
      <c r="AI91" s="289"/>
      <c r="AJ91" s="290">
        <f>AI91/F91</f>
        <v>0</v>
      </c>
      <c r="AK91" s="289"/>
      <c r="AL91" s="290">
        <f t="shared" ref="AL91" si="371">AK91/F91</f>
        <v>0</v>
      </c>
      <c r="AM91" s="289"/>
      <c r="AN91" s="290">
        <f t="shared" ref="AN91" si="372">AM91/F91</f>
        <v>0</v>
      </c>
      <c r="AO91" s="289"/>
      <c r="AP91" s="290">
        <f t="shared" ref="AP91" si="373">AO91/F91</f>
        <v>0</v>
      </c>
      <c r="AQ91" s="323">
        <f t="shared" ref="AQ91" si="374">L91+N91+P91+R91+T91+V91+X91+Z91+AB91+AD91+H91+J91+AJ91+AF91+AH91+AN91+AP91+AL91</f>
        <v>1</v>
      </c>
      <c r="AR91" s="81">
        <v>0</v>
      </c>
      <c r="AS91" s="81"/>
      <c r="AT91" s="230">
        <f>1687+5313</f>
        <v>7000</v>
      </c>
      <c r="AU91" s="231">
        <f>AT91</f>
        <v>7000</v>
      </c>
      <c r="AV91" s="84">
        <f t="shared" ref="AV91" si="375">F91-AR91-AT91</f>
        <v>0</v>
      </c>
      <c r="AW91" s="81"/>
      <c r="AX91" s="84">
        <f t="shared" ref="AX91" si="376">F91-AR91-AT91-AV91</f>
        <v>0</v>
      </c>
      <c r="AY91" s="85"/>
      <c r="AZ91" s="84">
        <f t="shared" ref="AZ91" si="377">F91-AR91-AT91-AV91-AX91</f>
        <v>0</v>
      </c>
      <c r="BA91" s="81"/>
      <c r="BB91" s="84">
        <f t="shared" ref="BB91" si="378">F91-AR91-AT91-AV91-AX91-AZ91</f>
        <v>0</v>
      </c>
      <c r="BC91" s="85"/>
      <c r="BD91" s="84">
        <f t="shared" ref="BD91" si="379">F91-AR91-AT91-AV91-AX91-AZ91-BB91</f>
        <v>0</v>
      </c>
      <c r="BE91" s="85"/>
      <c r="BF91" s="84">
        <f t="shared" ref="BF91" si="380">F91-AR91-AT91-AV91-AX91-AZ91-BB91-BD91</f>
        <v>0</v>
      </c>
      <c r="BG91" s="85"/>
      <c r="BH91" s="84">
        <f t="shared" ref="BH91" si="381">F91-AR91-AT91-AV91-AX91-AZ91-BB91-BD91-BF91</f>
        <v>0</v>
      </c>
      <c r="BI91" s="85"/>
      <c r="BJ91" s="84">
        <f t="shared" ref="BJ91" si="382">F91-AR91-AT91-AV91-AX91-AZ91-BB91-BD91-BF91-BH91</f>
        <v>0</v>
      </c>
      <c r="BK91" s="85"/>
      <c r="BL91" s="84">
        <f t="shared" ref="BL91" si="383">F91-AR91-AT91-AV91-AX91-AZ91-BB91-BD91-BF91-BH91-BJ91</f>
        <v>0</v>
      </c>
      <c r="BM91" s="85"/>
      <c r="BN91" s="84">
        <f t="shared" ref="BN91" si="384">F91-AR91-AT91-AV91-AX91-AZ91-BB91-BD91-BF91-BH91-BJ91-BL91</f>
        <v>0</v>
      </c>
      <c r="BO91" s="81"/>
      <c r="BP91" s="214">
        <f t="shared" ref="BP91" si="385">F91-AR91-AT91-AV91-AX91-AZ91-BB91-BD91-BF91-BH91-BJ91-BL91-BN91</f>
        <v>0</v>
      </c>
    </row>
    <row r="92" spans="1:68" ht="13.9" x14ac:dyDescent="0.4">
      <c r="A92" s="427"/>
      <c r="B92" s="392" t="s">
        <v>467</v>
      </c>
      <c r="C92" s="180"/>
      <c r="D92" s="83">
        <f>10832-1295.89</f>
        <v>9536.11</v>
      </c>
      <c r="E92" s="105"/>
      <c r="F92" s="304">
        <f>D92</f>
        <v>9536.11</v>
      </c>
      <c r="G92" s="289"/>
      <c r="H92" s="363">
        <f t="shared" si="345"/>
        <v>0</v>
      </c>
      <c r="I92" s="287"/>
      <c r="J92" s="313">
        <f t="shared" si="35"/>
        <v>0</v>
      </c>
      <c r="K92" s="287">
        <f>1295.89-1295.89</f>
        <v>0</v>
      </c>
      <c r="L92" s="288">
        <f t="shared" si="36"/>
        <v>0</v>
      </c>
      <c r="M92" s="289">
        <v>1562.48</v>
      </c>
      <c r="N92" s="288">
        <f t="shared" si="346"/>
        <v>0.16384878110676154</v>
      </c>
      <c r="O92" s="287"/>
      <c r="P92" s="290">
        <f t="shared" si="347"/>
        <v>0</v>
      </c>
      <c r="Q92" s="289"/>
      <c r="R92" s="290">
        <f t="shared" si="348"/>
        <v>0</v>
      </c>
      <c r="S92" s="287"/>
      <c r="T92" s="290">
        <f t="shared" si="349"/>
        <v>0</v>
      </c>
      <c r="U92" s="287"/>
      <c r="V92" s="290">
        <f t="shared" si="350"/>
        <v>0</v>
      </c>
      <c r="W92" s="289"/>
      <c r="X92" s="290">
        <f t="shared" si="351"/>
        <v>0</v>
      </c>
      <c r="Y92" s="287"/>
      <c r="Z92" s="290">
        <f t="shared" si="352"/>
        <v>0</v>
      </c>
      <c r="AA92" s="289"/>
      <c r="AB92" s="290">
        <f t="shared" si="353"/>
        <v>0</v>
      </c>
      <c r="AC92" s="287"/>
      <c r="AD92" s="290">
        <f t="shared" si="354"/>
        <v>0</v>
      </c>
      <c r="AE92" s="289"/>
      <c r="AF92" s="290">
        <f t="shared" si="355"/>
        <v>0</v>
      </c>
      <c r="AG92" s="287">
        <v>100</v>
      </c>
      <c r="AH92" s="290">
        <f t="shared" si="356"/>
        <v>1.0486456217472323E-2</v>
      </c>
      <c r="AI92" s="289">
        <v>7874.47</v>
      </c>
      <c r="AJ92" s="290">
        <f t="shared" si="357"/>
        <v>0.82575284890799283</v>
      </c>
      <c r="AK92" s="289"/>
      <c r="AL92" s="290">
        <f t="shared" si="111"/>
        <v>0</v>
      </c>
      <c r="AM92" s="289"/>
      <c r="AN92" s="290">
        <f t="shared" si="266"/>
        <v>0</v>
      </c>
      <c r="AO92" s="289"/>
      <c r="AP92" s="290">
        <f t="shared" si="267"/>
        <v>0</v>
      </c>
      <c r="AQ92" s="323">
        <f t="shared" si="112"/>
        <v>1.0000880862322266</v>
      </c>
      <c r="AR92" s="81">
        <v>0</v>
      </c>
      <c r="AS92" s="81"/>
      <c r="AT92" s="84">
        <v>0</v>
      </c>
      <c r="AU92" s="85"/>
      <c r="AV92" s="84">
        <v>0</v>
      </c>
      <c r="AW92" s="81"/>
      <c r="AX92" s="84">
        <v>0</v>
      </c>
      <c r="AY92" s="85"/>
      <c r="AZ92" s="84">
        <v>0</v>
      </c>
      <c r="BA92" s="81"/>
      <c r="BB92" s="230">
        <f>BC92</f>
        <v>9213</v>
      </c>
      <c r="BC92" s="231">
        <f>10508.89-1295.89</f>
        <v>9213</v>
      </c>
      <c r="BD92" s="84">
        <v>0</v>
      </c>
      <c r="BE92" s="85"/>
      <c r="BF92" s="84">
        <f t="shared" si="272"/>
        <v>323.11000000000058</v>
      </c>
      <c r="BG92" s="85"/>
      <c r="BH92" s="84">
        <f t="shared" si="273"/>
        <v>0</v>
      </c>
      <c r="BI92" s="85"/>
      <c r="BJ92" s="84">
        <f t="shared" si="274"/>
        <v>0</v>
      </c>
      <c r="BK92" s="85"/>
      <c r="BL92" s="84">
        <f t="shared" si="275"/>
        <v>0</v>
      </c>
      <c r="BM92" s="85"/>
      <c r="BN92" s="84">
        <f t="shared" si="276"/>
        <v>0</v>
      </c>
      <c r="BO92" s="81"/>
      <c r="BP92" s="214">
        <f t="shared" si="277"/>
        <v>0</v>
      </c>
    </row>
    <row r="93" spans="1:68" ht="13.9" x14ac:dyDescent="0.4">
      <c r="A93" s="430"/>
      <c r="B93" s="368" t="s">
        <v>525</v>
      </c>
      <c r="C93" s="369"/>
      <c r="D93" s="370"/>
      <c r="E93" s="371"/>
      <c r="F93" s="304"/>
      <c r="G93" s="289"/>
      <c r="H93" s="363" t="e">
        <f t="shared" si="34"/>
        <v>#DIV/0!</v>
      </c>
      <c r="I93" s="287"/>
      <c r="J93" s="313" t="e">
        <f t="shared" ref="J93:J131" si="386">I93/F93</f>
        <v>#DIV/0!</v>
      </c>
      <c r="K93" s="287"/>
      <c r="L93" s="288" t="e">
        <f t="shared" ref="L93:L131" si="387">K93/F93</f>
        <v>#DIV/0!</v>
      </c>
      <c r="M93" s="289"/>
      <c r="N93" s="288" t="e">
        <f t="shared" si="37"/>
        <v>#DIV/0!</v>
      </c>
      <c r="O93" s="287"/>
      <c r="P93" s="290" t="e">
        <f t="shared" si="38"/>
        <v>#DIV/0!</v>
      </c>
      <c r="Q93" s="289"/>
      <c r="R93" s="290" t="e">
        <f t="shared" si="39"/>
        <v>#DIV/0!</v>
      </c>
      <c r="S93" s="287"/>
      <c r="T93" s="290" t="e">
        <f t="shared" si="40"/>
        <v>#DIV/0!</v>
      </c>
      <c r="U93" s="287"/>
      <c r="V93" s="290" t="e">
        <f t="shared" si="41"/>
        <v>#DIV/0!</v>
      </c>
      <c r="W93" s="289"/>
      <c r="X93" s="290" t="e">
        <f t="shared" si="42"/>
        <v>#DIV/0!</v>
      </c>
      <c r="Y93" s="287"/>
      <c r="Z93" s="290" t="e">
        <f t="shared" si="43"/>
        <v>#DIV/0!</v>
      </c>
      <c r="AA93" s="289"/>
      <c r="AB93" s="290" t="e">
        <f t="shared" si="44"/>
        <v>#DIV/0!</v>
      </c>
      <c r="AC93" s="287"/>
      <c r="AD93" s="290" t="e">
        <f t="shared" si="45"/>
        <v>#DIV/0!</v>
      </c>
      <c r="AE93" s="289"/>
      <c r="AF93" s="290" t="e">
        <f t="shared" si="46"/>
        <v>#DIV/0!</v>
      </c>
      <c r="AG93" s="287"/>
      <c r="AH93" s="290" t="e">
        <f t="shared" si="47"/>
        <v>#DIV/0!</v>
      </c>
      <c r="AI93" s="289"/>
      <c r="AJ93" s="290" t="e">
        <f t="shared" si="48"/>
        <v>#DIV/0!</v>
      </c>
      <c r="AK93" s="289"/>
      <c r="AL93" s="290" t="e">
        <f t="shared" si="111"/>
        <v>#DIV/0!</v>
      </c>
      <c r="AM93" s="289"/>
      <c r="AN93" s="290" t="e">
        <f t="shared" si="266"/>
        <v>#DIV/0!</v>
      </c>
      <c r="AO93" s="289"/>
      <c r="AP93" s="290" t="e">
        <f t="shared" si="267"/>
        <v>#DIV/0!</v>
      </c>
      <c r="AQ93" s="323" t="e">
        <f t="shared" si="112"/>
        <v>#DIV/0!</v>
      </c>
      <c r="AR93" s="81">
        <f t="shared" si="297"/>
        <v>0</v>
      </c>
      <c r="AS93" s="81"/>
      <c r="AT93" s="84">
        <f t="shared" si="298"/>
        <v>0</v>
      </c>
      <c r="AU93" s="85"/>
      <c r="AV93" s="84">
        <f t="shared" si="280"/>
        <v>0</v>
      </c>
      <c r="AW93" s="81"/>
      <c r="AX93" s="84">
        <f t="shared" si="281"/>
        <v>0</v>
      </c>
      <c r="AY93" s="85"/>
      <c r="AZ93" s="84">
        <f t="shared" si="269"/>
        <v>0</v>
      </c>
      <c r="BA93" s="81"/>
      <c r="BB93" s="84">
        <f t="shared" si="270"/>
        <v>0</v>
      </c>
      <c r="BC93" s="85"/>
      <c r="BD93" s="84">
        <f t="shared" si="271"/>
        <v>0</v>
      </c>
      <c r="BE93" s="85"/>
      <c r="BF93" s="84">
        <f t="shared" si="272"/>
        <v>0</v>
      </c>
      <c r="BG93" s="85"/>
      <c r="BH93" s="84">
        <f t="shared" si="273"/>
        <v>0</v>
      </c>
      <c r="BI93" s="85"/>
      <c r="BJ93" s="84">
        <f t="shared" si="274"/>
        <v>0</v>
      </c>
      <c r="BK93" s="85"/>
      <c r="BL93" s="84">
        <f t="shared" si="275"/>
        <v>0</v>
      </c>
      <c r="BM93" s="85"/>
      <c r="BN93" s="84">
        <f t="shared" si="276"/>
        <v>0</v>
      </c>
      <c r="BO93" s="81"/>
      <c r="BP93" s="214">
        <f t="shared" si="277"/>
        <v>0</v>
      </c>
    </row>
    <row r="94" spans="1:68" ht="13.9" x14ac:dyDescent="0.4">
      <c r="B94" s="393" t="s">
        <v>868</v>
      </c>
      <c r="C94" s="180"/>
      <c r="D94" s="83">
        <v>199.2</v>
      </c>
      <c r="E94" s="142"/>
      <c r="F94" s="304">
        <f>D94</f>
        <v>199.2</v>
      </c>
      <c r="G94" s="289"/>
      <c r="H94" s="363">
        <f t="shared" si="34"/>
        <v>0</v>
      </c>
      <c r="I94" s="287"/>
      <c r="J94" s="313">
        <f t="shared" si="386"/>
        <v>0</v>
      </c>
      <c r="K94" s="287"/>
      <c r="L94" s="288">
        <f t="shared" si="387"/>
        <v>0</v>
      </c>
      <c r="M94" s="289"/>
      <c r="N94" s="288">
        <f>M94/F94</f>
        <v>0</v>
      </c>
      <c r="O94" s="287"/>
      <c r="P94" s="290">
        <f>O94/F94</f>
        <v>0</v>
      </c>
      <c r="Q94" s="289"/>
      <c r="R94" s="290">
        <f>Q94/F94</f>
        <v>0</v>
      </c>
      <c r="S94" s="287"/>
      <c r="T94" s="290">
        <f>S94/F94</f>
        <v>0</v>
      </c>
      <c r="U94" s="287"/>
      <c r="V94" s="290">
        <f>U94/F94</f>
        <v>0</v>
      </c>
      <c r="W94" s="289"/>
      <c r="X94" s="290">
        <f>W94/F94</f>
        <v>0</v>
      </c>
      <c r="Y94" s="287"/>
      <c r="Z94" s="290">
        <f>Y94/F94</f>
        <v>0</v>
      </c>
      <c r="AA94" s="289"/>
      <c r="AB94" s="290">
        <f>AA94/F94</f>
        <v>0</v>
      </c>
      <c r="AC94" s="287"/>
      <c r="AD94" s="290">
        <f>AC94/F94</f>
        <v>0</v>
      </c>
      <c r="AE94" s="289"/>
      <c r="AF94" s="290">
        <f>AE94/F94</f>
        <v>0</v>
      </c>
      <c r="AG94" s="287"/>
      <c r="AH94" s="290">
        <f>AG94/F94</f>
        <v>0</v>
      </c>
      <c r="AI94" s="289"/>
      <c r="AJ94" s="290">
        <f>AI94/F94</f>
        <v>0</v>
      </c>
      <c r="AK94" s="289"/>
      <c r="AL94" s="290">
        <f t="shared" ref="AL94" si="388">AK94/F94</f>
        <v>0</v>
      </c>
      <c r="AM94" s="289"/>
      <c r="AN94" s="290">
        <f t="shared" ref="AN94" si="389">AM94/F94</f>
        <v>0</v>
      </c>
      <c r="AO94" s="289"/>
      <c r="AP94" s="290">
        <f t="shared" ref="AP94" si="390">AO94/F94</f>
        <v>0</v>
      </c>
      <c r="AQ94" s="323">
        <f t="shared" ref="AQ94" si="391">L94+N94+P94+R94+T94+V94+X94+Z94+AB94+AD94+H94+J94+AJ94+AF94+AH94+AN94+AP94+AL94</f>
        <v>0</v>
      </c>
      <c r="AR94" s="81">
        <v>0</v>
      </c>
      <c r="AS94" s="81"/>
      <c r="AT94" s="84">
        <v>0</v>
      </c>
      <c r="AU94" s="85"/>
      <c r="AV94" s="84">
        <v>0</v>
      </c>
      <c r="AW94" s="81"/>
      <c r="AX94" s="84">
        <v>0</v>
      </c>
      <c r="AY94" s="85"/>
      <c r="AZ94" s="230">
        <f t="shared" ref="AZ94" si="392">F94-AR94-AT94-AV94-AX94</f>
        <v>199.2</v>
      </c>
      <c r="BA94" s="195">
        <v>199</v>
      </c>
      <c r="BB94" s="84">
        <f t="shared" ref="BB94" si="393">F94-AR94-AT94-AV94-AX94-AZ94</f>
        <v>0</v>
      </c>
      <c r="BC94" s="85"/>
      <c r="BD94" s="84">
        <f t="shared" ref="BD94" si="394">F94-AR94-AT94-AV94-AX94-AZ94-BB94</f>
        <v>0</v>
      </c>
      <c r="BE94" s="85"/>
      <c r="BF94" s="84">
        <f t="shared" ref="BF94" si="395">F94-AR94-AT94-AV94-AX94-AZ94-BB94-BD94</f>
        <v>0</v>
      </c>
      <c r="BG94" s="85"/>
      <c r="BH94" s="84">
        <f t="shared" ref="BH94" si="396">F94-AR94-AT94-AV94-AX94-AZ94-BB94-BD94-BF94</f>
        <v>0</v>
      </c>
      <c r="BI94" s="85"/>
      <c r="BJ94" s="84">
        <f t="shared" ref="BJ94" si="397">F94-AR94-AT94-AV94-AX94-AZ94-BB94-BD94-BF94-BH94</f>
        <v>0</v>
      </c>
      <c r="BK94" s="85"/>
      <c r="BL94" s="84">
        <f t="shared" ref="BL94" si="398">F94-AR94-AT94-AV94-AX94-AZ94-BB94-BD94-BF94-BH94-BJ94</f>
        <v>0</v>
      </c>
      <c r="BM94" s="85"/>
      <c r="BN94" s="84">
        <f t="shared" ref="BN94" si="399">F94-AR94-AT94-AV94-AX94-AZ94-BB94-BD94-BF94-BH94-BJ94-BL94</f>
        <v>0</v>
      </c>
      <c r="BO94" s="81"/>
      <c r="BP94" s="214">
        <f t="shared" ref="BP94" si="400">F94-AR94-AT94-AV94-AX94-AZ94-BB94-BD94-BF94-BH94-BJ94-BL94-BN94</f>
        <v>0</v>
      </c>
    </row>
    <row r="95" spans="1:68" ht="13.9" x14ac:dyDescent="0.4">
      <c r="A95" s="427"/>
      <c r="B95" s="391" t="s">
        <v>863</v>
      </c>
      <c r="C95" s="180"/>
      <c r="D95" s="83">
        <v>16853.37</v>
      </c>
      <c r="E95" s="142"/>
      <c r="F95" s="304"/>
      <c r="G95" s="289"/>
      <c r="H95" s="363" t="e">
        <f t="shared" si="34"/>
        <v>#DIV/0!</v>
      </c>
      <c r="I95" s="287"/>
      <c r="J95" s="313" t="e">
        <f t="shared" si="386"/>
        <v>#DIV/0!</v>
      </c>
      <c r="K95" s="287"/>
      <c r="L95" s="288" t="e">
        <f t="shared" si="387"/>
        <v>#DIV/0!</v>
      </c>
      <c r="M95" s="289"/>
      <c r="N95" s="288" t="e">
        <f>M95/F95</f>
        <v>#DIV/0!</v>
      </c>
      <c r="O95" s="287"/>
      <c r="P95" s="290" t="e">
        <f>O95/F95</f>
        <v>#DIV/0!</v>
      </c>
      <c r="Q95" s="289"/>
      <c r="R95" s="290" t="e">
        <f>Q95/F95</f>
        <v>#DIV/0!</v>
      </c>
      <c r="S95" s="287"/>
      <c r="T95" s="290" t="e">
        <f>S95/F95</f>
        <v>#DIV/0!</v>
      </c>
      <c r="U95" s="287"/>
      <c r="V95" s="290" t="e">
        <f>U95/F95</f>
        <v>#DIV/0!</v>
      </c>
      <c r="W95" s="289"/>
      <c r="X95" s="290" t="e">
        <f>W95/F95</f>
        <v>#DIV/0!</v>
      </c>
      <c r="Y95" s="287"/>
      <c r="Z95" s="290" t="e">
        <f>Y95/F95</f>
        <v>#DIV/0!</v>
      </c>
      <c r="AA95" s="289"/>
      <c r="AB95" s="290" t="e">
        <f>AA95/F95</f>
        <v>#DIV/0!</v>
      </c>
      <c r="AC95" s="287"/>
      <c r="AD95" s="290" t="e">
        <f>AC95/F95</f>
        <v>#DIV/0!</v>
      </c>
      <c r="AE95" s="289"/>
      <c r="AF95" s="290" t="e">
        <f>AE95/F95</f>
        <v>#DIV/0!</v>
      </c>
      <c r="AG95" s="287"/>
      <c r="AH95" s="290" t="e">
        <f>AG95/F95</f>
        <v>#DIV/0!</v>
      </c>
      <c r="AI95" s="289"/>
      <c r="AJ95" s="290" t="e">
        <f>AI95/F95</f>
        <v>#DIV/0!</v>
      </c>
      <c r="AK95" s="289"/>
      <c r="AL95" s="290" t="e">
        <f t="shared" ref="AL95" si="401">AK95/F95</f>
        <v>#DIV/0!</v>
      </c>
      <c r="AM95" s="289"/>
      <c r="AN95" s="290" t="e">
        <f t="shared" ref="AN95" si="402">AM95/F95</f>
        <v>#DIV/0!</v>
      </c>
      <c r="AO95" s="289"/>
      <c r="AP95" s="290" t="e">
        <f t="shared" ref="AP95" si="403">AO95/F95</f>
        <v>#DIV/0!</v>
      </c>
      <c r="AQ95" s="323" t="e">
        <f t="shared" ref="AQ95" si="404">L95+N95+P95+R95+T95+V95+X95+Z95+AB95+AD95+H95+J95+AJ95+AF95+AH95+AN95+AP95+AL95</f>
        <v>#DIV/0!</v>
      </c>
      <c r="AR95" s="81">
        <f t="shared" si="297"/>
        <v>0</v>
      </c>
      <c r="AS95" s="81"/>
      <c r="AT95" s="84">
        <f t="shared" ref="AT95" si="405">F95-AR95</f>
        <v>0</v>
      </c>
      <c r="AU95" s="85"/>
      <c r="AV95" s="84">
        <f t="shared" ref="AV95" si="406">F95-AR95-AT95</f>
        <v>0</v>
      </c>
      <c r="AW95" s="81"/>
      <c r="AX95" s="84">
        <f t="shared" ref="AX95" si="407">F95-AR95-AT95-AV95</f>
        <v>0</v>
      </c>
      <c r="AY95" s="85"/>
      <c r="AZ95" s="84">
        <f t="shared" ref="AZ95" si="408">F95-AR95-AT95-AV95-AX95</f>
        <v>0</v>
      </c>
      <c r="BA95" s="81"/>
      <c r="BB95" s="84">
        <f t="shared" ref="BB95" si="409">F95-AR95-AT95-AV95-AX95-AZ95</f>
        <v>0</v>
      </c>
      <c r="BC95" s="85"/>
      <c r="BD95" s="84">
        <f t="shared" ref="BD95" si="410">F95-AR95-AT95-AV95-AX95-AZ95-BB95</f>
        <v>0</v>
      </c>
      <c r="BE95" s="85"/>
      <c r="BF95" s="84">
        <f t="shared" ref="BF95" si="411">F95-AR95-AT95-AV95-AX95-AZ95-BB95-BD95</f>
        <v>0</v>
      </c>
      <c r="BG95" s="85"/>
      <c r="BH95" s="84">
        <f t="shared" ref="BH95" si="412">F95-AR95-AT95-AV95-AX95-AZ95-BB95-BD95-BF95</f>
        <v>0</v>
      </c>
      <c r="BI95" s="85"/>
      <c r="BJ95" s="84">
        <f t="shared" ref="BJ95" si="413">F95-AR95-AT95-AV95-AX95-AZ95-BB95-BD95-BF95-BH95</f>
        <v>0</v>
      </c>
      <c r="BK95" s="85"/>
      <c r="BL95" s="84">
        <f t="shared" ref="BL95" si="414">F95-AR95-AT95-AV95-AX95-AZ95-BB95-BD95-BF95-BH95-BJ95</f>
        <v>0</v>
      </c>
      <c r="BM95" s="85"/>
      <c r="BN95" s="84">
        <f t="shared" ref="BN95" si="415">F95-AR95-AT95-AV95-AX95-AZ95-BB95-BD95-BF95-BH95-BJ95-BL95</f>
        <v>0</v>
      </c>
      <c r="BO95" s="81"/>
      <c r="BP95" s="214">
        <f t="shared" ref="BP95" si="416">F95-AR95-AT95-AV95-AX95-AZ95-BB95-BD95-BF95-BH95-BJ95-BL95-BN95</f>
        <v>0</v>
      </c>
    </row>
    <row r="96" spans="1:68" ht="13.9" x14ac:dyDescent="0.4">
      <c r="A96" s="427"/>
      <c r="B96" s="390" t="s">
        <v>858</v>
      </c>
      <c r="C96" s="180"/>
      <c r="D96" s="83">
        <v>54411.21</v>
      </c>
      <c r="E96" s="142">
        <f>D96</f>
        <v>54411.21</v>
      </c>
      <c r="F96" s="304"/>
      <c r="G96" s="289"/>
      <c r="H96" s="363" t="e">
        <f t="shared" si="34"/>
        <v>#DIV/0!</v>
      </c>
      <c r="I96" s="287"/>
      <c r="J96" s="313" t="e">
        <f t="shared" si="386"/>
        <v>#DIV/0!</v>
      </c>
      <c r="K96" s="287"/>
      <c r="L96" s="288" t="e">
        <f t="shared" si="387"/>
        <v>#DIV/0!</v>
      </c>
      <c r="M96" s="289"/>
      <c r="N96" s="288" t="e">
        <f>M96/F96</f>
        <v>#DIV/0!</v>
      </c>
      <c r="O96" s="287"/>
      <c r="P96" s="290" t="e">
        <f>O96/F96</f>
        <v>#DIV/0!</v>
      </c>
      <c r="Q96" s="289"/>
      <c r="R96" s="290" t="e">
        <f>Q96/F96</f>
        <v>#DIV/0!</v>
      </c>
      <c r="S96" s="287"/>
      <c r="T96" s="290" t="e">
        <f>S96/F96</f>
        <v>#DIV/0!</v>
      </c>
      <c r="U96" s="287"/>
      <c r="V96" s="290" t="e">
        <f>U96/F96</f>
        <v>#DIV/0!</v>
      </c>
      <c r="W96" s="289"/>
      <c r="X96" s="290" t="e">
        <f>W96/F96</f>
        <v>#DIV/0!</v>
      </c>
      <c r="Y96" s="287"/>
      <c r="Z96" s="290" t="e">
        <f>Y96/F96</f>
        <v>#DIV/0!</v>
      </c>
      <c r="AA96" s="289"/>
      <c r="AB96" s="290" t="e">
        <f>AA96/F96</f>
        <v>#DIV/0!</v>
      </c>
      <c r="AC96" s="287"/>
      <c r="AD96" s="290" t="e">
        <f>AC96/F96</f>
        <v>#DIV/0!</v>
      </c>
      <c r="AE96" s="289"/>
      <c r="AF96" s="290" t="e">
        <f>AE96/F96</f>
        <v>#DIV/0!</v>
      </c>
      <c r="AG96" s="287"/>
      <c r="AH96" s="290" t="e">
        <f>AG96/F96</f>
        <v>#DIV/0!</v>
      </c>
      <c r="AI96" s="289"/>
      <c r="AJ96" s="290" t="e">
        <f>AI96/F96</f>
        <v>#DIV/0!</v>
      </c>
      <c r="AK96" s="289"/>
      <c r="AL96" s="290" t="e">
        <f t="shared" ref="AL96" si="417">AK96/F96</f>
        <v>#DIV/0!</v>
      </c>
      <c r="AM96" s="289"/>
      <c r="AN96" s="290" t="e">
        <f t="shared" ref="AN96" si="418">AM96/F96</f>
        <v>#DIV/0!</v>
      </c>
      <c r="AO96" s="289"/>
      <c r="AP96" s="290" t="e">
        <f t="shared" ref="AP96" si="419">AO96/F96</f>
        <v>#DIV/0!</v>
      </c>
      <c r="AQ96" s="323" t="e">
        <f t="shared" ref="AQ96" si="420">L96+N96+P96+R96+T96+V96+X96+Z96+AB96+AD96+H96+J96+AJ96+AF96+AH96+AN96+AP96+AL96</f>
        <v>#DIV/0!</v>
      </c>
      <c r="AR96" s="81">
        <f t="shared" si="297"/>
        <v>0</v>
      </c>
      <c r="AS96" s="81"/>
      <c r="AT96" s="84">
        <f t="shared" ref="AT96" si="421">F96-AR96</f>
        <v>0</v>
      </c>
      <c r="AU96" s="85"/>
      <c r="AV96" s="84">
        <f t="shared" ref="AV96" si="422">F96-AR96-AT96</f>
        <v>0</v>
      </c>
      <c r="AW96" s="81"/>
      <c r="AX96" s="84">
        <f t="shared" ref="AX96" si="423">F96-AR96-AT96-AV96</f>
        <v>0</v>
      </c>
      <c r="AY96" s="85"/>
      <c r="AZ96" s="84">
        <f t="shared" ref="AZ96" si="424">F96-AR96-AT96-AV96-AX96</f>
        <v>0</v>
      </c>
      <c r="BA96" s="81"/>
      <c r="BB96" s="84">
        <f t="shared" ref="BB96" si="425">F96-AR96-AT96-AV96-AX96-AZ96</f>
        <v>0</v>
      </c>
      <c r="BC96" s="85"/>
      <c r="BD96" s="84">
        <f t="shared" ref="BD96" si="426">F96-AR96-AT96-AV96-AX96-AZ96-BB96</f>
        <v>0</v>
      </c>
      <c r="BE96" s="85"/>
      <c r="BF96" s="84">
        <f t="shared" ref="BF96" si="427">F96-AR96-AT96-AV96-AX96-AZ96-BB96-BD96</f>
        <v>0</v>
      </c>
      <c r="BG96" s="85"/>
      <c r="BH96" s="84">
        <f t="shared" ref="BH96" si="428">F96-AR96-AT96-AV96-AX96-AZ96-BB96-BD96-BF96</f>
        <v>0</v>
      </c>
      <c r="BI96" s="85"/>
      <c r="BJ96" s="84">
        <f t="shared" ref="BJ96" si="429">F96-AR96-AT96-AV96-AX96-AZ96-BB96-BD96-BF96-BH96</f>
        <v>0</v>
      </c>
      <c r="BK96" s="85"/>
      <c r="BL96" s="84">
        <f t="shared" ref="BL96" si="430">F96-AR96-AT96-AV96-AX96-AZ96-BB96-BD96-BF96-BH96-BJ96</f>
        <v>0</v>
      </c>
      <c r="BM96" s="85"/>
      <c r="BN96" s="84">
        <f t="shared" ref="BN96" si="431">F96-AR96-AT96-AV96-AX96-AZ96-BB96-BD96-BF96-BH96-BJ96-BL96</f>
        <v>0</v>
      </c>
      <c r="BO96" s="81"/>
      <c r="BP96" s="214">
        <f t="shared" ref="BP96" si="432">F96-AR96-AT96-AV96-AX96-AZ96-BB96-BD96-BF96-BH96-BJ96-BL96-BN96</f>
        <v>0</v>
      </c>
    </row>
    <row r="97" spans="1:68" ht="13.9" x14ac:dyDescent="0.4">
      <c r="A97" s="427"/>
      <c r="B97" s="391" t="s">
        <v>840</v>
      </c>
      <c r="C97" s="180"/>
      <c r="D97" s="83">
        <v>3547.07</v>
      </c>
      <c r="E97" s="142"/>
      <c r="F97" s="304"/>
      <c r="G97" s="289"/>
      <c r="H97" s="363" t="e">
        <f t="shared" si="34"/>
        <v>#DIV/0!</v>
      </c>
      <c r="I97" s="287"/>
      <c r="J97" s="313" t="e">
        <f t="shared" si="386"/>
        <v>#DIV/0!</v>
      </c>
      <c r="K97" s="287"/>
      <c r="L97" s="288" t="e">
        <f t="shared" si="387"/>
        <v>#DIV/0!</v>
      </c>
      <c r="M97" s="289"/>
      <c r="N97" s="288" t="e">
        <f>M97/F97</f>
        <v>#DIV/0!</v>
      </c>
      <c r="O97" s="287"/>
      <c r="P97" s="290" t="e">
        <f>O97/F97</f>
        <v>#DIV/0!</v>
      </c>
      <c r="Q97" s="289"/>
      <c r="R97" s="290" t="e">
        <f>Q97/F97</f>
        <v>#DIV/0!</v>
      </c>
      <c r="S97" s="287"/>
      <c r="T97" s="290" t="e">
        <f>S97/F97</f>
        <v>#DIV/0!</v>
      </c>
      <c r="U97" s="287"/>
      <c r="V97" s="290" t="e">
        <f>U97/F97</f>
        <v>#DIV/0!</v>
      </c>
      <c r="W97" s="289"/>
      <c r="X97" s="290" t="e">
        <f>W97/F97</f>
        <v>#DIV/0!</v>
      </c>
      <c r="Y97" s="287"/>
      <c r="Z97" s="290" t="e">
        <f>Y97/F97</f>
        <v>#DIV/0!</v>
      </c>
      <c r="AA97" s="289"/>
      <c r="AB97" s="290" t="e">
        <f>AA97/F97</f>
        <v>#DIV/0!</v>
      </c>
      <c r="AC97" s="287"/>
      <c r="AD97" s="290" t="e">
        <f>AC97/F97</f>
        <v>#DIV/0!</v>
      </c>
      <c r="AE97" s="289"/>
      <c r="AF97" s="290" t="e">
        <f>AE97/F97</f>
        <v>#DIV/0!</v>
      </c>
      <c r="AG97" s="287"/>
      <c r="AH97" s="290" t="e">
        <f>AG97/F97</f>
        <v>#DIV/0!</v>
      </c>
      <c r="AI97" s="289"/>
      <c r="AJ97" s="290" t="e">
        <f>AI97/F97</f>
        <v>#DIV/0!</v>
      </c>
      <c r="AK97" s="289"/>
      <c r="AL97" s="290" t="e">
        <f t="shared" ref="AL97" si="433">AK97/F97</f>
        <v>#DIV/0!</v>
      </c>
      <c r="AM97" s="289"/>
      <c r="AN97" s="290" t="e">
        <f t="shared" ref="AN97" si="434">AM97/F97</f>
        <v>#DIV/0!</v>
      </c>
      <c r="AO97" s="289"/>
      <c r="AP97" s="290" t="e">
        <f t="shared" ref="AP97" si="435">AO97/F97</f>
        <v>#DIV/0!</v>
      </c>
      <c r="AQ97" s="323" t="e">
        <f t="shared" ref="AQ97" si="436">L97+N97+P97+R97+T97+V97+X97+Z97+AB97+AD97+H97+J97+AJ97+AF97+AH97+AN97+AP97+AL97</f>
        <v>#DIV/0!</v>
      </c>
      <c r="AR97" s="81">
        <f t="shared" si="297"/>
        <v>0</v>
      </c>
      <c r="AS97" s="81"/>
      <c r="AT97" s="84">
        <f t="shared" ref="AT97" si="437">F97-AR97</f>
        <v>0</v>
      </c>
      <c r="AU97" s="85"/>
      <c r="AV97" s="84">
        <f t="shared" ref="AV97" si="438">F97-AR97-AT97</f>
        <v>0</v>
      </c>
      <c r="AW97" s="81"/>
      <c r="AX97" s="84">
        <f t="shared" ref="AX97" si="439">F97-AR97-AT97-AV97</f>
        <v>0</v>
      </c>
      <c r="AY97" s="85"/>
      <c r="AZ97" s="84">
        <f t="shared" ref="AZ97" si="440">F97-AR97-AT97-AV97-AX97</f>
        <v>0</v>
      </c>
      <c r="BA97" s="81"/>
      <c r="BB97" s="84">
        <f t="shared" ref="BB97" si="441">F97-AR97-AT97-AV97-AX97-AZ97</f>
        <v>0</v>
      </c>
      <c r="BC97" s="85"/>
      <c r="BD97" s="84">
        <f t="shared" ref="BD97" si="442">F97-AR97-AT97-AV97-AX97-AZ97-BB97</f>
        <v>0</v>
      </c>
      <c r="BE97" s="85"/>
      <c r="BF97" s="84">
        <f t="shared" ref="BF97" si="443">F97-AR97-AT97-AV97-AX97-AZ97-BB97-BD97</f>
        <v>0</v>
      </c>
      <c r="BG97" s="85"/>
      <c r="BH97" s="84">
        <f t="shared" ref="BH97" si="444">F97-AR97-AT97-AV97-AX97-AZ97-BB97-BD97-BF97</f>
        <v>0</v>
      </c>
      <c r="BI97" s="85"/>
      <c r="BJ97" s="84">
        <f t="shared" ref="BJ97" si="445">F97-AR97-AT97-AV97-AX97-AZ97-BB97-BD97-BF97-BH97</f>
        <v>0</v>
      </c>
      <c r="BK97" s="85"/>
      <c r="BL97" s="84">
        <f t="shared" ref="BL97" si="446">F97-AR97-AT97-AV97-AX97-AZ97-BB97-BD97-BF97-BH97-BJ97</f>
        <v>0</v>
      </c>
      <c r="BM97" s="85"/>
      <c r="BN97" s="84">
        <f t="shared" ref="BN97" si="447">F97-AR97-AT97-AV97-AX97-AZ97-BB97-BD97-BF97-BH97-BJ97-BL97</f>
        <v>0</v>
      </c>
      <c r="BO97" s="81"/>
      <c r="BP97" s="214">
        <f t="shared" ref="BP97" si="448">F97-AR97-AT97-AV97-AX97-AZ97-BB97-BD97-BF97-BH97-BJ97-BL97-BN97</f>
        <v>0</v>
      </c>
    </row>
    <row r="98" spans="1:68" ht="13.9" x14ac:dyDescent="0.4">
      <c r="A98" s="427"/>
      <c r="B98" s="391" t="s">
        <v>839</v>
      </c>
      <c r="C98" s="180"/>
      <c r="D98" s="83">
        <v>2909.38</v>
      </c>
      <c r="E98" s="142"/>
      <c r="F98" s="304">
        <f>D98</f>
        <v>2909.38</v>
      </c>
      <c r="G98" s="289"/>
      <c r="H98" s="363">
        <f t="shared" si="34"/>
        <v>0</v>
      </c>
      <c r="I98" s="287"/>
      <c r="J98" s="313">
        <f t="shared" si="386"/>
        <v>0</v>
      </c>
      <c r="K98" s="287"/>
      <c r="L98" s="288">
        <f t="shared" si="387"/>
        <v>0</v>
      </c>
      <c r="M98" s="289"/>
      <c r="N98" s="288">
        <f>M98/F98</f>
        <v>0</v>
      </c>
      <c r="O98" s="287">
        <v>2909.38</v>
      </c>
      <c r="P98" s="290">
        <f>O98/F98</f>
        <v>1</v>
      </c>
      <c r="Q98" s="289"/>
      <c r="R98" s="290">
        <f>Q98/F98</f>
        <v>0</v>
      </c>
      <c r="S98" s="287"/>
      <c r="T98" s="290">
        <f>S98/F98</f>
        <v>0</v>
      </c>
      <c r="U98" s="287"/>
      <c r="V98" s="290">
        <f>U98/F98</f>
        <v>0</v>
      </c>
      <c r="W98" s="289"/>
      <c r="X98" s="290">
        <f>W98/F98</f>
        <v>0</v>
      </c>
      <c r="Y98" s="287"/>
      <c r="Z98" s="290">
        <f>Y98/F98</f>
        <v>0</v>
      </c>
      <c r="AA98" s="289"/>
      <c r="AB98" s="290">
        <f>AA98/F98</f>
        <v>0</v>
      </c>
      <c r="AC98" s="287"/>
      <c r="AD98" s="290">
        <f>AC98/F98</f>
        <v>0</v>
      </c>
      <c r="AE98" s="289"/>
      <c r="AF98" s="290">
        <f>AE98/F98</f>
        <v>0</v>
      </c>
      <c r="AG98" s="287"/>
      <c r="AH98" s="290">
        <f>AG98/F98</f>
        <v>0</v>
      </c>
      <c r="AI98" s="289"/>
      <c r="AJ98" s="290">
        <f>AI98/F98</f>
        <v>0</v>
      </c>
      <c r="AK98" s="289"/>
      <c r="AL98" s="290">
        <f t="shared" ref="AL98" si="449">AK98/F98</f>
        <v>0</v>
      </c>
      <c r="AM98" s="289"/>
      <c r="AN98" s="290">
        <f t="shared" ref="AN98" si="450">AM98/F98</f>
        <v>0</v>
      </c>
      <c r="AO98" s="289"/>
      <c r="AP98" s="290">
        <f t="shared" ref="AP98" si="451">AO98/F98</f>
        <v>0</v>
      </c>
      <c r="AQ98" s="323">
        <f t="shared" ref="AQ98" si="452">L98+N98+P98+R98+T98+V98+X98+Z98+AB98+AD98+H98+J98+AJ98+AF98+AH98+AN98+AP98+AL98</f>
        <v>1</v>
      </c>
      <c r="AR98" s="81">
        <v>0</v>
      </c>
      <c r="AS98" s="81"/>
      <c r="AT98" s="84">
        <v>0</v>
      </c>
      <c r="AU98" s="85"/>
      <c r="AV98" s="230">
        <f t="shared" ref="AV98" si="453">F98-AR98-AT98</f>
        <v>2909.38</v>
      </c>
      <c r="AW98" s="195">
        <f>AV98</f>
        <v>2909.38</v>
      </c>
      <c r="AX98" s="84">
        <f t="shared" ref="AX98" si="454">F98-AR98-AT98-AV98</f>
        <v>0</v>
      </c>
      <c r="AY98" s="85"/>
      <c r="AZ98" s="84">
        <f t="shared" ref="AZ98" si="455">F98-AR98-AT98-AV98-AX98</f>
        <v>0</v>
      </c>
      <c r="BA98" s="81"/>
      <c r="BB98" s="84">
        <f t="shared" ref="BB98" si="456">F98-AR98-AT98-AV98-AX98-AZ98</f>
        <v>0</v>
      </c>
      <c r="BC98" s="85"/>
      <c r="BD98" s="84">
        <f t="shared" ref="BD98" si="457">F98-AR98-AT98-AV98-AX98-AZ98-BB98</f>
        <v>0</v>
      </c>
      <c r="BE98" s="85"/>
      <c r="BF98" s="84">
        <f t="shared" ref="BF98" si="458">F98-AR98-AT98-AV98-AX98-AZ98-BB98-BD98</f>
        <v>0</v>
      </c>
      <c r="BG98" s="85"/>
      <c r="BH98" s="84">
        <f t="shared" ref="BH98" si="459">F98-AR98-AT98-AV98-AX98-AZ98-BB98-BD98-BF98</f>
        <v>0</v>
      </c>
      <c r="BI98" s="85"/>
      <c r="BJ98" s="84">
        <f t="shared" ref="BJ98" si="460">F98-AR98-AT98-AV98-AX98-AZ98-BB98-BD98-BF98-BH98</f>
        <v>0</v>
      </c>
      <c r="BK98" s="85"/>
      <c r="BL98" s="84">
        <f t="shared" ref="BL98" si="461">F98-AR98-AT98-AV98-AX98-AZ98-BB98-BD98-BF98-BH98-BJ98</f>
        <v>0</v>
      </c>
      <c r="BM98" s="85"/>
      <c r="BN98" s="84">
        <f t="shared" ref="BN98" si="462">F98-AR98-AT98-AV98-AX98-AZ98-BB98-BD98-BF98-BH98-BJ98-BL98</f>
        <v>0</v>
      </c>
      <c r="BO98" s="81"/>
      <c r="BP98" s="214">
        <f t="shared" ref="BP98" si="463">F98-AR98-AT98-AV98-AX98-AZ98-BB98-BD98-BF98-BH98-BJ98-BL98-BN98</f>
        <v>0</v>
      </c>
    </row>
    <row r="99" spans="1:68" ht="13.9" x14ac:dyDescent="0.4">
      <c r="A99" s="427"/>
      <c r="B99" s="393" t="s">
        <v>827</v>
      </c>
      <c r="C99" s="180"/>
      <c r="D99" s="83">
        <f>'2024-25'!BI101</f>
        <v>17059.839999999997</v>
      </c>
      <c r="E99" s="107"/>
      <c r="F99" s="304">
        <f>D99</f>
        <v>17059.839999999997</v>
      </c>
      <c r="G99" s="289">
        <v>72</v>
      </c>
      <c r="H99" s="363">
        <f t="shared" si="34"/>
        <v>4.2204381752701092E-3</v>
      </c>
      <c r="I99" s="287"/>
      <c r="J99" s="313">
        <f t="shared" si="386"/>
        <v>0</v>
      </c>
      <c r="K99" s="287"/>
      <c r="L99" s="288">
        <f t="shared" si="387"/>
        <v>0</v>
      </c>
      <c r="M99" s="289">
        <v>630</v>
      </c>
      <c r="N99" s="288">
        <f t="shared" ref="N99:N105" si="464">M99/F99</f>
        <v>3.6928834033613453E-2</v>
      </c>
      <c r="O99" s="287"/>
      <c r="P99" s="290">
        <f t="shared" ref="P99:P105" si="465">O99/F99</f>
        <v>0</v>
      </c>
      <c r="Q99" s="289"/>
      <c r="R99" s="290">
        <f t="shared" ref="R99:R105" si="466">Q99/F99</f>
        <v>0</v>
      </c>
      <c r="S99" s="287">
        <v>3772</v>
      </c>
      <c r="T99" s="290">
        <f t="shared" ref="T99:T105" si="467">S99/F99</f>
        <v>0.22110406662665072</v>
      </c>
      <c r="U99" s="287"/>
      <c r="V99" s="290">
        <f t="shared" ref="V99:V105" si="468">U99/F99</f>
        <v>0</v>
      </c>
      <c r="W99" s="289"/>
      <c r="X99" s="290">
        <f t="shared" ref="X99:X105" si="469">W99/F99</f>
        <v>0</v>
      </c>
      <c r="Y99" s="287"/>
      <c r="Z99" s="290">
        <f t="shared" ref="Z99:Z105" si="470">Y99/F99</f>
        <v>0</v>
      </c>
      <c r="AA99" s="289"/>
      <c r="AB99" s="290">
        <f t="shared" ref="AB99:AB105" si="471">AA99/F99</f>
        <v>0</v>
      </c>
      <c r="AC99" s="287">
        <f>1491+337.7</f>
        <v>1828.7</v>
      </c>
      <c r="AD99" s="290">
        <f t="shared" ref="AD99:AD105" si="472">AC99/F99</f>
        <v>0.10719326793217289</v>
      </c>
      <c r="AE99" s="289">
        <v>1266</v>
      </c>
      <c r="AF99" s="290">
        <f t="shared" ref="AF99:AF105" si="473">AE99/F99</f>
        <v>7.4209371248499412E-2</v>
      </c>
      <c r="AG99" s="287">
        <v>118</v>
      </c>
      <c r="AH99" s="290">
        <f t="shared" ref="AH99:AH105" si="474">AG99/F99</f>
        <v>6.9168292316926783E-3</v>
      </c>
      <c r="AI99" s="289"/>
      <c r="AJ99" s="290">
        <f t="shared" ref="AJ99:AJ105" si="475">AI99/F99</f>
        <v>0</v>
      </c>
      <c r="AK99" s="289">
        <v>6864.5</v>
      </c>
      <c r="AL99" s="290">
        <f t="shared" si="111"/>
        <v>0.40237774797418974</v>
      </c>
      <c r="AM99" s="289"/>
      <c r="AN99" s="290">
        <f t="shared" si="266"/>
        <v>0</v>
      </c>
      <c r="AO99" s="289">
        <v>2509</v>
      </c>
      <c r="AP99" s="290">
        <f t="shared" si="267"/>
        <v>0.14707054696878755</v>
      </c>
      <c r="AQ99" s="323">
        <f t="shared" si="112"/>
        <v>1.0000211021908765</v>
      </c>
      <c r="AR99" s="195">
        <f>AS99</f>
        <v>7062.83</v>
      </c>
      <c r="AS99" s="195">
        <v>7062.83</v>
      </c>
      <c r="AT99" s="230">
        <f t="shared" si="298"/>
        <v>9997.0099999999966</v>
      </c>
      <c r="AU99" s="65">
        <v>9997</v>
      </c>
      <c r="AV99" s="84">
        <f t="shared" si="280"/>
        <v>0</v>
      </c>
      <c r="AW99" s="81"/>
      <c r="AX99" s="84">
        <f t="shared" si="281"/>
        <v>0</v>
      </c>
      <c r="AY99" s="85"/>
      <c r="AZ99" s="84">
        <f t="shared" si="269"/>
        <v>0</v>
      </c>
      <c r="BA99" s="81"/>
      <c r="BB99" s="84">
        <f t="shared" si="270"/>
        <v>0</v>
      </c>
      <c r="BC99" s="85"/>
      <c r="BD99" s="84">
        <f t="shared" si="271"/>
        <v>0</v>
      </c>
      <c r="BE99" s="85"/>
      <c r="BF99" s="84">
        <f t="shared" si="272"/>
        <v>0</v>
      </c>
      <c r="BG99" s="85"/>
      <c r="BH99" s="84">
        <f t="shared" si="273"/>
        <v>0</v>
      </c>
      <c r="BI99" s="85"/>
      <c r="BJ99" s="84">
        <f t="shared" si="274"/>
        <v>0</v>
      </c>
      <c r="BK99" s="85"/>
      <c r="BL99" s="84">
        <f t="shared" si="275"/>
        <v>0</v>
      </c>
      <c r="BM99" s="85"/>
      <c r="BN99" s="84">
        <f t="shared" si="276"/>
        <v>0</v>
      </c>
      <c r="BO99" s="81"/>
      <c r="BP99" s="214">
        <f t="shared" si="277"/>
        <v>0</v>
      </c>
    </row>
    <row r="100" spans="1:68" ht="13.9" x14ac:dyDescent="0.4">
      <c r="A100" s="427"/>
      <c r="B100" s="391" t="s">
        <v>831</v>
      </c>
      <c r="C100" s="180"/>
      <c r="D100" s="83">
        <v>17002</v>
      </c>
      <c r="E100" s="142"/>
      <c r="F100" s="304"/>
      <c r="G100" s="289"/>
      <c r="H100" s="363" t="e">
        <f t="shared" ref="H100" si="476">G100/F100</f>
        <v>#DIV/0!</v>
      </c>
      <c r="I100" s="287"/>
      <c r="J100" s="313" t="e">
        <f t="shared" ref="J100" si="477">I100/F100</f>
        <v>#DIV/0!</v>
      </c>
      <c r="K100" s="287"/>
      <c r="L100" s="288" t="e">
        <f t="shared" ref="L100" si="478">K100/F100</f>
        <v>#DIV/0!</v>
      </c>
      <c r="M100" s="289"/>
      <c r="N100" s="288" t="e">
        <f>M100/F100</f>
        <v>#DIV/0!</v>
      </c>
      <c r="O100" s="287"/>
      <c r="P100" s="290" t="e">
        <f>O100/F100</f>
        <v>#DIV/0!</v>
      </c>
      <c r="Q100" s="289"/>
      <c r="R100" s="290" t="e">
        <f>Q100/F100</f>
        <v>#DIV/0!</v>
      </c>
      <c r="S100" s="287"/>
      <c r="T100" s="290" t="e">
        <f>S100/F100</f>
        <v>#DIV/0!</v>
      </c>
      <c r="U100" s="287"/>
      <c r="V100" s="290" t="e">
        <f>U100/F100</f>
        <v>#DIV/0!</v>
      </c>
      <c r="W100" s="289"/>
      <c r="X100" s="290" t="e">
        <f>W100/F100</f>
        <v>#DIV/0!</v>
      </c>
      <c r="Y100" s="287"/>
      <c r="Z100" s="290" t="e">
        <f>Y100/F100</f>
        <v>#DIV/0!</v>
      </c>
      <c r="AA100" s="289"/>
      <c r="AB100" s="290" t="e">
        <f>AA100/F100</f>
        <v>#DIV/0!</v>
      </c>
      <c r="AC100" s="287"/>
      <c r="AD100" s="290" t="e">
        <f>AC100/F100</f>
        <v>#DIV/0!</v>
      </c>
      <c r="AE100" s="289"/>
      <c r="AF100" s="290" t="e">
        <f>AE100/F100</f>
        <v>#DIV/0!</v>
      </c>
      <c r="AG100" s="287"/>
      <c r="AH100" s="290" t="e">
        <f>AG100/F100</f>
        <v>#DIV/0!</v>
      </c>
      <c r="AI100" s="289"/>
      <c r="AJ100" s="290" t="e">
        <f>AI100/F100</f>
        <v>#DIV/0!</v>
      </c>
      <c r="AK100" s="289"/>
      <c r="AL100" s="290" t="e">
        <f t="shared" ref="AL100" si="479">AK100/F100</f>
        <v>#DIV/0!</v>
      </c>
      <c r="AM100" s="289"/>
      <c r="AN100" s="290" t="e">
        <f t="shared" ref="AN100" si="480">AM100/F100</f>
        <v>#DIV/0!</v>
      </c>
      <c r="AO100" s="289"/>
      <c r="AP100" s="290" t="e">
        <f t="shared" ref="AP100" si="481">AO100/F100</f>
        <v>#DIV/0!</v>
      </c>
      <c r="AQ100" s="323" t="e">
        <f t="shared" ref="AQ100" si="482">L100+N100+P100+R100+T100+V100+X100+Z100+AB100+AD100+H100+J100+AJ100+AF100+AH100+AN100+AP100+AL100</f>
        <v>#DIV/0!</v>
      </c>
      <c r="AR100" s="81">
        <f t="shared" ref="AR100" si="483">+F100</f>
        <v>0</v>
      </c>
      <c r="AS100" s="81"/>
      <c r="AT100" s="84">
        <f t="shared" ref="AT100" si="484">F100-AR100</f>
        <v>0</v>
      </c>
      <c r="AU100" s="85"/>
      <c r="AV100" s="84">
        <f t="shared" ref="AV100" si="485">F100-AR100-AT100</f>
        <v>0</v>
      </c>
      <c r="AW100" s="81"/>
      <c r="AX100" s="84">
        <f t="shared" ref="AX100" si="486">F100-AR100-AT100-AV100</f>
        <v>0</v>
      </c>
      <c r="AY100" s="85"/>
      <c r="AZ100" s="84">
        <f t="shared" ref="AZ100" si="487">F100-AR100-AT100-AV100-AX100</f>
        <v>0</v>
      </c>
      <c r="BA100" s="81"/>
      <c r="BB100" s="84">
        <f t="shared" ref="BB100" si="488">F100-AR100-AT100-AV100-AX100-AZ100</f>
        <v>0</v>
      </c>
      <c r="BC100" s="85"/>
      <c r="BD100" s="84">
        <f t="shared" ref="BD100" si="489">F100-AR100-AT100-AV100-AX100-AZ100-BB100</f>
        <v>0</v>
      </c>
      <c r="BE100" s="85"/>
      <c r="BF100" s="84">
        <f t="shared" ref="BF100" si="490">F100-AR100-AT100-AV100-AX100-AZ100-BB100-BD100</f>
        <v>0</v>
      </c>
      <c r="BG100" s="85"/>
      <c r="BH100" s="84">
        <f t="shared" ref="BH100" si="491">F100-AR100-AT100-AV100-AX100-AZ100-BB100-BD100-BF100</f>
        <v>0</v>
      </c>
      <c r="BI100" s="85"/>
      <c r="BJ100" s="84">
        <f t="shared" ref="BJ100" si="492">F100-AR100-AT100-AV100-AX100-AZ100-BB100-BD100-BF100-BH100</f>
        <v>0</v>
      </c>
      <c r="BK100" s="85"/>
      <c r="BL100" s="84">
        <f t="shared" ref="BL100" si="493">F100-AR100-AT100-AV100-AX100-AZ100-BB100-BD100-BF100-BH100-BJ100</f>
        <v>0</v>
      </c>
      <c r="BM100" s="85"/>
      <c r="BN100" s="84">
        <f t="shared" ref="BN100" si="494">F100-AR100-AT100-AV100-AX100-AZ100-BB100-BD100-BF100-BH100-BJ100-BL100</f>
        <v>0</v>
      </c>
      <c r="BO100" s="81"/>
      <c r="BP100" s="214">
        <f t="shared" ref="BP100" si="495">F100-AR100-AT100-AV100-AX100-AZ100-BB100-BD100-BF100-BH100-BJ100-BL100-BN100</f>
        <v>0</v>
      </c>
    </row>
    <row r="101" spans="1:68" ht="13.9" x14ac:dyDescent="0.4">
      <c r="A101" s="427"/>
      <c r="B101" s="391" t="s">
        <v>712</v>
      </c>
      <c r="C101" s="180"/>
      <c r="D101" s="83">
        <v>3777</v>
      </c>
      <c r="E101" s="142"/>
      <c r="F101" s="304"/>
      <c r="G101" s="289"/>
      <c r="H101" s="363" t="e">
        <f>G101/F101</f>
        <v>#DIV/0!</v>
      </c>
      <c r="I101" s="287"/>
      <c r="J101" s="313" t="e">
        <f>I101/F101</f>
        <v>#DIV/0!</v>
      </c>
      <c r="K101" s="287"/>
      <c r="L101" s="288" t="e">
        <f>K101/F101</f>
        <v>#DIV/0!</v>
      </c>
      <c r="M101" s="289"/>
      <c r="N101" s="288" t="e">
        <f t="shared" si="464"/>
        <v>#DIV/0!</v>
      </c>
      <c r="O101" s="287"/>
      <c r="P101" s="290" t="e">
        <f t="shared" si="465"/>
        <v>#DIV/0!</v>
      </c>
      <c r="Q101" s="289"/>
      <c r="R101" s="290" t="e">
        <f t="shared" si="466"/>
        <v>#DIV/0!</v>
      </c>
      <c r="S101" s="287"/>
      <c r="T101" s="290" t="e">
        <f t="shared" si="467"/>
        <v>#DIV/0!</v>
      </c>
      <c r="U101" s="287"/>
      <c r="V101" s="290" t="e">
        <f t="shared" si="468"/>
        <v>#DIV/0!</v>
      </c>
      <c r="W101" s="289"/>
      <c r="X101" s="290" t="e">
        <f t="shared" si="469"/>
        <v>#DIV/0!</v>
      </c>
      <c r="Y101" s="287"/>
      <c r="Z101" s="290" t="e">
        <f t="shared" si="470"/>
        <v>#DIV/0!</v>
      </c>
      <c r="AA101" s="289"/>
      <c r="AB101" s="290" t="e">
        <f t="shared" si="471"/>
        <v>#DIV/0!</v>
      </c>
      <c r="AC101" s="287"/>
      <c r="AD101" s="290" t="e">
        <f t="shared" si="472"/>
        <v>#DIV/0!</v>
      </c>
      <c r="AE101" s="289"/>
      <c r="AF101" s="290" t="e">
        <f t="shared" si="473"/>
        <v>#DIV/0!</v>
      </c>
      <c r="AG101" s="287"/>
      <c r="AH101" s="290" t="e">
        <f t="shared" si="474"/>
        <v>#DIV/0!</v>
      </c>
      <c r="AI101" s="289"/>
      <c r="AJ101" s="290" t="e">
        <f t="shared" si="475"/>
        <v>#DIV/0!</v>
      </c>
      <c r="AK101" s="289"/>
      <c r="AL101" s="290" t="e">
        <f t="shared" si="111"/>
        <v>#DIV/0!</v>
      </c>
      <c r="AM101" s="289"/>
      <c r="AN101" s="290" t="e">
        <f t="shared" si="266"/>
        <v>#DIV/0!</v>
      </c>
      <c r="AO101" s="289"/>
      <c r="AP101" s="290" t="e">
        <f t="shared" si="267"/>
        <v>#DIV/0!</v>
      </c>
      <c r="AQ101" s="323" t="e">
        <f t="shared" si="112"/>
        <v>#DIV/0!</v>
      </c>
      <c r="AR101" s="81">
        <f t="shared" ref="AR101:AR132" si="496">+F101</f>
        <v>0</v>
      </c>
      <c r="AS101" s="81"/>
      <c r="AT101" s="84">
        <f t="shared" si="298"/>
        <v>0</v>
      </c>
      <c r="AU101" s="85"/>
      <c r="AV101" s="84">
        <f t="shared" si="280"/>
        <v>0</v>
      </c>
      <c r="AW101" s="81"/>
      <c r="AX101" s="84">
        <f t="shared" si="281"/>
        <v>0</v>
      </c>
      <c r="AY101" s="85"/>
      <c r="AZ101" s="84">
        <f t="shared" si="269"/>
        <v>0</v>
      </c>
      <c r="BA101" s="81"/>
      <c r="BB101" s="84">
        <f t="shared" si="270"/>
        <v>0</v>
      </c>
      <c r="BC101" s="85"/>
      <c r="BD101" s="84">
        <f t="shared" si="271"/>
        <v>0</v>
      </c>
      <c r="BE101" s="85"/>
      <c r="BF101" s="84">
        <f t="shared" si="272"/>
        <v>0</v>
      </c>
      <c r="BG101" s="85"/>
      <c r="BH101" s="84">
        <f t="shared" si="273"/>
        <v>0</v>
      </c>
      <c r="BI101" s="85"/>
      <c r="BJ101" s="84">
        <f t="shared" si="274"/>
        <v>0</v>
      </c>
      <c r="BK101" s="85"/>
      <c r="BL101" s="84">
        <f t="shared" si="275"/>
        <v>0</v>
      </c>
      <c r="BM101" s="85"/>
      <c r="BN101" s="84">
        <f t="shared" si="276"/>
        <v>0</v>
      </c>
      <c r="BO101" s="81"/>
      <c r="BP101" s="214">
        <f t="shared" si="277"/>
        <v>0</v>
      </c>
    </row>
    <row r="102" spans="1:68" ht="13.9" x14ac:dyDescent="0.4">
      <c r="A102" s="427"/>
      <c r="B102" s="393" t="s">
        <v>833</v>
      </c>
      <c r="C102" s="180"/>
      <c r="D102" s="83">
        <v>11225.97</v>
      </c>
      <c r="E102" s="142"/>
      <c r="F102" s="304"/>
      <c r="G102" s="289"/>
      <c r="H102" s="363" t="e">
        <f t="shared" ref="H102" si="497">G102/F102</f>
        <v>#DIV/0!</v>
      </c>
      <c r="I102" s="287"/>
      <c r="J102" s="313" t="e">
        <f t="shared" ref="J102" si="498">I102/F102</f>
        <v>#DIV/0!</v>
      </c>
      <c r="K102" s="287"/>
      <c r="L102" s="288" t="e">
        <f t="shared" ref="L102" si="499">K102/F102</f>
        <v>#DIV/0!</v>
      </c>
      <c r="M102" s="289"/>
      <c r="N102" s="288" t="e">
        <f>M102/F102</f>
        <v>#DIV/0!</v>
      </c>
      <c r="O102" s="287"/>
      <c r="P102" s="290" t="e">
        <f>O102/F102</f>
        <v>#DIV/0!</v>
      </c>
      <c r="Q102" s="289"/>
      <c r="R102" s="290" t="e">
        <f>Q102/F102</f>
        <v>#DIV/0!</v>
      </c>
      <c r="S102" s="287"/>
      <c r="T102" s="290" t="e">
        <f>S102/F102</f>
        <v>#DIV/0!</v>
      </c>
      <c r="U102" s="287"/>
      <c r="V102" s="290" t="e">
        <f>U102/F102</f>
        <v>#DIV/0!</v>
      </c>
      <c r="W102" s="289"/>
      <c r="X102" s="290" t="e">
        <f>W102/F102</f>
        <v>#DIV/0!</v>
      </c>
      <c r="Y102" s="287"/>
      <c r="Z102" s="290" t="e">
        <f>Y102/F102</f>
        <v>#DIV/0!</v>
      </c>
      <c r="AA102" s="289"/>
      <c r="AB102" s="290" t="e">
        <f>AA102/F102</f>
        <v>#DIV/0!</v>
      </c>
      <c r="AC102" s="287"/>
      <c r="AD102" s="290" t="e">
        <f>AC102/F102</f>
        <v>#DIV/0!</v>
      </c>
      <c r="AE102" s="289"/>
      <c r="AF102" s="290" t="e">
        <f>AE102/F102</f>
        <v>#DIV/0!</v>
      </c>
      <c r="AG102" s="287"/>
      <c r="AH102" s="290" t="e">
        <f>AG102/F102</f>
        <v>#DIV/0!</v>
      </c>
      <c r="AI102" s="289"/>
      <c r="AJ102" s="290" t="e">
        <f>AI102/F102</f>
        <v>#DIV/0!</v>
      </c>
      <c r="AK102" s="289"/>
      <c r="AL102" s="290" t="e">
        <f t="shared" ref="AL102" si="500">AK102/F102</f>
        <v>#DIV/0!</v>
      </c>
      <c r="AM102" s="289"/>
      <c r="AN102" s="290" t="e">
        <f t="shared" ref="AN102" si="501">AM102/F102</f>
        <v>#DIV/0!</v>
      </c>
      <c r="AO102" s="289"/>
      <c r="AP102" s="290" t="e">
        <f t="shared" ref="AP102" si="502">AO102/F102</f>
        <v>#DIV/0!</v>
      </c>
      <c r="AQ102" s="323" t="e">
        <f t="shared" ref="AQ102" si="503">L102+N102+P102+R102+T102+V102+X102+Z102+AB102+AD102+H102+J102+AJ102+AF102+AH102+AN102+AP102+AL102</f>
        <v>#DIV/0!</v>
      </c>
      <c r="AR102" s="81">
        <f t="shared" ref="AR102" si="504">+F102</f>
        <v>0</v>
      </c>
      <c r="AS102" s="81"/>
      <c r="AT102" s="84">
        <f t="shared" ref="AT102" si="505">F102-AR102</f>
        <v>0</v>
      </c>
      <c r="AU102" s="85"/>
      <c r="AV102" s="84">
        <f t="shared" ref="AV102" si="506">F102-AR102-AT102</f>
        <v>0</v>
      </c>
      <c r="AW102" s="81"/>
      <c r="AX102" s="84">
        <f t="shared" ref="AX102" si="507">F102-AR102-AT102-AV102</f>
        <v>0</v>
      </c>
      <c r="AY102" s="85"/>
      <c r="AZ102" s="84">
        <f t="shared" ref="AZ102" si="508">F102-AR102-AT102-AV102-AX102</f>
        <v>0</v>
      </c>
      <c r="BA102" s="81"/>
      <c r="BB102" s="84">
        <f t="shared" ref="BB102" si="509">F102-AR102-AT102-AV102-AX102-AZ102</f>
        <v>0</v>
      </c>
      <c r="BC102" s="85"/>
      <c r="BD102" s="84">
        <f t="shared" ref="BD102" si="510">F102-AR102-AT102-AV102-AX102-AZ102-BB102</f>
        <v>0</v>
      </c>
      <c r="BE102" s="85"/>
      <c r="BF102" s="84">
        <f t="shared" ref="BF102" si="511">F102-AR102-AT102-AV102-AX102-AZ102-BB102-BD102</f>
        <v>0</v>
      </c>
      <c r="BG102" s="85"/>
      <c r="BH102" s="84">
        <f t="shared" ref="BH102" si="512">F102-AR102-AT102-AV102-AX102-AZ102-BB102-BD102-BF102</f>
        <v>0</v>
      </c>
      <c r="BI102" s="85"/>
      <c r="BJ102" s="84">
        <f t="shared" ref="BJ102" si="513">F102-AR102-AT102-AV102-AX102-AZ102-BB102-BD102-BF102-BH102</f>
        <v>0</v>
      </c>
      <c r="BK102" s="85"/>
      <c r="BL102" s="84">
        <f t="shared" ref="BL102" si="514">F102-AR102-AT102-AV102-AX102-AZ102-BB102-BD102-BF102-BH102-BJ102</f>
        <v>0</v>
      </c>
      <c r="BM102" s="85"/>
      <c r="BN102" s="84">
        <f t="shared" ref="BN102" si="515">F102-AR102-AT102-AV102-AX102-AZ102-BB102-BD102-BF102-BH102-BJ102-BL102</f>
        <v>0</v>
      </c>
      <c r="BO102" s="81"/>
      <c r="BP102" s="214">
        <f t="shared" ref="BP102" si="516">F102-AR102-AT102-AV102-AX102-AZ102-BB102-BD102-BF102-BH102-BJ102-BL102-BN102</f>
        <v>0</v>
      </c>
    </row>
    <row r="103" spans="1:68" ht="13.9" x14ac:dyDescent="0.4">
      <c r="A103" s="427"/>
      <c r="B103" s="391" t="s">
        <v>865</v>
      </c>
      <c r="C103" s="180"/>
      <c r="D103" s="83">
        <v>340</v>
      </c>
      <c r="E103" s="142"/>
      <c r="F103" s="304">
        <f>D103</f>
        <v>340</v>
      </c>
      <c r="G103" s="289"/>
      <c r="H103" s="363">
        <f t="shared" ref="H103" si="517">G103/F103</f>
        <v>0</v>
      </c>
      <c r="I103" s="287"/>
      <c r="J103" s="313">
        <f t="shared" ref="J103" si="518">I103/F103</f>
        <v>0</v>
      </c>
      <c r="K103" s="287"/>
      <c r="L103" s="288">
        <f t="shared" ref="L103" si="519">K103/F103</f>
        <v>0</v>
      </c>
      <c r="M103" s="289"/>
      <c r="N103" s="288">
        <f>M103/F103</f>
        <v>0</v>
      </c>
      <c r="O103" s="287">
        <v>340</v>
      </c>
      <c r="P103" s="290">
        <f>O103/F103</f>
        <v>1</v>
      </c>
      <c r="Q103" s="289"/>
      <c r="R103" s="290">
        <f>Q103/F103</f>
        <v>0</v>
      </c>
      <c r="S103" s="287"/>
      <c r="T103" s="290">
        <f>S103/F103</f>
        <v>0</v>
      </c>
      <c r="U103" s="287"/>
      <c r="V103" s="290">
        <f>U103/F103</f>
        <v>0</v>
      </c>
      <c r="W103" s="289"/>
      <c r="X103" s="290">
        <f>W103/F103</f>
        <v>0</v>
      </c>
      <c r="Y103" s="287"/>
      <c r="Z103" s="290">
        <f>Y103/F103</f>
        <v>0</v>
      </c>
      <c r="AA103" s="289"/>
      <c r="AB103" s="290">
        <f>AA103/F103</f>
        <v>0</v>
      </c>
      <c r="AC103" s="287"/>
      <c r="AD103" s="290">
        <f>AC103/F103</f>
        <v>0</v>
      </c>
      <c r="AE103" s="289"/>
      <c r="AF103" s="290">
        <f>AE103/F103</f>
        <v>0</v>
      </c>
      <c r="AG103" s="287"/>
      <c r="AH103" s="290">
        <f>AG103/F103</f>
        <v>0</v>
      </c>
      <c r="AI103" s="289"/>
      <c r="AJ103" s="290">
        <f>AI103/F103</f>
        <v>0</v>
      </c>
      <c r="AK103" s="289"/>
      <c r="AL103" s="290">
        <f t="shared" ref="AL103" si="520">AK103/F103</f>
        <v>0</v>
      </c>
      <c r="AM103" s="289"/>
      <c r="AN103" s="290">
        <f t="shared" ref="AN103" si="521">AM103/F103</f>
        <v>0</v>
      </c>
      <c r="AO103" s="289"/>
      <c r="AP103" s="290">
        <f t="shared" ref="AP103" si="522">AO103/F103</f>
        <v>0</v>
      </c>
      <c r="AQ103" s="323">
        <f t="shared" ref="AQ103" si="523">L103+N103+P103+R103+T103+V103+X103+Z103+AB103+AD103+H103+J103+AJ103+AF103+AH103+AN103+AP103+AL103</f>
        <v>1</v>
      </c>
      <c r="AR103" s="81">
        <v>0</v>
      </c>
      <c r="AS103" s="81"/>
      <c r="AT103" s="84">
        <v>0</v>
      </c>
      <c r="AU103" s="85"/>
      <c r="AV103" s="84">
        <v>0</v>
      </c>
      <c r="AW103" s="81"/>
      <c r="AX103" s="230">
        <f t="shared" ref="AX103" si="524">F103-AR103-AT103-AV103</f>
        <v>340</v>
      </c>
      <c r="AY103" s="231">
        <f>AX103</f>
        <v>340</v>
      </c>
      <c r="AZ103" s="84">
        <f t="shared" ref="AZ103" si="525">F103-AR103-AT103-AV103-AX103</f>
        <v>0</v>
      </c>
      <c r="BA103" s="81"/>
      <c r="BB103" s="84">
        <f t="shared" ref="BB103" si="526">F103-AR103-AT103-AV103-AX103-AZ103</f>
        <v>0</v>
      </c>
      <c r="BC103" s="85"/>
      <c r="BD103" s="84">
        <f t="shared" ref="BD103" si="527">F103-AR103-AT103-AV103-AX103-AZ103-BB103</f>
        <v>0</v>
      </c>
      <c r="BE103" s="85"/>
      <c r="BF103" s="84">
        <f t="shared" ref="BF103" si="528">F103-AR103-AT103-AV103-AX103-AZ103-BB103-BD103</f>
        <v>0</v>
      </c>
      <c r="BG103" s="85"/>
      <c r="BH103" s="84">
        <f t="shared" ref="BH103" si="529">F103-AR103-AT103-AV103-AX103-AZ103-BB103-BD103-BF103</f>
        <v>0</v>
      </c>
      <c r="BI103" s="85"/>
      <c r="BJ103" s="84">
        <f t="shared" ref="BJ103" si="530">F103-AR103-AT103-AV103-AX103-AZ103-BB103-BD103-BF103-BH103</f>
        <v>0</v>
      </c>
      <c r="BK103" s="85"/>
      <c r="BL103" s="84">
        <f t="shared" ref="BL103" si="531">F103-AR103-AT103-AV103-AX103-AZ103-BB103-BD103-BF103-BH103-BJ103</f>
        <v>0</v>
      </c>
      <c r="BM103" s="85"/>
      <c r="BN103" s="84">
        <f t="shared" ref="BN103" si="532">F103-AR103-AT103-AV103-AX103-AZ103-BB103-BD103-BF103-BH103-BJ103-BL103</f>
        <v>0</v>
      </c>
      <c r="BO103" s="81"/>
      <c r="BP103" s="214">
        <f t="shared" ref="BP103" si="533">F103-AR103-AT103-AV103-AX103-AZ103-BB103-BD103-BF103-BH103-BJ103-BL103-BN103</f>
        <v>0</v>
      </c>
    </row>
    <row r="104" spans="1:68" ht="13.9" x14ac:dyDescent="0.4">
      <c r="A104" s="427"/>
      <c r="B104" s="393" t="s">
        <v>843</v>
      </c>
      <c r="C104" s="180"/>
      <c r="D104" s="83">
        <v>3185.52</v>
      </c>
      <c r="E104" s="142"/>
      <c r="F104" s="304">
        <f t="shared" ref="F104:F112" si="534">D104</f>
        <v>3185.52</v>
      </c>
      <c r="G104" s="289"/>
      <c r="H104" s="363">
        <f t="shared" ref="H104" si="535">G104/F104</f>
        <v>0</v>
      </c>
      <c r="I104" s="287"/>
      <c r="J104" s="313">
        <f t="shared" ref="J104" si="536">I104/F104</f>
        <v>0</v>
      </c>
      <c r="K104" s="287"/>
      <c r="L104" s="288">
        <f t="shared" ref="L104" si="537">K104/F104</f>
        <v>0</v>
      </c>
      <c r="M104" s="289"/>
      <c r="N104" s="288">
        <f>M104/F104</f>
        <v>0</v>
      </c>
      <c r="O104" s="287"/>
      <c r="P104" s="290">
        <f>O104/F104</f>
        <v>0</v>
      </c>
      <c r="Q104" s="289"/>
      <c r="R104" s="290">
        <f>Q104/F104</f>
        <v>0</v>
      </c>
      <c r="S104" s="287"/>
      <c r="T104" s="290">
        <f>S104/F104</f>
        <v>0</v>
      </c>
      <c r="U104" s="287"/>
      <c r="V104" s="290">
        <f>U104/F104</f>
        <v>0</v>
      </c>
      <c r="W104" s="289"/>
      <c r="X104" s="290">
        <f>W104/F104</f>
        <v>0</v>
      </c>
      <c r="Y104" s="287"/>
      <c r="Z104" s="290">
        <f>Y104/F104</f>
        <v>0</v>
      </c>
      <c r="AA104" s="289"/>
      <c r="AB104" s="290">
        <f>AA104/F104</f>
        <v>0</v>
      </c>
      <c r="AC104" s="287">
        <v>3185.52</v>
      </c>
      <c r="AD104" s="290">
        <f>AC104/F104</f>
        <v>1</v>
      </c>
      <c r="AE104" s="289"/>
      <c r="AF104" s="290">
        <f>AE104/F104</f>
        <v>0</v>
      </c>
      <c r="AG104" s="287"/>
      <c r="AH104" s="290">
        <f>AG104/F104</f>
        <v>0</v>
      </c>
      <c r="AI104" s="289"/>
      <c r="AJ104" s="290">
        <f>AI104/F104</f>
        <v>0</v>
      </c>
      <c r="AK104" s="289"/>
      <c r="AL104" s="290">
        <f t="shared" ref="AL104" si="538">AK104/F104</f>
        <v>0</v>
      </c>
      <c r="AM104" s="289"/>
      <c r="AN104" s="290">
        <f t="shared" ref="AN104" si="539">AM104/F104</f>
        <v>0</v>
      </c>
      <c r="AO104" s="289"/>
      <c r="AP104" s="290">
        <f t="shared" ref="AP104" si="540">AO104/F104</f>
        <v>0</v>
      </c>
      <c r="AQ104" s="323">
        <f t="shared" ref="AQ104" si="541">L104+N104+P104+R104+T104+V104+X104+Z104+AB104+AD104+H104+J104+AJ104+AF104+AH104+AN104+AP104+AL104</f>
        <v>1</v>
      </c>
      <c r="AR104" s="81">
        <v>0</v>
      </c>
      <c r="AS104" s="81"/>
      <c r="AT104" s="84">
        <v>0</v>
      </c>
      <c r="AU104" s="85"/>
      <c r="AV104" s="230">
        <f t="shared" ref="AV104" si="542">F104-AR104-AT104</f>
        <v>3185.52</v>
      </c>
      <c r="AW104" s="195">
        <f>AV104</f>
        <v>3185.52</v>
      </c>
      <c r="AX104" s="84">
        <f t="shared" ref="AX104" si="543">F104-AR104-AT104-AV104</f>
        <v>0</v>
      </c>
      <c r="AY104" s="85"/>
      <c r="AZ104" s="84">
        <f t="shared" ref="AZ104" si="544">F104-AR104-AT104-AV104-AX104</f>
        <v>0</v>
      </c>
      <c r="BA104" s="81"/>
      <c r="BB104" s="84">
        <f t="shared" ref="BB104" si="545">F104-AR104-AT104-AV104-AX104-AZ104</f>
        <v>0</v>
      </c>
      <c r="BC104" s="85"/>
      <c r="BD104" s="84">
        <f t="shared" ref="BD104" si="546">F104-AR104-AT104-AV104-AX104-AZ104-BB104</f>
        <v>0</v>
      </c>
      <c r="BE104" s="85"/>
      <c r="BF104" s="84">
        <f t="shared" ref="BF104" si="547">F104-AR104-AT104-AV104-AX104-AZ104-BB104-BD104</f>
        <v>0</v>
      </c>
      <c r="BG104" s="85"/>
      <c r="BH104" s="84">
        <f t="shared" ref="BH104" si="548">F104-AR104-AT104-AV104-AX104-AZ104-BB104-BD104-BF104</f>
        <v>0</v>
      </c>
      <c r="BI104" s="85"/>
      <c r="BJ104" s="84">
        <f t="shared" ref="BJ104" si="549">F104-AR104-AT104-AV104-AX104-AZ104-BB104-BD104-BF104-BH104</f>
        <v>0</v>
      </c>
      <c r="BK104" s="85"/>
      <c r="BL104" s="84">
        <f t="shared" ref="BL104" si="550">F104-AR104-AT104-AV104-AX104-AZ104-BB104-BD104-BF104-BH104-BJ104</f>
        <v>0</v>
      </c>
      <c r="BM104" s="85"/>
      <c r="BN104" s="84">
        <f t="shared" ref="BN104" si="551">F104-AR104-AT104-AV104-AX104-AZ104-BB104-BD104-BF104-BH104-BJ104-BL104</f>
        <v>0</v>
      </c>
      <c r="BO104" s="81"/>
      <c r="BP104" s="214">
        <f t="shared" ref="BP104" si="552">F104-AR104-AT104-AV104-AX104-AZ104-BB104-BD104-BF104-BH104-BJ104-BL104-BN104</f>
        <v>0</v>
      </c>
    </row>
    <row r="105" spans="1:68" ht="15" customHeight="1" x14ac:dyDescent="0.4">
      <c r="A105" s="427"/>
      <c r="B105" s="391" t="s">
        <v>803</v>
      </c>
      <c r="C105" s="180"/>
      <c r="D105" s="83">
        <v>4678.91</v>
      </c>
      <c r="E105" s="107"/>
      <c r="F105" s="304">
        <f t="shared" si="534"/>
        <v>4678.91</v>
      </c>
      <c r="G105" s="289">
        <v>324</v>
      </c>
      <c r="H105" s="363">
        <f>G105/F105</f>
        <v>6.9246897247435837E-2</v>
      </c>
      <c r="I105" s="287"/>
      <c r="J105" s="313">
        <f>I105/F105</f>
        <v>0</v>
      </c>
      <c r="K105" s="287"/>
      <c r="L105" s="288">
        <f>K105/F105</f>
        <v>0</v>
      </c>
      <c r="M105" s="289"/>
      <c r="N105" s="288">
        <f t="shared" si="464"/>
        <v>0</v>
      </c>
      <c r="O105" s="287"/>
      <c r="P105" s="290">
        <f t="shared" si="465"/>
        <v>0</v>
      </c>
      <c r="Q105" s="289"/>
      <c r="R105" s="290">
        <f t="shared" si="466"/>
        <v>0</v>
      </c>
      <c r="S105" s="287"/>
      <c r="T105" s="290">
        <f t="shared" si="467"/>
        <v>0</v>
      </c>
      <c r="U105" s="287"/>
      <c r="V105" s="290">
        <f t="shared" si="468"/>
        <v>0</v>
      </c>
      <c r="W105" s="289"/>
      <c r="X105" s="290">
        <f t="shared" si="469"/>
        <v>0</v>
      </c>
      <c r="Y105" s="287"/>
      <c r="Z105" s="290">
        <f t="shared" si="470"/>
        <v>0</v>
      </c>
      <c r="AA105" s="289"/>
      <c r="AB105" s="290">
        <f t="shared" si="471"/>
        <v>0</v>
      </c>
      <c r="AC105" s="287">
        <f>1863.11+1748.13+743.67</f>
        <v>4354.91</v>
      </c>
      <c r="AD105" s="290">
        <f t="shared" si="472"/>
        <v>0.93075310275256418</v>
      </c>
      <c r="AE105" s="289"/>
      <c r="AF105" s="290">
        <f t="shared" si="473"/>
        <v>0</v>
      </c>
      <c r="AG105" s="287"/>
      <c r="AH105" s="290">
        <f t="shared" si="474"/>
        <v>0</v>
      </c>
      <c r="AI105" s="289"/>
      <c r="AJ105" s="290">
        <f t="shared" si="475"/>
        <v>0</v>
      </c>
      <c r="AK105" s="289"/>
      <c r="AL105" s="290">
        <f t="shared" si="111"/>
        <v>0</v>
      </c>
      <c r="AM105" s="289"/>
      <c r="AN105" s="290">
        <f t="shared" si="266"/>
        <v>0</v>
      </c>
      <c r="AO105" s="289"/>
      <c r="AP105" s="290">
        <f t="shared" si="267"/>
        <v>0</v>
      </c>
      <c r="AQ105" s="323">
        <f t="shared" si="112"/>
        <v>1</v>
      </c>
      <c r="AR105" s="195">
        <f t="shared" si="496"/>
        <v>4678.91</v>
      </c>
      <c r="AS105" s="195">
        <f>AR105</f>
        <v>4678.91</v>
      </c>
      <c r="AT105" s="84">
        <f t="shared" si="298"/>
        <v>0</v>
      </c>
      <c r="AU105" s="85"/>
      <c r="AV105" s="84">
        <f t="shared" si="280"/>
        <v>0</v>
      </c>
      <c r="AW105" s="81"/>
      <c r="AX105" s="84">
        <f t="shared" si="281"/>
        <v>0</v>
      </c>
      <c r="AY105" s="85"/>
      <c r="AZ105" s="84">
        <f t="shared" si="269"/>
        <v>0</v>
      </c>
      <c r="BA105" s="81"/>
      <c r="BB105" s="84">
        <f t="shared" si="270"/>
        <v>0</v>
      </c>
      <c r="BC105" s="85"/>
      <c r="BD105" s="84">
        <f t="shared" si="271"/>
        <v>0</v>
      </c>
      <c r="BE105" s="85"/>
      <c r="BF105" s="84">
        <f t="shared" si="272"/>
        <v>0</v>
      </c>
      <c r="BG105" s="85"/>
      <c r="BH105" s="84">
        <f t="shared" si="273"/>
        <v>0</v>
      </c>
      <c r="BI105" s="85"/>
      <c r="BJ105" s="84">
        <f t="shared" si="274"/>
        <v>0</v>
      </c>
      <c r="BK105" s="85"/>
      <c r="BL105" s="84">
        <f t="shared" si="275"/>
        <v>0</v>
      </c>
      <c r="BM105" s="85"/>
      <c r="BN105" s="84">
        <f t="shared" si="276"/>
        <v>0</v>
      </c>
      <c r="BO105" s="81"/>
      <c r="BP105" s="214">
        <f t="shared" si="277"/>
        <v>0</v>
      </c>
    </row>
    <row r="106" spans="1:68" ht="13.9" x14ac:dyDescent="0.4">
      <c r="A106" s="427"/>
      <c r="B106" s="391" t="s">
        <v>830</v>
      </c>
      <c r="C106" s="180"/>
      <c r="D106" s="83">
        <v>6942.64</v>
      </c>
      <c r="E106" s="107"/>
      <c r="F106" s="304">
        <f t="shared" si="534"/>
        <v>6942.64</v>
      </c>
      <c r="G106" s="289"/>
      <c r="H106" s="363">
        <f t="shared" ref="H106:H112" si="553">G106/F106</f>
        <v>0</v>
      </c>
      <c r="I106" s="287"/>
      <c r="J106" s="313">
        <f t="shared" ref="J106:J112" si="554">I106/F106</f>
        <v>0</v>
      </c>
      <c r="K106" s="287"/>
      <c r="L106" s="288">
        <f t="shared" ref="L106:L112" si="555">K106/F106</f>
        <v>0</v>
      </c>
      <c r="M106" s="289"/>
      <c r="N106" s="288">
        <f t="shared" ref="N106:N113" si="556">M106/F106</f>
        <v>0</v>
      </c>
      <c r="O106" s="287"/>
      <c r="P106" s="290">
        <f t="shared" ref="P106:P113" si="557">O106/F106</f>
        <v>0</v>
      </c>
      <c r="Q106" s="289"/>
      <c r="R106" s="290">
        <f t="shared" ref="R106:R113" si="558">Q106/F106</f>
        <v>0</v>
      </c>
      <c r="S106" s="287"/>
      <c r="T106" s="290">
        <f t="shared" ref="T106:T113" si="559">S106/F106</f>
        <v>0</v>
      </c>
      <c r="U106" s="287"/>
      <c r="V106" s="290">
        <f t="shared" ref="V106:V113" si="560">U106/F106</f>
        <v>0</v>
      </c>
      <c r="W106" s="289"/>
      <c r="X106" s="290">
        <f t="shared" ref="X106:X113" si="561">W106/F106</f>
        <v>0</v>
      </c>
      <c r="Y106" s="287"/>
      <c r="Z106" s="290">
        <f t="shared" ref="Z106:Z113" si="562">Y106/F106</f>
        <v>0</v>
      </c>
      <c r="AA106" s="289"/>
      <c r="AB106" s="290">
        <f t="shared" ref="AB106:AB113" si="563">AA106/F106</f>
        <v>0</v>
      </c>
      <c r="AC106" s="287">
        <v>6942.64</v>
      </c>
      <c r="AD106" s="290">
        <f t="shared" ref="AD106:AD113" si="564">AC106/F106</f>
        <v>1</v>
      </c>
      <c r="AE106" s="289"/>
      <c r="AF106" s="290">
        <f t="shared" ref="AF106:AF113" si="565">AE106/F106</f>
        <v>0</v>
      </c>
      <c r="AG106" s="287"/>
      <c r="AH106" s="290">
        <f t="shared" ref="AH106:AH113" si="566">AG106/F106</f>
        <v>0</v>
      </c>
      <c r="AI106" s="289"/>
      <c r="AJ106" s="290">
        <f t="shared" ref="AJ106:AJ113" si="567">AI106/F106</f>
        <v>0</v>
      </c>
      <c r="AK106" s="289"/>
      <c r="AL106" s="290">
        <f t="shared" ref="AL106:AL112" si="568">AK106/F106</f>
        <v>0</v>
      </c>
      <c r="AM106" s="289"/>
      <c r="AN106" s="290">
        <f t="shared" ref="AN106:AN112" si="569">AM106/F106</f>
        <v>0</v>
      </c>
      <c r="AO106" s="289"/>
      <c r="AP106" s="290">
        <f t="shared" ref="AP106:AP112" si="570">AO106/F106</f>
        <v>0</v>
      </c>
      <c r="AQ106" s="323">
        <f t="shared" ref="AQ106:AQ112" si="571">L106+N106+P106+R106+T106+V106+X106+Z106+AB106+AD106+H106+J106+AJ106+AF106+AH106+AN106+AP106+AL106</f>
        <v>1</v>
      </c>
      <c r="AR106" s="195">
        <f t="shared" ref="AR106" si="572">+F106</f>
        <v>6942.64</v>
      </c>
      <c r="AS106" s="195">
        <f>AR106</f>
        <v>6942.64</v>
      </c>
      <c r="AT106" s="84">
        <f t="shared" ref="AT106:AT111" si="573">F106-AR106</f>
        <v>0</v>
      </c>
      <c r="AU106" s="85"/>
      <c r="AV106" s="84">
        <f t="shared" ref="AV106:AV112" si="574">F106-AR106-AT106</f>
        <v>0</v>
      </c>
      <c r="AW106" s="81"/>
      <c r="AX106" s="84">
        <f t="shared" ref="AX106:AX112" si="575">F106-AR106-AT106-AV106</f>
        <v>0</v>
      </c>
      <c r="AY106" s="85"/>
      <c r="AZ106" s="84">
        <f t="shared" ref="AZ106:AZ112" si="576">F106-AR106-AT106-AV106-AX106</f>
        <v>0</v>
      </c>
      <c r="BA106" s="81"/>
      <c r="BB106" s="84">
        <f t="shared" ref="BB106:BB112" si="577">F106-AR106-AT106-AV106-AX106-AZ106</f>
        <v>0</v>
      </c>
      <c r="BC106" s="85"/>
      <c r="BD106" s="84">
        <f t="shared" ref="BD106:BD112" si="578">F106-AR106-AT106-AV106-AX106-AZ106-BB106</f>
        <v>0</v>
      </c>
      <c r="BE106" s="85"/>
      <c r="BF106" s="84">
        <f t="shared" ref="BF106:BF112" si="579">F106-AR106-AT106-AV106-AX106-AZ106-BB106-BD106</f>
        <v>0</v>
      </c>
      <c r="BG106" s="85"/>
      <c r="BH106" s="84">
        <f t="shared" ref="BH106:BH112" si="580">F106-AR106-AT106-AV106-AX106-AZ106-BB106-BD106-BF106</f>
        <v>0</v>
      </c>
      <c r="BI106" s="85"/>
      <c r="BJ106" s="84">
        <f t="shared" ref="BJ106:BJ112" si="581">F106-AR106-AT106-AV106-AX106-AZ106-BB106-BD106-BF106-BH106</f>
        <v>0</v>
      </c>
      <c r="BK106" s="85"/>
      <c r="BL106" s="84">
        <f t="shared" ref="BL106:BL112" si="582">F106-AR106-AT106-AV106-AX106-AZ106-BB106-BD106-BF106-BH106-BJ106</f>
        <v>0</v>
      </c>
      <c r="BM106" s="85"/>
      <c r="BN106" s="84">
        <f t="shared" ref="BN106:BN112" si="583">F106-AR106-AT106-AV106-AX106-AZ106-BB106-BD106-BF106-BH106-BJ106-BL106</f>
        <v>0</v>
      </c>
      <c r="BO106" s="81"/>
      <c r="BP106" s="214">
        <f t="shared" ref="BP106:BP112" si="584">F106-AR106-AT106-AV106-AX106-AZ106-BB106-BD106-BF106-BH106-BJ106-BL106-BN106</f>
        <v>0</v>
      </c>
    </row>
    <row r="107" spans="1:68" ht="13.9" x14ac:dyDescent="0.4">
      <c r="A107" s="427"/>
      <c r="B107" s="391" t="s">
        <v>779</v>
      </c>
      <c r="C107" s="180"/>
      <c r="D107" s="83">
        <f>'2024-25'!BI102</f>
        <v>5919</v>
      </c>
      <c r="E107" s="107"/>
      <c r="F107" s="304">
        <f t="shared" si="534"/>
        <v>5919</v>
      </c>
      <c r="G107" s="289"/>
      <c r="H107" s="363">
        <f t="shared" si="553"/>
        <v>0</v>
      </c>
      <c r="I107" s="287"/>
      <c r="J107" s="313">
        <f t="shared" si="554"/>
        <v>0</v>
      </c>
      <c r="K107" s="287"/>
      <c r="L107" s="288">
        <f t="shared" si="555"/>
        <v>0</v>
      </c>
      <c r="M107" s="289"/>
      <c r="N107" s="288">
        <f t="shared" si="556"/>
        <v>0</v>
      </c>
      <c r="O107" s="287"/>
      <c r="P107" s="290">
        <f t="shared" si="557"/>
        <v>0</v>
      </c>
      <c r="Q107" s="289"/>
      <c r="R107" s="290">
        <f t="shared" si="558"/>
        <v>0</v>
      </c>
      <c r="S107" s="287"/>
      <c r="T107" s="290">
        <f t="shared" si="559"/>
        <v>0</v>
      </c>
      <c r="U107" s="287"/>
      <c r="V107" s="290">
        <f t="shared" si="560"/>
        <v>0</v>
      </c>
      <c r="W107" s="289"/>
      <c r="X107" s="290">
        <f t="shared" si="561"/>
        <v>0</v>
      </c>
      <c r="Y107" s="287"/>
      <c r="Z107" s="290">
        <f t="shared" si="562"/>
        <v>0</v>
      </c>
      <c r="AA107" s="289"/>
      <c r="AB107" s="290">
        <f t="shared" si="563"/>
        <v>0</v>
      </c>
      <c r="AC107" s="287">
        <v>5919</v>
      </c>
      <c r="AD107" s="290">
        <f t="shared" si="564"/>
        <v>1</v>
      </c>
      <c r="AE107" s="289"/>
      <c r="AF107" s="290">
        <f t="shared" si="565"/>
        <v>0</v>
      </c>
      <c r="AG107" s="287"/>
      <c r="AH107" s="290">
        <f t="shared" si="566"/>
        <v>0</v>
      </c>
      <c r="AI107" s="289"/>
      <c r="AJ107" s="290">
        <f t="shared" si="567"/>
        <v>0</v>
      </c>
      <c r="AK107" s="289"/>
      <c r="AL107" s="290">
        <f t="shared" si="568"/>
        <v>0</v>
      </c>
      <c r="AM107" s="289"/>
      <c r="AN107" s="290">
        <f t="shared" si="569"/>
        <v>0</v>
      </c>
      <c r="AO107" s="289"/>
      <c r="AP107" s="290">
        <f t="shared" si="570"/>
        <v>0</v>
      </c>
      <c r="AQ107" s="323">
        <f t="shared" si="571"/>
        <v>1</v>
      </c>
      <c r="AR107" s="195">
        <f>AS107</f>
        <v>1411.79</v>
      </c>
      <c r="AS107" s="195">
        <v>1411.79</v>
      </c>
      <c r="AT107" s="84">
        <v>0</v>
      </c>
      <c r="AU107" s="85"/>
      <c r="AV107" s="230">
        <v>1290.8499999999999</v>
      </c>
      <c r="AW107" s="195">
        <f>AV107</f>
        <v>1290.8499999999999</v>
      </c>
      <c r="AX107" s="230">
        <f t="shared" si="575"/>
        <v>3216.36</v>
      </c>
      <c r="AY107" s="231">
        <v>3216.36</v>
      </c>
      <c r="AZ107" s="84">
        <f t="shared" si="576"/>
        <v>0</v>
      </c>
      <c r="BA107" s="81"/>
      <c r="BB107" s="84">
        <f t="shared" si="577"/>
        <v>0</v>
      </c>
      <c r="BC107" s="85"/>
      <c r="BD107" s="84">
        <f t="shared" si="578"/>
        <v>0</v>
      </c>
      <c r="BE107" s="85"/>
      <c r="BF107" s="84">
        <f t="shared" si="579"/>
        <v>0</v>
      </c>
      <c r="BG107" s="85"/>
      <c r="BH107" s="84">
        <f t="shared" si="580"/>
        <v>0</v>
      </c>
      <c r="BI107" s="85"/>
      <c r="BJ107" s="84">
        <f t="shared" si="581"/>
        <v>0</v>
      </c>
      <c r="BK107" s="85"/>
      <c r="BL107" s="84">
        <f t="shared" si="582"/>
        <v>0</v>
      </c>
      <c r="BM107" s="85"/>
      <c r="BN107" s="84">
        <f t="shared" si="583"/>
        <v>0</v>
      </c>
      <c r="BO107" s="81"/>
      <c r="BP107" s="214">
        <f t="shared" si="584"/>
        <v>0</v>
      </c>
    </row>
    <row r="108" spans="1:68" ht="13.9" x14ac:dyDescent="0.4">
      <c r="A108" s="427"/>
      <c r="B108" s="391" t="s">
        <v>832</v>
      </c>
      <c r="C108" s="180"/>
      <c r="D108" s="83">
        <v>9547</v>
      </c>
      <c r="E108" s="107"/>
      <c r="F108" s="304">
        <f t="shared" si="534"/>
        <v>9547</v>
      </c>
      <c r="G108" s="289"/>
      <c r="H108" s="363">
        <f t="shared" si="553"/>
        <v>0</v>
      </c>
      <c r="I108" s="287"/>
      <c r="J108" s="313">
        <f t="shared" si="554"/>
        <v>0</v>
      </c>
      <c r="K108" s="287"/>
      <c r="L108" s="288">
        <f t="shared" si="555"/>
        <v>0</v>
      </c>
      <c r="M108" s="289"/>
      <c r="N108" s="288">
        <f t="shared" si="556"/>
        <v>0</v>
      </c>
      <c r="O108" s="287"/>
      <c r="P108" s="290">
        <f t="shared" si="557"/>
        <v>0</v>
      </c>
      <c r="Q108" s="289"/>
      <c r="R108" s="290">
        <f t="shared" si="558"/>
        <v>0</v>
      </c>
      <c r="S108" s="287"/>
      <c r="T108" s="290">
        <f t="shared" si="559"/>
        <v>0</v>
      </c>
      <c r="U108" s="287"/>
      <c r="V108" s="290">
        <f t="shared" si="560"/>
        <v>0</v>
      </c>
      <c r="W108" s="289"/>
      <c r="X108" s="290">
        <f t="shared" si="561"/>
        <v>0</v>
      </c>
      <c r="Y108" s="287"/>
      <c r="Z108" s="290">
        <f t="shared" si="562"/>
        <v>0</v>
      </c>
      <c r="AA108" s="289"/>
      <c r="AB108" s="290">
        <f t="shared" si="563"/>
        <v>0</v>
      </c>
      <c r="AC108" s="287">
        <v>9547</v>
      </c>
      <c r="AD108" s="290">
        <f t="shared" si="564"/>
        <v>1</v>
      </c>
      <c r="AE108" s="289"/>
      <c r="AF108" s="290">
        <f t="shared" si="565"/>
        <v>0</v>
      </c>
      <c r="AG108" s="287"/>
      <c r="AH108" s="290">
        <f t="shared" si="566"/>
        <v>0</v>
      </c>
      <c r="AI108" s="289"/>
      <c r="AJ108" s="290">
        <f t="shared" si="567"/>
        <v>0</v>
      </c>
      <c r="AK108" s="289"/>
      <c r="AL108" s="290">
        <f t="shared" si="568"/>
        <v>0</v>
      </c>
      <c r="AM108" s="289"/>
      <c r="AN108" s="290">
        <f t="shared" si="569"/>
        <v>0</v>
      </c>
      <c r="AO108" s="289"/>
      <c r="AP108" s="290">
        <f t="shared" si="570"/>
        <v>0</v>
      </c>
      <c r="AQ108" s="323">
        <f t="shared" si="571"/>
        <v>1</v>
      </c>
      <c r="AR108" s="81">
        <v>0</v>
      </c>
      <c r="AS108" s="81"/>
      <c r="AT108" s="230">
        <v>9546.64</v>
      </c>
      <c r="AU108" s="231">
        <f>AT108</f>
        <v>9546.64</v>
      </c>
      <c r="AV108" s="84">
        <f t="shared" si="574"/>
        <v>0.36000000000058208</v>
      </c>
      <c r="AW108" s="81"/>
      <c r="AX108" s="84">
        <f t="shared" si="575"/>
        <v>0</v>
      </c>
      <c r="AY108" s="85"/>
      <c r="AZ108" s="84">
        <f t="shared" si="576"/>
        <v>0</v>
      </c>
      <c r="BA108" s="81"/>
      <c r="BB108" s="84">
        <f t="shared" si="577"/>
        <v>0</v>
      </c>
      <c r="BC108" s="85"/>
      <c r="BD108" s="84">
        <f t="shared" si="578"/>
        <v>0</v>
      </c>
      <c r="BE108" s="85"/>
      <c r="BF108" s="84">
        <f t="shared" si="579"/>
        <v>0</v>
      </c>
      <c r="BG108" s="85"/>
      <c r="BH108" s="84">
        <f t="shared" si="580"/>
        <v>0</v>
      </c>
      <c r="BI108" s="85"/>
      <c r="BJ108" s="84">
        <f t="shared" si="581"/>
        <v>0</v>
      </c>
      <c r="BK108" s="85"/>
      <c r="BL108" s="84">
        <f t="shared" si="582"/>
        <v>0</v>
      </c>
      <c r="BM108" s="85"/>
      <c r="BN108" s="84">
        <f t="shared" si="583"/>
        <v>0</v>
      </c>
      <c r="BO108" s="81"/>
      <c r="BP108" s="214">
        <f t="shared" si="584"/>
        <v>0</v>
      </c>
    </row>
    <row r="109" spans="1:68" ht="13.9" x14ac:dyDescent="0.4">
      <c r="A109" s="427"/>
      <c r="B109" s="391" t="s">
        <v>853</v>
      </c>
      <c r="C109" s="180"/>
      <c r="D109" s="83">
        <v>4652.05</v>
      </c>
      <c r="E109" s="142"/>
      <c r="F109" s="304">
        <f t="shared" si="534"/>
        <v>4652.05</v>
      </c>
      <c r="G109" s="289"/>
      <c r="H109" s="363">
        <f t="shared" si="553"/>
        <v>0</v>
      </c>
      <c r="I109" s="287"/>
      <c r="J109" s="313">
        <f t="shared" si="554"/>
        <v>0</v>
      </c>
      <c r="K109" s="287"/>
      <c r="L109" s="288">
        <f t="shared" si="555"/>
        <v>0</v>
      </c>
      <c r="M109" s="289"/>
      <c r="N109" s="288">
        <f>M109/F109</f>
        <v>0</v>
      </c>
      <c r="O109" s="287"/>
      <c r="P109" s="290">
        <f>O109/F109</f>
        <v>0</v>
      </c>
      <c r="Q109" s="289"/>
      <c r="R109" s="290">
        <f>Q109/F109</f>
        <v>0</v>
      </c>
      <c r="S109" s="287"/>
      <c r="T109" s="290">
        <f>S109/F109</f>
        <v>0</v>
      </c>
      <c r="U109" s="287"/>
      <c r="V109" s="290">
        <f>U109/F109</f>
        <v>0</v>
      </c>
      <c r="W109" s="289"/>
      <c r="X109" s="290">
        <f>W109/F109</f>
        <v>0</v>
      </c>
      <c r="Y109" s="287"/>
      <c r="Z109" s="290">
        <f>Y109/F109</f>
        <v>0</v>
      </c>
      <c r="AA109" s="289"/>
      <c r="AB109" s="290">
        <f>AA109/F109</f>
        <v>0</v>
      </c>
      <c r="AC109" s="287">
        <v>4652.05</v>
      </c>
      <c r="AD109" s="290">
        <f>AC109/F109</f>
        <v>1</v>
      </c>
      <c r="AE109" s="289"/>
      <c r="AF109" s="290">
        <f>AE109/F109</f>
        <v>0</v>
      </c>
      <c r="AG109" s="287"/>
      <c r="AH109" s="290">
        <f>AG109/F109</f>
        <v>0</v>
      </c>
      <c r="AI109" s="289"/>
      <c r="AJ109" s="290">
        <f>AI109/F109</f>
        <v>0</v>
      </c>
      <c r="AK109" s="289"/>
      <c r="AL109" s="290">
        <f t="shared" si="568"/>
        <v>0</v>
      </c>
      <c r="AM109" s="289"/>
      <c r="AN109" s="290">
        <f t="shared" si="569"/>
        <v>0</v>
      </c>
      <c r="AO109" s="289"/>
      <c r="AP109" s="290">
        <f t="shared" si="570"/>
        <v>0</v>
      </c>
      <c r="AQ109" s="323">
        <f t="shared" si="571"/>
        <v>1</v>
      </c>
      <c r="AR109" s="81">
        <v>0</v>
      </c>
      <c r="AS109" s="81"/>
      <c r="AT109" s="84">
        <v>0</v>
      </c>
      <c r="AU109" s="85"/>
      <c r="AV109" s="230">
        <f t="shared" si="574"/>
        <v>4652.05</v>
      </c>
      <c r="AW109" s="195">
        <f>AV109</f>
        <v>4652.05</v>
      </c>
      <c r="AX109" s="84">
        <f t="shared" si="575"/>
        <v>0</v>
      </c>
      <c r="AY109" s="85"/>
      <c r="AZ109" s="84">
        <f t="shared" si="576"/>
        <v>0</v>
      </c>
      <c r="BA109" s="81"/>
      <c r="BB109" s="84">
        <f t="shared" si="577"/>
        <v>0</v>
      </c>
      <c r="BC109" s="85"/>
      <c r="BD109" s="84">
        <f t="shared" si="578"/>
        <v>0</v>
      </c>
      <c r="BE109" s="85"/>
      <c r="BF109" s="84">
        <f t="shared" si="579"/>
        <v>0</v>
      </c>
      <c r="BG109" s="85"/>
      <c r="BH109" s="84">
        <f t="shared" si="580"/>
        <v>0</v>
      </c>
      <c r="BI109" s="85"/>
      <c r="BJ109" s="84">
        <f t="shared" si="581"/>
        <v>0</v>
      </c>
      <c r="BK109" s="85"/>
      <c r="BL109" s="84">
        <f t="shared" si="582"/>
        <v>0</v>
      </c>
      <c r="BM109" s="85"/>
      <c r="BN109" s="84">
        <f t="shared" si="583"/>
        <v>0</v>
      </c>
      <c r="BO109" s="81"/>
      <c r="BP109" s="214">
        <f t="shared" si="584"/>
        <v>0</v>
      </c>
    </row>
    <row r="110" spans="1:68" ht="13.9" x14ac:dyDescent="0.4">
      <c r="A110" s="427"/>
      <c r="B110" s="393" t="s">
        <v>844</v>
      </c>
      <c r="C110" s="180"/>
      <c r="D110" s="83">
        <v>240</v>
      </c>
      <c r="E110" s="142"/>
      <c r="F110" s="304">
        <f t="shared" si="534"/>
        <v>240</v>
      </c>
      <c r="G110" s="289"/>
      <c r="H110" s="363">
        <f t="shared" si="553"/>
        <v>0</v>
      </c>
      <c r="I110" s="287"/>
      <c r="J110" s="313">
        <f t="shared" si="554"/>
        <v>0</v>
      </c>
      <c r="K110" s="287"/>
      <c r="L110" s="288">
        <f t="shared" si="555"/>
        <v>0</v>
      </c>
      <c r="M110" s="289"/>
      <c r="N110" s="288">
        <f t="shared" si="556"/>
        <v>0</v>
      </c>
      <c r="O110" s="287"/>
      <c r="P110" s="290">
        <f t="shared" si="557"/>
        <v>0</v>
      </c>
      <c r="Q110" s="289"/>
      <c r="R110" s="290">
        <f t="shared" si="558"/>
        <v>0</v>
      </c>
      <c r="S110" s="287"/>
      <c r="T110" s="290">
        <f t="shared" si="559"/>
        <v>0</v>
      </c>
      <c r="U110" s="287"/>
      <c r="V110" s="290">
        <f t="shared" si="560"/>
        <v>0</v>
      </c>
      <c r="W110" s="289"/>
      <c r="X110" s="290">
        <f t="shared" si="561"/>
        <v>0</v>
      </c>
      <c r="Y110" s="287"/>
      <c r="Z110" s="290">
        <f t="shared" si="562"/>
        <v>0</v>
      </c>
      <c r="AA110" s="289"/>
      <c r="AB110" s="290">
        <f t="shared" si="563"/>
        <v>0</v>
      </c>
      <c r="AC110" s="287">
        <v>240</v>
      </c>
      <c r="AD110" s="290">
        <f t="shared" si="564"/>
        <v>1</v>
      </c>
      <c r="AE110" s="289"/>
      <c r="AF110" s="290">
        <f t="shared" si="565"/>
        <v>0</v>
      </c>
      <c r="AG110" s="287"/>
      <c r="AH110" s="290">
        <f t="shared" si="566"/>
        <v>0</v>
      </c>
      <c r="AI110" s="289"/>
      <c r="AJ110" s="290">
        <f t="shared" si="567"/>
        <v>0</v>
      </c>
      <c r="AK110" s="289"/>
      <c r="AL110" s="290">
        <f t="shared" si="568"/>
        <v>0</v>
      </c>
      <c r="AM110" s="289"/>
      <c r="AN110" s="290">
        <f t="shared" si="569"/>
        <v>0</v>
      </c>
      <c r="AO110" s="289"/>
      <c r="AP110" s="290">
        <f t="shared" si="570"/>
        <v>0</v>
      </c>
      <c r="AQ110" s="323">
        <f t="shared" si="571"/>
        <v>1</v>
      </c>
      <c r="AR110" s="81">
        <v>0</v>
      </c>
      <c r="AS110" s="81"/>
      <c r="AT110" s="230">
        <f t="shared" si="573"/>
        <v>240</v>
      </c>
      <c r="AU110" s="231">
        <v>240</v>
      </c>
      <c r="AV110" s="84">
        <f t="shared" si="574"/>
        <v>0</v>
      </c>
      <c r="AW110" s="81"/>
      <c r="AX110" s="84">
        <f t="shared" si="575"/>
        <v>0</v>
      </c>
      <c r="AY110" s="85"/>
      <c r="AZ110" s="84">
        <f t="shared" si="576"/>
        <v>0</v>
      </c>
      <c r="BA110" s="81"/>
      <c r="BB110" s="84">
        <f t="shared" si="577"/>
        <v>0</v>
      </c>
      <c r="BC110" s="85"/>
      <c r="BD110" s="84">
        <f t="shared" si="578"/>
        <v>0</v>
      </c>
      <c r="BE110" s="85"/>
      <c r="BF110" s="84">
        <f t="shared" si="579"/>
        <v>0</v>
      </c>
      <c r="BG110" s="85"/>
      <c r="BH110" s="84">
        <f t="shared" si="580"/>
        <v>0</v>
      </c>
      <c r="BI110" s="85"/>
      <c r="BJ110" s="84">
        <f t="shared" si="581"/>
        <v>0</v>
      </c>
      <c r="BK110" s="85"/>
      <c r="BL110" s="84">
        <f t="shared" si="582"/>
        <v>0</v>
      </c>
      <c r="BM110" s="85"/>
      <c r="BN110" s="84">
        <f t="shared" si="583"/>
        <v>0</v>
      </c>
      <c r="BO110" s="81"/>
      <c r="BP110" s="214">
        <f t="shared" si="584"/>
        <v>0</v>
      </c>
    </row>
    <row r="111" spans="1:68" ht="13.9" x14ac:dyDescent="0.4">
      <c r="A111" s="427"/>
      <c r="B111" s="393" t="s">
        <v>849</v>
      </c>
      <c r="C111" s="180"/>
      <c r="D111" s="83">
        <v>713.38</v>
      </c>
      <c r="E111" s="142"/>
      <c r="F111" s="304">
        <f t="shared" si="534"/>
        <v>713.38</v>
      </c>
      <c r="G111" s="289"/>
      <c r="H111" s="363">
        <f t="shared" si="553"/>
        <v>0</v>
      </c>
      <c r="I111" s="287"/>
      <c r="J111" s="313">
        <f t="shared" si="554"/>
        <v>0</v>
      </c>
      <c r="K111" s="287"/>
      <c r="L111" s="288">
        <f t="shared" si="555"/>
        <v>0</v>
      </c>
      <c r="M111" s="289"/>
      <c r="N111" s="288">
        <f>M111/F111</f>
        <v>0</v>
      </c>
      <c r="O111" s="287"/>
      <c r="P111" s="290">
        <f>O111/F111</f>
        <v>0</v>
      </c>
      <c r="Q111" s="289"/>
      <c r="R111" s="290">
        <f>Q111/F111</f>
        <v>0</v>
      </c>
      <c r="S111" s="287"/>
      <c r="T111" s="290">
        <f>S111/F111</f>
        <v>0</v>
      </c>
      <c r="U111" s="287"/>
      <c r="V111" s="290">
        <f>U111/F111</f>
        <v>0</v>
      </c>
      <c r="W111" s="289"/>
      <c r="X111" s="290">
        <f>W111/F111</f>
        <v>0</v>
      </c>
      <c r="Y111" s="287"/>
      <c r="Z111" s="290">
        <f>Y111/F111</f>
        <v>0</v>
      </c>
      <c r="AA111" s="289"/>
      <c r="AB111" s="290">
        <f>AA111/F111</f>
        <v>0</v>
      </c>
      <c r="AC111" s="287">
        <v>713.38</v>
      </c>
      <c r="AD111" s="290">
        <f>AC111/F111</f>
        <v>1</v>
      </c>
      <c r="AE111" s="289"/>
      <c r="AF111" s="290">
        <f>AE111/F111</f>
        <v>0</v>
      </c>
      <c r="AG111" s="287"/>
      <c r="AH111" s="290">
        <f>AG111/F111</f>
        <v>0</v>
      </c>
      <c r="AI111" s="289"/>
      <c r="AJ111" s="290">
        <f>AI111/F111</f>
        <v>0</v>
      </c>
      <c r="AK111" s="289"/>
      <c r="AL111" s="290">
        <f t="shared" si="568"/>
        <v>0</v>
      </c>
      <c r="AM111" s="289"/>
      <c r="AN111" s="290">
        <f t="shared" si="569"/>
        <v>0</v>
      </c>
      <c r="AO111" s="289"/>
      <c r="AP111" s="290">
        <f t="shared" si="570"/>
        <v>0</v>
      </c>
      <c r="AQ111" s="323">
        <f t="shared" si="571"/>
        <v>1</v>
      </c>
      <c r="AR111" s="81">
        <v>0</v>
      </c>
      <c r="AS111" s="81"/>
      <c r="AT111" s="230">
        <f t="shared" si="573"/>
        <v>713.38</v>
      </c>
      <c r="AU111" s="231">
        <f>AT111</f>
        <v>713.38</v>
      </c>
      <c r="AV111" s="84">
        <f t="shared" si="574"/>
        <v>0</v>
      </c>
      <c r="AW111" s="81"/>
      <c r="AX111" s="84">
        <f t="shared" si="575"/>
        <v>0</v>
      </c>
      <c r="AY111" s="85"/>
      <c r="AZ111" s="84">
        <f t="shared" si="576"/>
        <v>0</v>
      </c>
      <c r="BA111" s="81"/>
      <c r="BB111" s="84">
        <f t="shared" si="577"/>
        <v>0</v>
      </c>
      <c r="BC111" s="85"/>
      <c r="BD111" s="84">
        <f t="shared" si="578"/>
        <v>0</v>
      </c>
      <c r="BE111" s="85"/>
      <c r="BF111" s="84">
        <f t="shared" si="579"/>
        <v>0</v>
      </c>
      <c r="BG111" s="85"/>
      <c r="BH111" s="84">
        <f t="shared" si="580"/>
        <v>0</v>
      </c>
      <c r="BI111" s="85"/>
      <c r="BJ111" s="84">
        <f t="shared" si="581"/>
        <v>0</v>
      </c>
      <c r="BK111" s="85"/>
      <c r="BL111" s="84">
        <f t="shared" si="582"/>
        <v>0</v>
      </c>
      <c r="BM111" s="85"/>
      <c r="BN111" s="84">
        <f t="shared" si="583"/>
        <v>0</v>
      </c>
      <c r="BO111" s="81"/>
      <c r="BP111" s="214">
        <f t="shared" si="584"/>
        <v>0</v>
      </c>
    </row>
    <row r="112" spans="1:68" ht="13.9" x14ac:dyDescent="0.4">
      <c r="A112" s="427"/>
      <c r="B112" s="393" t="s">
        <v>841</v>
      </c>
      <c r="C112" s="180"/>
      <c r="D112" s="83">
        <v>2459.7600000000002</v>
      </c>
      <c r="E112" s="142"/>
      <c r="F112" s="304">
        <f t="shared" si="534"/>
        <v>2459.7600000000002</v>
      </c>
      <c r="G112" s="289"/>
      <c r="H112" s="363">
        <f t="shared" si="553"/>
        <v>0</v>
      </c>
      <c r="I112" s="287"/>
      <c r="J112" s="313">
        <f t="shared" si="554"/>
        <v>0</v>
      </c>
      <c r="K112" s="287"/>
      <c r="L112" s="288">
        <f t="shared" si="555"/>
        <v>0</v>
      </c>
      <c r="M112" s="289"/>
      <c r="N112" s="288">
        <f t="shared" si="556"/>
        <v>0</v>
      </c>
      <c r="O112" s="287"/>
      <c r="P112" s="290">
        <f t="shared" si="557"/>
        <v>0</v>
      </c>
      <c r="Q112" s="289"/>
      <c r="R112" s="290">
        <f t="shared" si="558"/>
        <v>0</v>
      </c>
      <c r="S112" s="287"/>
      <c r="T112" s="290">
        <f t="shared" si="559"/>
        <v>0</v>
      </c>
      <c r="U112" s="287"/>
      <c r="V112" s="290">
        <f t="shared" si="560"/>
        <v>0</v>
      </c>
      <c r="W112" s="289"/>
      <c r="X112" s="290">
        <f t="shared" si="561"/>
        <v>0</v>
      </c>
      <c r="Y112" s="287"/>
      <c r="Z112" s="290">
        <f t="shared" si="562"/>
        <v>0</v>
      </c>
      <c r="AA112" s="289"/>
      <c r="AB112" s="290">
        <f t="shared" si="563"/>
        <v>0</v>
      </c>
      <c r="AC112" s="287">
        <v>2459.7600000000002</v>
      </c>
      <c r="AD112" s="290">
        <f t="shared" si="564"/>
        <v>1</v>
      </c>
      <c r="AE112" s="289"/>
      <c r="AF112" s="290">
        <f t="shared" si="565"/>
        <v>0</v>
      </c>
      <c r="AG112" s="287"/>
      <c r="AH112" s="290">
        <f t="shared" si="566"/>
        <v>0</v>
      </c>
      <c r="AI112" s="289"/>
      <c r="AJ112" s="290">
        <f t="shared" si="567"/>
        <v>0</v>
      </c>
      <c r="AK112" s="289"/>
      <c r="AL112" s="290">
        <f t="shared" si="568"/>
        <v>0</v>
      </c>
      <c r="AM112" s="289"/>
      <c r="AN112" s="290">
        <f t="shared" si="569"/>
        <v>0</v>
      </c>
      <c r="AO112" s="289"/>
      <c r="AP112" s="290">
        <f t="shared" si="570"/>
        <v>0</v>
      </c>
      <c r="AQ112" s="323">
        <f t="shared" si="571"/>
        <v>1</v>
      </c>
      <c r="AR112" s="81">
        <v>0</v>
      </c>
      <c r="AS112" s="81"/>
      <c r="AT112" s="84">
        <v>0</v>
      </c>
      <c r="AU112" s="85"/>
      <c r="AV112" s="230">
        <f t="shared" si="574"/>
        <v>2459.7600000000002</v>
      </c>
      <c r="AW112" s="195">
        <f>AV112</f>
        <v>2459.7600000000002</v>
      </c>
      <c r="AX112" s="84">
        <f t="shared" si="575"/>
        <v>0</v>
      </c>
      <c r="AY112" s="85"/>
      <c r="AZ112" s="84">
        <f t="shared" si="576"/>
        <v>0</v>
      </c>
      <c r="BA112" s="81"/>
      <c r="BB112" s="84">
        <f t="shared" si="577"/>
        <v>0</v>
      </c>
      <c r="BC112" s="85"/>
      <c r="BD112" s="84">
        <f t="shared" si="578"/>
        <v>0</v>
      </c>
      <c r="BE112" s="85"/>
      <c r="BF112" s="84">
        <f t="shared" si="579"/>
        <v>0</v>
      </c>
      <c r="BG112" s="85"/>
      <c r="BH112" s="84">
        <f t="shared" si="580"/>
        <v>0</v>
      </c>
      <c r="BI112" s="85"/>
      <c r="BJ112" s="84">
        <f t="shared" si="581"/>
        <v>0</v>
      </c>
      <c r="BK112" s="85"/>
      <c r="BL112" s="84">
        <f t="shared" si="582"/>
        <v>0</v>
      </c>
      <c r="BM112" s="85"/>
      <c r="BN112" s="84">
        <f t="shared" si="583"/>
        <v>0</v>
      </c>
      <c r="BO112" s="81"/>
      <c r="BP112" s="214">
        <f t="shared" si="584"/>
        <v>0</v>
      </c>
    </row>
    <row r="113" spans="1:68" ht="13.9" x14ac:dyDescent="0.4">
      <c r="A113" s="427"/>
      <c r="B113" s="391" t="s">
        <v>435</v>
      </c>
      <c r="C113" s="180"/>
      <c r="D113" s="83">
        <v>3951.14</v>
      </c>
      <c r="E113" s="107"/>
      <c r="F113" s="304">
        <v>3951</v>
      </c>
      <c r="G113" s="289"/>
      <c r="H113" s="363">
        <f t="shared" ref="H113:H115" si="585">G113/F113</f>
        <v>0</v>
      </c>
      <c r="I113" s="287"/>
      <c r="J113" s="313">
        <f t="shared" ref="J113:J115" si="586">I113/F113</f>
        <v>0</v>
      </c>
      <c r="K113" s="287"/>
      <c r="L113" s="288">
        <f t="shared" ref="L113:L115" si="587">K113/F113</f>
        <v>0</v>
      </c>
      <c r="M113" s="289"/>
      <c r="N113" s="288">
        <f t="shared" si="556"/>
        <v>0</v>
      </c>
      <c r="O113" s="287"/>
      <c r="P113" s="290">
        <f t="shared" si="557"/>
        <v>0</v>
      </c>
      <c r="Q113" s="289">
        <v>3951.14</v>
      </c>
      <c r="R113" s="290">
        <f t="shared" si="558"/>
        <v>1.0000354340673248</v>
      </c>
      <c r="S113" s="287"/>
      <c r="T113" s="290">
        <f t="shared" si="559"/>
        <v>0</v>
      </c>
      <c r="U113" s="287"/>
      <c r="V113" s="290">
        <f t="shared" si="560"/>
        <v>0</v>
      </c>
      <c r="W113" s="289"/>
      <c r="X113" s="290">
        <f t="shared" si="561"/>
        <v>0</v>
      </c>
      <c r="Y113" s="287"/>
      <c r="Z113" s="290">
        <f t="shared" si="562"/>
        <v>0</v>
      </c>
      <c r="AA113" s="289"/>
      <c r="AB113" s="290">
        <f t="shared" si="563"/>
        <v>0</v>
      </c>
      <c r="AC113" s="287"/>
      <c r="AD113" s="290">
        <f t="shared" si="564"/>
        <v>0</v>
      </c>
      <c r="AE113" s="289"/>
      <c r="AF113" s="290">
        <f t="shared" si="565"/>
        <v>0</v>
      </c>
      <c r="AG113" s="287"/>
      <c r="AH113" s="290">
        <f t="shared" si="566"/>
        <v>0</v>
      </c>
      <c r="AI113" s="289"/>
      <c r="AJ113" s="290">
        <f t="shared" si="567"/>
        <v>0</v>
      </c>
      <c r="AK113" s="289"/>
      <c r="AL113" s="290">
        <f t="shared" ref="AL113:AL115" si="588">AK113/F113</f>
        <v>0</v>
      </c>
      <c r="AM113" s="289"/>
      <c r="AN113" s="290">
        <f t="shared" ref="AN113:AN115" si="589">AM113/F113</f>
        <v>0</v>
      </c>
      <c r="AO113" s="289"/>
      <c r="AP113" s="290">
        <f t="shared" ref="AP113:AP115" si="590">AO113/F113</f>
        <v>0</v>
      </c>
      <c r="AQ113" s="323">
        <f t="shared" ref="AQ113:AQ115" si="591">L113+N113+P113+R113+T113+V113+X113+Z113+AB113+AD113+H113+J113+AJ113+AF113+AH113+AN113+AP113+AL113</f>
        <v>1.0000354340673248</v>
      </c>
      <c r="AR113" s="195">
        <f>AS113</f>
        <v>3951.14</v>
      </c>
      <c r="AS113" s="195">
        <v>3951.14</v>
      </c>
      <c r="AT113" s="84">
        <f t="shared" ref="AT113:AT114" si="592">F113-AR113</f>
        <v>-0.13999999999987267</v>
      </c>
      <c r="AU113" s="85"/>
      <c r="AV113" s="84">
        <f t="shared" ref="AV113:AV114" si="593">F113-AR113-AT113</f>
        <v>0</v>
      </c>
      <c r="AW113" s="81"/>
      <c r="AX113" s="84">
        <f t="shared" ref="AX113:AX114" si="594">F113-AR113-AT113-AV113</f>
        <v>0</v>
      </c>
      <c r="AY113" s="85"/>
      <c r="AZ113" s="84">
        <f t="shared" ref="AZ113:AZ114" si="595">F113-AR113-AT113-AV113-AX113</f>
        <v>0</v>
      </c>
      <c r="BA113" s="81"/>
      <c r="BB113" s="84">
        <f t="shared" ref="BB113:BB114" si="596">F113-AR113-AT113-AV113-AX113-AZ113</f>
        <v>0</v>
      </c>
      <c r="BC113" s="85"/>
      <c r="BD113" s="84">
        <f t="shared" ref="BD113:BD114" si="597">F113-AR113-AT113-AV113-AX113-AZ113-BB113</f>
        <v>0</v>
      </c>
      <c r="BE113" s="85"/>
      <c r="BF113" s="84">
        <f t="shared" ref="BF113:BF115" si="598">F113-AR113-AT113-AV113-AX113-AZ113-BB113-BD113</f>
        <v>0</v>
      </c>
      <c r="BG113" s="85"/>
      <c r="BH113" s="84">
        <f t="shared" ref="BH113:BH115" si="599">F113-AR113-AT113-AV113-AX113-AZ113-BB113-BD113-BF113</f>
        <v>0</v>
      </c>
      <c r="BI113" s="85"/>
      <c r="BJ113" s="84">
        <f t="shared" ref="BJ113:BJ115" si="600">F113-AR113-AT113-AV113-AX113-AZ113-BB113-BD113-BF113-BH113</f>
        <v>0</v>
      </c>
      <c r="BK113" s="85"/>
      <c r="BL113" s="84">
        <f t="shared" ref="BL113:BL115" si="601">F113-AR113-AT113-AV113-AX113-AZ113-BB113-BD113-BF113-BH113-BJ113</f>
        <v>0</v>
      </c>
      <c r="BM113" s="85"/>
      <c r="BN113" s="84">
        <f t="shared" ref="BN113:BN115" si="602">F113-AR113-AT113-AV113-AX113-AZ113-BB113-BD113-BF113-BH113-BJ113-BL113</f>
        <v>0</v>
      </c>
      <c r="BO113" s="81"/>
      <c r="BP113" s="214">
        <f t="shared" ref="BP113:BP115" si="603">F113-AR113-AT113-AV113-AX113-AZ113-BB113-BD113-BF113-BH113-BJ113-BL113-BN113</f>
        <v>0</v>
      </c>
    </row>
    <row r="114" spans="1:68" ht="13.9" x14ac:dyDescent="0.4">
      <c r="A114" s="427"/>
      <c r="B114" s="393" t="s">
        <v>856</v>
      </c>
      <c r="C114" s="180"/>
      <c r="D114" s="83">
        <v>2118.44</v>
      </c>
      <c r="E114" s="142"/>
      <c r="F114" s="304">
        <f>D114</f>
        <v>2118.44</v>
      </c>
      <c r="G114" s="289"/>
      <c r="H114" s="363">
        <f t="shared" si="585"/>
        <v>0</v>
      </c>
      <c r="I114" s="287"/>
      <c r="J114" s="313">
        <f t="shared" si="586"/>
        <v>0</v>
      </c>
      <c r="K114" s="287"/>
      <c r="L114" s="288">
        <f t="shared" si="587"/>
        <v>0</v>
      </c>
      <c r="M114" s="289"/>
      <c r="N114" s="288">
        <f>M114/F114</f>
        <v>0</v>
      </c>
      <c r="O114" s="287"/>
      <c r="P114" s="290">
        <f>O114/F114</f>
        <v>0</v>
      </c>
      <c r="Q114" s="289">
        <v>2118.44</v>
      </c>
      <c r="R114" s="290">
        <f>Q114/F114</f>
        <v>1</v>
      </c>
      <c r="S114" s="287"/>
      <c r="T114" s="290">
        <f>S114/F114</f>
        <v>0</v>
      </c>
      <c r="U114" s="287"/>
      <c r="V114" s="290">
        <f>U114/F114</f>
        <v>0</v>
      </c>
      <c r="W114" s="289"/>
      <c r="X114" s="290">
        <f>W114/F114</f>
        <v>0</v>
      </c>
      <c r="Y114" s="287"/>
      <c r="Z114" s="290">
        <f>Y114/F114</f>
        <v>0</v>
      </c>
      <c r="AA114" s="289"/>
      <c r="AB114" s="290">
        <f>AA114/F114</f>
        <v>0</v>
      </c>
      <c r="AC114" s="287"/>
      <c r="AD114" s="290">
        <f>AC114/F114</f>
        <v>0</v>
      </c>
      <c r="AE114" s="289"/>
      <c r="AF114" s="290">
        <f>AE114/F114</f>
        <v>0</v>
      </c>
      <c r="AG114" s="287"/>
      <c r="AH114" s="290">
        <f>AG114/F114</f>
        <v>0</v>
      </c>
      <c r="AI114" s="289"/>
      <c r="AJ114" s="290">
        <f>AI114/F114</f>
        <v>0</v>
      </c>
      <c r="AK114" s="289"/>
      <c r="AL114" s="290">
        <f t="shared" si="588"/>
        <v>0</v>
      </c>
      <c r="AM114" s="289"/>
      <c r="AN114" s="290">
        <f t="shared" si="589"/>
        <v>0</v>
      </c>
      <c r="AO114" s="289"/>
      <c r="AP114" s="290">
        <f t="shared" si="590"/>
        <v>0</v>
      </c>
      <c r="AQ114" s="323">
        <f t="shared" si="591"/>
        <v>1</v>
      </c>
      <c r="AR114" s="81">
        <v>0</v>
      </c>
      <c r="AS114" s="81"/>
      <c r="AT114" s="230">
        <f t="shared" si="592"/>
        <v>2118.44</v>
      </c>
      <c r="AU114" s="231">
        <f>AT114</f>
        <v>2118.44</v>
      </c>
      <c r="AV114" s="84">
        <f t="shared" si="593"/>
        <v>0</v>
      </c>
      <c r="AW114" s="81"/>
      <c r="AX114" s="84">
        <f t="shared" si="594"/>
        <v>0</v>
      </c>
      <c r="AY114" s="85"/>
      <c r="AZ114" s="84">
        <f t="shared" si="595"/>
        <v>0</v>
      </c>
      <c r="BA114" s="81"/>
      <c r="BB114" s="84">
        <f t="shared" si="596"/>
        <v>0</v>
      </c>
      <c r="BC114" s="85"/>
      <c r="BD114" s="84">
        <f t="shared" si="597"/>
        <v>0</v>
      </c>
      <c r="BE114" s="85"/>
      <c r="BF114" s="84">
        <f t="shared" si="598"/>
        <v>0</v>
      </c>
      <c r="BG114" s="85"/>
      <c r="BH114" s="84">
        <f t="shared" si="599"/>
        <v>0</v>
      </c>
      <c r="BI114" s="85"/>
      <c r="BJ114" s="84">
        <f t="shared" si="600"/>
        <v>0</v>
      </c>
      <c r="BK114" s="85"/>
      <c r="BL114" s="84">
        <f t="shared" si="601"/>
        <v>0</v>
      </c>
      <c r="BM114" s="85"/>
      <c r="BN114" s="84">
        <f t="shared" si="602"/>
        <v>0</v>
      </c>
      <c r="BO114" s="81"/>
      <c r="BP114" s="214">
        <f t="shared" si="603"/>
        <v>0</v>
      </c>
    </row>
    <row r="115" spans="1:68" ht="13.9" x14ac:dyDescent="0.4">
      <c r="A115" s="427"/>
      <c r="B115" s="393" t="s">
        <v>846</v>
      </c>
      <c r="C115" s="180"/>
      <c r="D115" s="83">
        <v>10491.72</v>
      </c>
      <c r="E115" s="142"/>
      <c r="F115" s="304">
        <f>D115</f>
        <v>10491.72</v>
      </c>
      <c r="G115" s="289"/>
      <c r="H115" s="363">
        <f t="shared" si="585"/>
        <v>0</v>
      </c>
      <c r="I115" s="287"/>
      <c r="J115" s="313">
        <f t="shared" si="586"/>
        <v>0</v>
      </c>
      <c r="K115" s="287"/>
      <c r="L115" s="288">
        <f t="shared" si="587"/>
        <v>0</v>
      </c>
      <c r="M115" s="289"/>
      <c r="N115" s="288">
        <f>M115/F115</f>
        <v>0</v>
      </c>
      <c r="O115" s="287"/>
      <c r="P115" s="290">
        <f>O115/F115</f>
        <v>0</v>
      </c>
      <c r="Q115" s="289"/>
      <c r="R115" s="290">
        <f>Q115/F115</f>
        <v>0</v>
      </c>
      <c r="S115" s="287"/>
      <c r="T115" s="290">
        <f>S115/F115</f>
        <v>0</v>
      </c>
      <c r="U115" s="287"/>
      <c r="V115" s="290">
        <f>U115/F115</f>
        <v>0</v>
      </c>
      <c r="W115" s="289"/>
      <c r="X115" s="290">
        <f>W115/F115</f>
        <v>0</v>
      </c>
      <c r="Y115" s="287"/>
      <c r="Z115" s="290">
        <f>Y115/F115</f>
        <v>0</v>
      </c>
      <c r="AA115" s="289"/>
      <c r="AB115" s="290">
        <f>AA115/F115</f>
        <v>0</v>
      </c>
      <c r="AC115" s="287">
        <v>10492</v>
      </c>
      <c r="AD115" s="290">
        <f>AC115/F115</f>
        <v>1.0000266877118338</v>
      </c>
      <c r="AE115" s="289"/>
      <c r="AF115" s="290">
        <f>AE115/F115</f>
        <v>0</v>
      </c>
      <c r="AG115" s="287"/>
      <c r="AH115" s="290">
        <f>AG115/F115</f>
        <v>0</v>
      </c>
      <c r="AI115" s="289"/>
      <c r="AJ115" s="290">
        <f>AI115/F115</f>
        <v>0</v>
      </c>
      <c r="AK115" s="289"/>
      <c r="AL115" s="290">
        <f t="shared" si="588"/>
        <v>0</v>
      </c>
      <c r="AM115" s="289"/>
      <c r="AN115" s="290">
        <f t="shared" si="589"/>
        <v>0</v>
      </c>
      <c r="AO115" s="289"/>
      <c r="AP115" s="290">
        <f t="shared" si="590"/>
        <v>0</v>
      </c>
      <c r="AQ115" s="323">
        <f t="shared" si="591"/>
        <v>1.0000266877118338</v>
      </c>
      <c r="AR115" s="195">
        <v>874.31</v>
      </c>
      <c r="AS115" s="195">
        <f>AR115</f>
        <v>874.31</v>
      </c>
      <c r="AT115" s="230">
        <v>874.31</v>
      </c>
      <c r="AU115" s="231">
        <v>874.31</v>
      </c>
      <c r="AV115" s="230">
        <v>874.31</v>
      </c>
      <c r="AW115" s="195">
        <f>AV115</f>
        <v>874.31</v>
      </c>
      <c r="AX115" s="230">
        <v>874</v>
      </c>
      <c r="AY115" s="351">
        <v>874.31</v>
      </c>
      <c r="AZ115" s="230">
        <v>874</v>
      </c>
      <c r="BA115" s="195">
        <v>874</v>
      </c>
      <c r="BB115" s="230">
        <f>BC115</f>
        <v>874.31</v>
      </c>
      <c r="BC115" s="231">
        <v>874.31</v>
      </c>
      <c r="BD115" s="84">
        <v>874.31</v>
      </c>
      <c r="BE115" s="435">
        <v>874.31</v>
      </c>
      <c r="BF115" s="84">
        <f t="shared" si="598"/>
        <v>4372.1700000000019</v>
      </c>
      <c r="BG115" s="85"/>
      <c r="BH115" s="84">
        <f t="shared" si="599"/>
        <v>0</v>
      </c>
      <c r="BI115" s="85"/>
      <c r="BJ115" s="84">
        <f t="shared" si="600"/>
        <v>0</v>
      </c>
      <c r="BK115" s="85"/>
      <c r="BL115" s="84">
        <f t="shared" si="601"/>
        <v>0</v>
      </c>
      <c r="BM115" s="85"/>
      <c r="BN115" s="84">
        <f t="shared" si="602"/>
        <v>0</v>
      </c>
      <c r="BO115" s="81"/>
      <c r="BP115" s="214">
        <f t="shared" si="603"/>
        <v>0</v>
      </c>
    </row>
    <row r="116" spans="1:68" ht="13.9" x14ac:dyDescent="0.4">
      <c r="A116" s="430"/>
      <c r="B116" s="368" t="s">
        <v>672</v>
      </c>
      <c r="C116" s="369"/>
      <c r="D116" s="370"/>
      <c r="E116" s="371"/>
      <c r="F116" s="304"/>
      <c r="G116" s="289"/>
      <c r="H116" s="363" t="e">
        <f t="shared" si="34"/>
        <v>#DIV/0!</v>
      </c>
      <c r="I116" s="287"/>
      <c r="J116" s="313" t="e">
        <f t="shared" si="386"/>
        <v>#DIV/0!</v>
      </c>
      <c r="K116" s="287"/>
      <c r="L116" s="288" t="e">
        <f t="shared" si="387"/>
        <v>#DIV/0!</v>
      </c>
      <c r="M116" s="289"/>
      <c r="N116" s="288" t="e">
        <f t="shared" si="37"/>
        <v>#DIV/0!</v>
      </c>
      <c r="O116" s="287"/>
      <c r="P116" s="290" t="e">
        <f t="shared" si="38"/>
        <v>#DIV/0!</v>
      </c>
      <c r="Q116" s="289"/>
      <c r="R116" s="290" t="e">
        <f t="shared" si="39"/>
        <v>#DIV/0!</v>
      </c>
      <c r="S116" s="287"/>
      <c r="T116" s="290" t="e">
        <f t="shared" si="40"/>
        <v>#DIV/0!</v>
      </c>
      <c r="U116" s="287"/>
      <c r="V116" s="290" t="e">
        <f t="shared" si="41"/>
        <v>#DIV/0!</v>
      </c>
      <c r="W116" s="289"/>
      <c r="X116" s="290" t="e">
        <f t="shared" si="42"/>
        <v>#DIV/0!</v>
      </c>
      <c r="Y116" s="287"/>
      <c r="Z116" s="290" t="e">
        <f t="shared" si="43"/>
        <v>#DIV/0!</v>
      </c>
      <c r="AA116" s="289"/>
      <c r="AB116" s="290" t="e">
        <f t="shared" si="44"/>
        <v>#DIV/0!</v>
      </c>
      <c r="AC116" s="287"/>
      <c r="AD116" s="290" t="e">
        <f t="shared" si="45"/>
        <v>#DIV/0!</v>
      </c>
      <c r="AE116" s="289"/>
      <c r="AF116" s="290" t="e">
        <f t="shared" si="46"/>
        <v>#DIV/0!</v>
      </c>
      <c r="AG116" s="287"/>
      <c r="AH116" s="290" t="e">
        <f t="shared" si="47"/>
        <v>#DIV/0!</v>
      </c>
      <c r="AI116" s="289"/>
      <c r="AJ116" s="290" t="e">
        <f t="shared" si="48"/>
        <v>#DIV/0!</v>
      </c>
      <c r="AK116" s="289"/>
      <c r="AL116" s="290" t="e">
        <f t="shared" si="111"/>
        <v>#DIV/0!</v>
      </c>
      <c r="AM116" s="289"/>
      <c r="AN116" s="290" t="e">
        <f t="shared" si="266"/>
        <v>#DIV/0!</v>
      </c>
      <c r="AO116" s="289"/>
      <c r="AP116" s="290" t="e">
        <f t="shared" si="267"/>
        <v>#DIV/0!</v>
      </c>
      <c r="AQ116" s="323" t="e">
        <f t="shared" si="112"/>
        <v>#DIV/0!</v>
      </c>
      <c r="AR116" s="81">
        <f t="shared" si="496"/>
        <v>0</v>
      </c>
      <c r="AS116" s="81"/>
      <c r="AT116" s="84">
        <f t="shared" si="298"/>
        <v>0</v>
      </c>
      <c r="AU116" s="85"/>
      <c r="AV116" s="84">
        <f t="shared" si="280"/>
        <v>0</v>
      </c>
      <c r="AW116" s="81"/>
      <c r="AX116" s="84">
        <f t="shared" si="281"/>
        <v>0</v>
      </c>
      <c r="AY116" s="85"/>
      <c r="AZ116" s="84">
        <f t="shared" si="269"/>
        <v>0</v>
      </c>
      <c r="BA116" s="81"/>
      <c r="BB116" s="84">
        <f t="shared" si="270"/>
        <v>0</v>
      </c>
      <c r="BC116" s="85"/>
      <c r="BD116" s="84">
        <f t="shared" si="271"/>
        <v>0</v>
      </c>
      <c r="BF116" s="84">
        <f t="shared" si="272"/>
        <v>0</v>
      </c>
      <c r="BG116" s="85"/>
      <c r="BH116" s="84">
        <f t="shared" si="273"/>
        <v>0</v>
      </c>
      <c r="BI116" s="85"/>
      <c r="BJ116" s="84">
        <f t="shared" si="274"/>
        <v>0</v>
      </c>
      <c r="BK116" s="85"/>
      <c r="BL116" s="84">
        <f t="shared" si="275"/>
        <v>0</v>
      </c>
      <c r="BM116" s="85"/>
      <c r="BN116" s="84">
        <f t="shared" si="276"/>
        <v>0</v>
      </c>
      <c r="BO116" s="81"/>
      <c r="BP116" s="214">
        <f t="shared" si="277"/>
        <v>0</v>
      </c>
    </row>
    <row r="117" spans="1:68" ht="13.9" x14ac:dyDescent="0.4">
      <c r="B117" s="394" t="s">
        <v>870</v>
      </c>
      <c r="C117" s="180"/>
      <c r="D117" s="83">
        <f>16237.66+2261.49+10023+296.95</f>
        <v>28819.100000000002</v>
      </c>
      <c r="E117" s="142"/>
      <c r="F117" s="304">
        <f>D117</f>
        <v>28819.100000000002</v>
      </c>
      <c r="G117" s="289"/>
      <c r="H117" s="363">
        <f t="shared" si="34"/>
        <v>0</v>
      </c>
      <c r="I117" s="287"/>
      <c r="J117" s="313">
        <f t="shared" si="386"/>
        <v>0</v>
      </c>
      <c r="K117" s="287"/>
      <c r="L117" s="288">
        <f t="shared" si="387"/>
        <v>0</v>
      </c>
      <c r="M117" s="289"/>
      <c r="N117" s="288">
        <f>M117/F117</f>
        <v>0</v>
      </c>
      <c r="O117" s="287">
        <v>16237.66</v>
      </c>
      <c r="P117" s="290">
        <f>O117/F117</f>
        <v>0.56343397260844363</v>
      </c>
      <c r="Q117" s="289"/>
      <c r="R117" s="290">
        <f>Q117/F117</f>
        <v>0</v>
      </c>
      <c r="S117" s="287"/>
      <c r="T117" s="290">
        <f>S117/F117</f>
        <v>0</v>
      </c>
      <c r="U117" s="287">
        <f>2261.49+100.23</f>
        <v>2361.7199999999998</v>
      </c>
      <c r="V117" s="290">
        <f>U117/F117</f>
        <v>8.1949818002644073E-2</v>
      </c>
      <c r="W117" s="289">
        <v>10023</v>
      </c>
      <c r="X117" s="290">
        <f>W117/F117</f>
        <v>0.34779018081758278</v>
      </c>
      <c r="Y117" s="287"/>
      <c r="Z117" s="290">
        <f>Y117/F117</f>
        <v>0</v>
      </c>
      <c r="AA117" s="289"/>
      <c r="AB117" s="290">
        <f>AA117/F117</f>
        <v>0</v>
      </c>
      <c r="AC117" s="287">
        <v>296.95</v>
      </c>
      <c r="AD117" s="290">
        <f>AC117/F117</f>
        <v>1.0303930379505258E-2</v>
      </c>
      <c r="AE117" s="289"/>
      <c r="AF117" s="290">
        <f>AE117/F117</f>
        <v>0</v>
      </c>
      <c r="AG117" s="287"/>
      <c r="AH117" s="290">
        <f>AG117/F117</f>
        <v>0</v>
      </c>
      <c r="AI117" s="289"/>
      <c r="AJ117" s="290">
        <f>AI117/F117</f>
        <v>0</v>
      </c>
      <c r="AK117" s="289"/>
      <c r="AL117" s="290">
        <f t="shared" ref="AL117" si="604">AK117/F117</f>
        <v>0</v>
      </c>
      <c r="AM117" s="289"/>
      <c r="AN117" s="290">
        <f t="shared" ref="AN117" si="605">AM117/F117</f>
        <v>0</v>
      </c>
      <c r="AO117" s="289"/>
      <c r="AP117" s="290">
        <f t="shared" ref="AP117" si="606">AO117/F117</f>
        <v>0</v>
      </c>
      <c r="AQ117" s="323">
        <f t="shared" ref="AQ117" si="607">L117+N117+P117+R117+T117+V117+X117+Z117+AB117+AD117+H117+J117+AJ117+AF117+AH117+AN117+AP117+AL117</f>
        <v>1.0034779018081756</v>
      </c>
      <c r="AR117" s="81"/>
      <c r="AS117" s="81"/>
      <c r="AT117" s="84"/>
      <c r="AU117" s="85"/>
      <c r="AV117" s="84"/>
      <c r="AW117" s="81"/>
      <c r="AX117" s="84"/>
      <c r="AY117" s="85"/>
      <c r="AZ117" s="84">
        <v>0</v>
      </c>
      <c r="BA117" s="81"/>
      <c r="BB117" s="230">
        <f>BC117</f>
        <v>3805.8399999999997</v>
      </c>
      <c r="BC117" s="231">
        <f>3508.89+296.95</f>
        <v>3805.8399999999997</v>
      </c>
      <c r="BD117" s="84">
        <v>0</v>
      </c>
      <c r="BE117" s="85"/>
      <c r="BF117" s="84">
        <f t="shared" ref="BF117" si="608">F117-AR117-AT117-AV117-AX117-AZ117-BB117-BD117</f>
        <v>25013.260000000002</v>
      </c>
      <c r="BG117" s="85"/>
      <c r="BH117" s="84">
        <f t="shared" ref="BH117" si="609">F117-AR117-AT117-AV117-AX117-AZ117-BB117-BD117-BF117</f>
        <v>0</v>
      </c>
      <c r="BI117" s="85"/>
      <c r="BJ117" s="84">
        <f t="shared" ref="BJ117" si="610">F117-AR117-AT117-AV117-AX117-AZ117-BB117-BD117-BF117-BH117</f>
        <v>0</v>
      </c>
      <c r="BK117" s="85"/>
      <c r="BL117" s="84">
        <f t="shared" ref="BL117" si="611">F117-AR117-AT117-AV117-AX117-AZ117-BB117-BD117-BF117-BH117-BJ117</f>
        <v>0</v>
      </c>
      <c r="BM117" s="85"/>
      <c r="BN117" s="84">
        <f t="shared" ref="BN117" si="612">F117-AR117-AT117-AV117-AX117-AZ117-BB117-BD117-BF117-BH117-BJ117-BL117</f>
        <v>0</v>
      </c>
      <c r="BO117" s="81"/>
      <c r="BP117" s="214">
        <f t="shared" ref="BP117" si="613">F117-AR117-AT117-AV117-AX117-AZ117-BB117-BD117-BF117-BH117-BJ117-BL117-BN117</f>
        <v>0</v>
      </c>
    </row>
    <row r="118" spans="1:68" ht="13.9" x14ac:dyDescent="0.4">
      <c r="A118" s="427"/>
      <c r="B118" s="394" t="s">
        <v>836</v>
      </c>
      <c r="C118" s="180"/>
      <c r="D118" s="83">
        <f>14291.25+3152.02+11306.66</f>
        <v>28749.93</v>
      </c>
      <c r="E118" s="142">
        <f>D118</f>
        <v>28749.93</v>
      </c>
      <c r="F118" s="304"/>
      <c r="G118" s="289"/>
      <c r="H118" s="363" t="e">
        <f t="shared" si="34"/>
        <v>#DIV/0!</v>
      </c>
      <c r="I118" s="287"/>
      <c r="J118" s="313" t="e">
        <f t="shared" si="386"/>
        <v>#DIV/0!</v>
      </c>
      <c r="K118" s="287"/>
      <c r="L118" s="288" t="e">
        <f t="shared" si="387"/>
        <v>#DIV/0!</v>
      </c>
      <c r="M118" s="289"/>
      <c r="N118" s="288" t="e">
        <f>M118/F118</f>
        <v>#DIV/0!</v>
      </c>
      <c r="O118" s="287"/>
      <c r="P118" s="290" t="e">
        <f>O118/F118</f>
        <v>#DIV/0!</v>
      </c>
      <c r="Q118" s="289"/>
      <c r="R118" s="290" t="e">
        <f>Q118/F118</f>
        <v>#DIV/0!</v>
      </c>
      <c r="S118" s="287"/>
      <c r="T118" s="290" t="e">
        <f>S118/F118</f>
        <v>#DIV/0!</v>
      </c>
      <c r="U118" s="287"/>
      <c r="V118" s="290" t="e">
        <f>U118/F118</f>
        <v>#DIV/0!</v>
      </c>
      <c r="W118" s="289"/>
      <c r="X118" s="290" t="e">
        <f>W118/F118</f>
        <v>#DIV/0!</v>
      </c>
      <c r="Y118" s="287"/>
      <c r="Z118" s="290" t="e">
        <f>Y118/F118</f>
        <v>#DIV/0!</v>
      </c>
      <c r="AA118" s="289"/>
      <c r="AB118" s="290" t="e">
        <f>AA118/F118</f>
        <v>#DIV/0!</v>
      </c>
      <c r="AC118" s="287"/>
      <c r="AD118" s="290" t="e">
        <f>AC118/F118</f>
        <v>#DIV/0!</v>
      </c>
      <c r="AE118" s="289"/>
      <c r="AF118" s="290" t="e">
        <f>AE118/F118</f>
        <v>#DIV/0!</v>
      </c>
      <c r="AG118" s="287"/>
      <c r="AH118" s="290" t="e">
        <f>AG118/F118</f>
        <v>#DIV/0!</v>
      </c>
      <c r="AI118" s="289"/>
      <c r="AJ118" s="290" t="e">
        <f>AI118/F118</f>
        <v>#DIV/0!</v>
      </c>
      <c r="AK118" s="289"/>
      <c r="AL118" s="290" t="e">
        <f t="shared" ref="AL118" si="614">AK118/F118</f>
        <v>#DIV/0!</v>
      </c>
      <c r="AM118" s="289"/>
      <c r="AN118" s="290" t="e">
        <f t="shared" ref="AN118" si="615">AM118/F118</f>
        <v>#DIV/0!</v>
      </c>
      <c r="AO118" s="289"/>
      <c r="AP118" s="290" t="e">
        <f t="shared" ref="AP118" si="616">AO118/F118</f>
        <v>#DIV/0!</v>
      </c>
      <c r="AQ118" s="323" t="e">
        <f t="shared" ref="AQ118" si="617">L118+N118+P118+R118+T118+V118+X118+Z118+AB118+AD118+H118+J118+AJ118+AF118+AH118+AN118+AP118+AL118</f>
        <v>#DIV/0!</v>
      </c>
      <c r="AR118" s="81">
        <f t="shared" ref="AR118" si="618">+F118</f>
        <v>0</v>
      </c>
      <c r="AS118" s="81"/>
      <c r="AT118" s="84">
        <f t="shared" ref="AT118" si="619">F118-AR118</f>
        <v>0</v>
      </c>
      <c r="AU118" s="85"/>
      <c r="AV118" s="84">
        <f t="shared" ref="AV118" si="620">F118-AR118-AT118</f>
        <v>0</v>
      </c>
      <c r="AW118" s="81"/>
      <c r="AX118" s="84">
        <f t="shared" ref="AX118" si="621">F118-AR118-AT118-AV118</f>
        <v>0</v>
      </c>
      <c r="AY118" s="85"/>
      <c r="AZ118" s="84">
        <f t="shared" ref="AZ118" si="622">F118-AR118-AT118-AV118-AX118</f>
        <v>0</v>
      </c>
      <c r="BA118" s="81"/>
      <c r="BB118" s="84">
        <f t="shared" ref="BB118" si="623">F118-AR118-AT118-AV118-AX118-AZ118</f>
        <v>0</v>
      </c>
      <c r="BC118" s="85"/>
      <c r="BD118" s="84">
        <f t="shared" ref="BD118" si="624">F118-AR118-AT118-AV118-AX118-AZ118-BB118</f>
        <v>0</v>
      </c>
      <c r="BE118" s="85"/>
      <c r="BF118" s="84">
        <f t="shared" ref="BF118" si="625">F118-AR118-AT118-AV118-AX118-AZ118-BB118-BD118</f>
        <v>0</v>
      </c>
      <c r="BG118" s="85"/>
      <c r="BH118" s="84">
        <f t="shared" ref="BH118" si="626">F118-AR118-AT118-AV118-AX118-AZ118-BB118-BD118-BF118</f>
        <v>0</v>
      </c>
      <c r="BI118" s="85"/>
      <c r="BJ118" s="84">
        <f t="shared" ref="BJ118" si="627">F118-AR118-AT118-AV118-AX118-AZ118-BB118-BD118-BF118-BH118</f>
        <v>0</v>
      </c>
      <c r="BK118" s="85"/>
      <c r="BL118" s="84">
        <f t="shared" ref="BL118" si="628">F118-AR118-AT118-AV118-AX118-AZ118-BB118-BD118-BF118-BH118-BJ118</f>
        <v>0</v>
      </c>
      <c r="BM118" s="85"/>
      <c r="BN118" s="84">
        <f t="shared" ref="BN118" si="629">F118-AR118-AT118-AV118-AX118-AZ118-BB118-BD118-BF118-BH118-BJ118-BL118</f>
        <v>0</v>
      </c>
      <c r="BO118" s="81"/>
      <c r="BP118" s="214">
        <f t="shared" ref="BP118" si="630">F118-AR118-AT118-AV118-AX118-AZ118-BB118-BD118-BF118-BH118-BJ118-BL118-BN118</f>
        <v>0</v>
      </c>
    </row>
    <row r="119" spans="1:68" ht="13.9" x14ac:dyDescent="0.4">
      <c r="A119" s="427"/>
      <c r="B119" s="394" t="s">
        <v>819</v>
      </c>
      <c r="C119" s="180"/>
      <c r="D119" s="83">
        <v>7234</v>
      </c>
      <c r="E119" s="142">
        <f t="shared" ref="E119" si="631">D119</f>
        <v>7234</v>
      </c>
      <c r="F119" s="304"/>
      <c r="G119" s="289"/>
      <c r="H119" s="363" t="e">
        <f t="shared" ref="H119:H127" si="632">G119/F119</f>
        <v>#DIV/0!</v>
      </c>
      <c r="I119" s="287"/>
      <c r="J119" s="313" t="e">
        <f t="shared" ref="J119:J127" si="633">I119/F119</f>
        <v>#DIV/0!</v>
      </c>
      <c r="K119" s="287"/>
      <c r="L119" s="288" t="e">
        <f t="shared" ref="L119:L127" si="634">K119/F119</f>
        <v>#DIV/0!</v>
      </c>
      <c r="M119" s="289"/>
      <c r="N119" s="288" t="e">
        <f t="shared" ref="N119:N126" si="635">M119/F119</f>
        <v>#DIV/0!</v>
      </c>
      <c r="O119" s="287"/>
      <c r="P119" s="290" t="e">
        <f t="shared" ref="P119:P126" si="636">O119/F119</f>
        <v>#DIV/0!</v>
      </c>
      <c r="Q119" s="289"/>
      <c r="R119" s="290" t="e">
        <f t="shared" ref="R119:R126" si="637">Q119/F119</f>
        <v>#DIV/0!</v>
      </c>
      <c r="S119" s="287"/>
      <c r="T119" s="290" t="e">
        <f t="shared" ref="T119:T126" si="638">S119/F119</f>
        <v>#DIV/0!</v>
      </c>
      <c r="U119" s="287"/>
      <c r="V119" s="290" t="e">
        <f t="shared" ref="V119:V126" si="639">U119/F119</f>
        <v>#DIV/0!</v>
      </c>
      <c r="W119" s="289"/>
      <c r="X119" s="290" t="e">
        <f t="shared" ref="X119:X126" si="640">W119/F119</f>
        <v>#DIV/0!</v>
      </c>
      <c r="Y119" s="287"/>
      <c r="Z119" s="290" t="e">
        <f t="shared" ref="Z119:Z126" si="641">Y119/F119</f>
        <v>#DIV/0!</v>
      </c>
      <c r="AA119" s="289"/>
      <c r="AB119" s="290" t="e">
        <f t="shared" ref="AB119:AB126" si="642">AA119/F119</f>
        <v>#DIV/0!</v>
      </c>
      <c r="AC119" s="287"/>
      <c r="AD119" s="290" t="e">
        <f t="shared" ref="AD119:AD126" si="643">AC119/F119</f>
        <v>#DIV/0!</v>
      </c>
      <c r="AE119" s="289"/>
      <c r="AF119" s="290" t="e">
        <f t="shared" ref="AF119:AF126" si="644">AE119/F119</f>
        <v>#DIV/0!</v>
      </c>
      <c r="AG119" s="287"/>
      <c r="AH119" s="290" t="e">
        <f t="shared" ref="AH119:AH126" si="645">AG119/F119</f>
        <v>#DIV/0!</v>
      </c>
      <c r="AI119" s="289"/>
      <c r="AJ119" s="290" t="e">
        <f t="shared" ref="AJ119:AJ126" si="646">AI119/F119</f>
        <v>#DIV/0!</v>
      </c>
      <c r="AK119" s="289"/>
      <c r="AL119" s="290" t="e">
        <f t="shared" si="111"/>
        <v>#DIV/0!</v>
      </c>
      <c r="AM119" s="289"/>
      <c r="AN119" s="290" t="e">
        <f t="shared" si="266"/>
        <v>#DIV/0!</v>
      </c>
      <c r="AO119" s="289"/>
      <c r="AP119" s="290" t="e">
        <f t="shared" si="267"/>
        <v>#DIV/0!</v>
      </c>
      <c r="AQ119" s="323" t="e">
        <f t="shared" si="112"/>
        <v>#DIV/0!</v>
      </c>
      <c r="AR119" s="81">
        <f t="shared" si="496"/>
        <v>0</v>
      </c>
      <c r="AS119" s="81"/>
      <c r="AT119" s="84">
        <f t="shared" si="298"/>
        <v>0</v>
      </c>
      <c r="AU119" s="85"/>
      <c r="AV119" s="84">
        <f t="shared" si="280"/>
        <v>0</v>
      </c>
      <c r="AW119" s="81"/>
      <c r="AX119" s="84">
        <f t="shared" si="281"/>
        <v>0</v>
      </c>
      <c r="AY119" s="85"/>
      <c r="AZ119" s="84">
        <f t="shared" si="269"/>
        <v>0</v>
      </c>
      <c r="BA119" s="81"/>
      <c r="BB119" s="84">
        <f t="shared" si="270"/>
        <v>0</v>
      </c>
      <c r="BC119" s="85"/>
      <c r="BD119" s="84">
        <f t="shared" si="271"/>
        <v>0</v>
      </c>
      <c r="BE119" s="85"/>
      <c r="BF119" s="84">
        <f t="shared" si="272"/>
        <v>0</v>
      </c>
      <c r="BG119" s="85"/>
      <c r="BH119" s="84">
        <f t="shared" si="273"/>
        <v>0</v>
      </c>
      <c r="BI119" s="85"/>
      <c r="BJ119" s="84">
        <f t="shared" si="274"/>
        <v>0</v>
      </c>
      <c r="BK119" s="85"/>
      <c r="BL119" s="84">
        <f t="shared" si="275"/>
        <v>0</v>
      </c>
      <c r="BM119" s="85"/>
      <c r="BN119" s="84">
        <f t="shared" si="276"/>
        <v>0</v>
      </c>
      <c r="BO119" s="81"/>
      <c r="BP119" s="214">
        <f t="shared" si="277"/>
        <v>0</v>
      </c>
    </row>
    <row r="120" spans="1:68" ht="13.9" x14ac:dyDescent="0.4">
      <c r="A120" s="427"/>
      <c r="B120" s="394" t="s">
        <v>820</v>
      </c>
      <c r="C120" s="180"/>
      <c r="D120" s="83">
        <v>28867</v>
      </c>
      <c r="E120" s="142">
        <f>D120</f>
        <v>28867</v>
      </c>
      <c r="F120" s="304"/>
      <c r="G120" s="289"/>
      <c r="H120" s="363" t="e">
        <f t="shared" si="632"/>
        <v>#DIV/0!</v>
      </c>
      <c r="I120" s="287"/>
      <c r="J120" s="313" t="e">
        <f t="shared" si="633"/>
        <v>#DIV/0!</v>
      </c>
      <c r="K120" s="287"/>
      <c r="L120" s="288" t="e">
        <f t="shared" si="634"/>
        <v>#DIV/0!</v>
      </c>
      <c r="M120" s="289"/>
      <c r="N120" s="288" t="e">
        <f t="shared" si="635"/>
        <v>#DIV/0!</v>
      </c>
      <c r="O120" s="287"/>
      <c r="P120" s="290" t="e">
        <f t="shared" si="636"/>
        <v>#DIV/0!</v>
      </c>
      <c r="Q120" s="289"/>
      <c r="R120" s="290" t="e">
        <f t="shared" si="637"/>
        <v>#DIV/0!</v>
      </c>
      <c r="S120" s="287"/>
      <c r="T120" s="290" t="e">
        <f t="shared" si="638"/>
        <v>#DIV/0!</v>
      </c>
      <c r="U120" s="287"/>
      <c r="V120" s="290" t="e">
        <f t="shared" si="639"/>
        <v>#DIV/0!</v>
      </c>
      <c r="W120" s="289"/>
      <c r="X120" s="290" t="e">
        <f t="shared" si="640"/>
        <v>#DIV/0!</v>
      </c>
      <c r="Y120" s="287"/>
      <c r="Z120" s="290" t="e">
        <f t="shared" si="641"/>
        <v>#DIV/0!</v>
      </c>
      <c r="AA120" s="289"/>
      <c r="AB120" s="290" t="e">
        <f t="shared" si="642"/>
        <v>#DIV/0!</v>
      </c>
      <c r="AC120" s="287"/>
      <c r="AD120" s="290" t="e">
        <f t="shared" si="643"/>
        <v>#DIV/0!</v>
      </c>
      <c r="AE120" s="289"/>
      <c r="AF120" s="290" t="e">
        <f t="shared" si="644"/>
        <v>#DIV/0!</v>
      </c>
      <c r="AG120" s="287"/>
      <c r="AH120" s="290" t="e">
        <f t="shared" si="645"/>
        <v>#DIV/0!</v>
      </c>
      <c r="AI120" s="289"/>
      <c r="AJ120" s="290" t="e">
        <f t="shared" si="646"/>
        <v>#DIV/0!</v>
      </c>
      <c r="AK120" s="289"/>
      <c r="AL120" s="290" t="e">
        <f t="shared" si="111"/>
        <v>#DIV/0!</v>
      </c>
      <c r="AM120" s="289"/>
      <c r="AN120" s="290" t="e">
        <f t="shared" si="266"/>
        <v>#DIV/0!</v>
      </c>
      <c r="AO120" s="289"/>
      <c r="AP120" s="290" t="e">
        <f t="shared" si="267"/>
        <v>#DIV/0!</v>
      </c>
      <c r="AQ120" s="323" t="e">
        <f t="shared" si="112"/>
        <v>#DIV/0!</v>
      </c>
      <c r="AR120" s="81">
        <f t="shared" si="496"/>
        <v>0</v>
      </c>
      <c r="AS120" s="81"/>
      <c r="AT120" s="84">
        <f t="shared" si="298"/>
        <v>0</v>
      </c>
      <c r="AU120" s="85"/>
      <c r="AV120" s="84">
        <f t="shared" si="280"/>
        <v>0</v>
      </c>
      <c r="AW120" s="81"/>
      <c r="AX120" s="84">
        <f t="shared" si="281"/>
        <v>0</v>
      </c>
      <c r="AY120" s="85"/>
      <c r="AZ120" s="84">
        <f t="shared" si="269"/>
        <v>0</v>
      </c>
      <c r="BA120" s="81"/>
      <c r="BB120" s="84">
        <f t="shared" si="270"/>
        <v>0</v>
      </c>
      <c r="BC120" s="85"/>
      <c r="BD120" s="84">
        <f t="shared" si="271"/>
        <v>0</v>
      </c>
      <c r="BE120" s="85"/>
      <c r="BF120" s="84">
        <f t="shared" si="272"/>
        <v>0</v>
      </c>
      <c r="BG120" s="85"/>
      <c r="BH120" s="84">
        <f t="shared" si="273"/>
        <v>0</v>
      </c>
      <c r="BI120" s="85"/>
      <c r="BJ120" s="84">
        <f t="shared" si="274"/>
        <v>0</v>
      </c>
      <c r="BK120" s="85"/>
      <c r="BL120" s="84">
        <f t="shared" si="275"/>
        <v>0</v>
      </c>
      <c r="BM120" s="85"/>
      <c r="BN120" s="84">
        <f t="shared" si="276"/>
        <v>0</v>
      </c>
      <c r="BO120" s="81"/>
      <c r="BP120" s="214">
        <f t="shared" si="277"/>
        <v>0</v>
      </c>
    </row>
    <row r="121" spans="1:68" ht="13.9" x14ac:dyDescent="0.4">
      <c r="A121" s="427"/>
      <c r="B121" s="394" t="s">
        <v>777</v>
      </c>
      <c r="C121" s="180"/>
      <c r="D121" s="83">
        <v>92535</v>
      </c>
      <c r="E121" s="142">
        <f>D121</f>
        <v>92535</v>
      </c>
      <c r="F121" s="304"/>
      <c r="G121" s="289"/>
      <c r="H121" s="363" t="e">
        <f t="shared" si="632"/>
        <v>#DIV/0!</v>
      </c>
      <c r="I121" s="287"/>
      <c r="J121" s="313" t="e">
        <f t="shared" si="633"/>
        <v>#DIV/0!</v>
      </c>
      <c r="K121" s="287"/>
      <c r="L121" s="288" t="e">
        <f t="shared" si="634"/>
        <v>#DIV/0!</v>
      </c>
      <c r="M121" s="289"/>
      <c r="N121" s="288" t="e">
        <f t="shared" si="635"/>
        <v>#DIV/0!</v>
      </c>
      <c r="O121" s="287"/>
      <c r="P121" s="290" t="e">
        <f t="shared" si="636"/>
        <v>#DIV/0!</v>
      </c>
      <c r="Q121" s="289"/>
      <c r="R121" s="290" t="e">
        <f t="shared" si="637"/>
        <v>#DIV/0!</v>
      </c>
      <c r="S121" s="287"/>
      <c r="T121" s="290" t="e">
        <f t="shared" si="638"/>
        <v>#DIV/0!</v>
      </c>
      <c r="U121" s="287"/>
      <c r="V121" s="290" t="e">
        <f t="shared" si="639"/>
        <v>#DIV/0!</v>
      </c>
      <c r="W121" s="289"/>
      <c r="X121" s="290" t="e">
        <f t="shared" si="640"/>
        <v>#DIV/0!</v>
      </c>
      <c r="Y121" s="287"/>
      <c r="Z121" s="290" t="e">
        <f t="shared" si="641"/>
        <v>#DIV/0!</v>
      </c>
      <c r="AA121" s="289"/>
      <c r="AB121" s="290" t="e">
        <f t="shared" si="642"/>
        <v>#DIV/0!</v>
      </c>
      <c r="AC121" s="287"/>
      <c r="AD121" s="290" t="e">
        <f t="shared" si="643"/>
        <v>#DIV/0!</v>
      </c>
      <c r="AE121" s="289"/>
      <c r="AF121" s="290" t="e">
        <f t="shared" si="644"/>
        <v>#DIV/0!</v>
      </c>
      <c r="AG121" s="287"/>
      <c r="AH121" s="290" t="e">
        <f t="shared" si="645"/>
        <v>#DIV/0!</v>
      </c>
      <c r="AI121" s="289"/>
      <c r="AJ121" s="290" t="e">
        <f t="shared" si="646"/>
        <v>#DIV/0!</v>
      </c>
      <c r="AK121" s="289"/>
      <c r="AL121" s="290" t="e">
        <f t="shared" si="111"/>
        <v>#DIV/0!</v>
      </c>
      <c r="AM121" s="289"/>
      <c r="AN121" s="290" t="e">
        <f t="shared" si="266"/>
        <v>#DIV/0!</v>
      </c>
      <c r="AO121" s="289"/>
      <c r="AP121" s="290" t="e">
        <f t="shared" si="267"/>
        <v>#DIV/0!</v>
      </c>
      <c r="AQ121" s="323" t="e">
        <f t="shared" si="112"/>
        <v>#DIV/0!</v>
      </c>
      <c r="AR121" s="81">
        <f t="shared" si="496"/>
        <v>0</v>
      </c>
      <c r="AS121" s="81"/>
      <c r="AT121" s="84">
        <f t="shared" si="298"/>
        <v>0</v>
      </c>
      <c r="AU121" s="85"/>
      <c r="AV121" s="84">
        <f t="shared" si="280"/>
        <v>0</v>
      </c>
      <c r="AW121" s="81"/>
      <c r="AX121" s="84">
        <f t="shared" si="281"/>
        <v>0</v>
      </c>
      <c r="AY121" s="85"/>
      <c r="AZ121" s="84">
        <f t="shared" si="269"/>
        <v>0</v>
      </c>
      <c r="BA121" s="81"/>
      <c r="BB121" s="84">
        <f t="shared" si="270"/>
        <v>0</v>
      </c>
      <c r="BC121" s="85"/>
      <c r="BD121" s="84">
        <f t="shared" si="271"/>
        <v>0</v>
      </c>
      <c r="BE121" s="85"/>
      <c r="BF121" s="84">
        <f t="shared" si="272"/>
        <v>0</v>
      </c>
      <c r="BG121" s="85"/>
      <c r="BH121" s="84">
        <f t="shared" si="273"/>
        <v>0</v>
      </c>
      <c r="BI121" s="85"/>
      <c r="BJ121" s="84">
        <f t="shared" si="274"/>
        <v>0</v>
      </c>
      <c r="BK121" s="85"/>
      <c r="BL121" s="84">
        <f t="shared" si="275"/>
        <v>0</v>
      </c>
      <c r="BM121" s="85"/>
      <c r="BN121" s="84">
        <f t="shared" si="276"/>
        <v>0</v>
      </c>
      <c r="BO121" s="81"/>
      <c r="BP121" s="214">
        <f t="shared" si="277"/>
        <v>0</v>
      </c>
    </row>
    <row r="122" spans="1:68" ht="13.9" x14ac:dyDescent="0.4">
      <c r="A122" s="427"/>
      <c r="B122" s="394" t="s">
        <v>802</v>
      </c>
      <c r="C122" s="180"/>
      <c r="D122" s="83">
        <v>15459</v>
      </c>
      <c r="E122" s="105"/>
      <c r="F122" s="304">
        <f t="shared" ref="F122:F127" si="647">D122</f>
        <v>15459</v>
      </c>
      <c r="G122" s="289"/>
      <c r="H122" s="363">
        <f t="shared" si="632"/>
        <v>0</v>
      </c>
      <c r="I122" s="287"/>
      <c r="J122" s="313">
        <f t="shared" si="633"/>
        <v>0</v>
      </c>
      <c r="K122" s="287"/>
      <c r="L122" s="288">
        <f t="shared" si="634"/>
        <v>0</v>
      </c>
      <c r="M122" s="289"/>
      <c r="N122" s="288">
        <f t="shared" si="635"/>
        <v>0</v>
      </c>
      <c r="O122" s="287"/>
      <c r="P122" s="290">
        <f t="shared" si="636"/>
        <v>0</v>
      </c>
      <c r="Q122" s="289"/>
      <c r="R122" s="290">
        <f t="shared" si="637"/>
        <v>0</v>
      </c>
      <c r="S122" s="287"/>
      <c r="T122" s="290">
        <f t="shared" si="638"/>
        <v>0</v>
      </c>
      <c r="U122" s="287"/>
      <c r="V122" s="290">
        <f t="shared" si="639"/>
        <v>0</v>
      </c>
      <c r="W122" s="289"/>
      <c r="X122" s="290">
        <f t="shared" si="640"/>
        <v>0</v>
      </c>
      <c r="Y122" s="287"/>
      <c r="Z122" s="290">
        <f t="shared" si="641"/>
        <v>0</v>
      </c>
      <c r="AA122" s="289"/>
      <c r="AB122" s="290">
        <f t="shared" si="642"/>
        <v>0</v>
      </c>
      <c r="AC122" s="287"/>
      <c r="AD122" s="290">
        <f t="shared" si="643"/>
        <v>0</v>
      </c>
      <c r="AE122" s="289"/>
      <c r="AF122" s="290">
        <f t="shared" si="644"/>
        <v>0</v>
      </c>
      <c r="AG122" s="287"/>
      <c r="AH122" s="290">
        <f t="shared" si="645"/>
        <v>0</v>
      </c>
      <c r="AI122" s="289"/>
      <c r="AJ122" s="290">
        <f t="shared" si="646"/>
        <v>0</v>
      </c>
      <c r="AK122" s="289"/>
      <c r="AL122" s="290">
        <f t="shared" si="111"/>
        <v>0</v>
      </c>
      <c r="AM122" s="289"/>
      <c r="AN122" s="290">
        <f t="shared" si="266"/>
        <v>0</v>
      </c>
      <c r="AO122" s="289"/>
      <c r="AP122" s="290">
        <f t="shared" si="267"/>
        <v>0</v>
      </c>
      <c r="AQ122" s="323">
        <f t="shared" si="112"/>
        <v>0</v>
      </c>
      <c r="AR122" s="81">
        <v>0</v>
      </c>
      <c r="AS122" s="81"/>
      <c r="AT122" s="84">
        <v>0</v>
      </c>
      <c r="AU122" s="85"/>
      <c r="AV122" s="230">
        <f>F122-AR122-AT122</f>
        <v>15459</v>
      </c>
      <c r="AW122" s="195">
        <f>AV122</f>
        <v>15459</v>
      </c>
      <c r="AX122" s="84">
        <f t="shared" si="281"/>
        <v>0</v>
      </c>
      <c r="AY122" s="85"/>
      <c r="AZ122" s="84">
        <f t="shared" si="269"/>
        <v>0</v>
      </c>
      <c r="BA122" s="81"/>
      <c r="BB122" s="84">
        <f t="shared" si="270"/>
        <v>0</v>
      </c>
      <c r="BC122" s="85"/>
      <c r="BD122" s="84">
        <f t="shared" si="271"/>
        <v>0</v>
      </c>
      <c r="BE122" s="85"/>
      <c r="BF122" s="84">
        <f t="shared" si="272"/>
        <v>0</v>
      </c>
      <c r="BG122" s="85"/>
      <c r="BH122" s="84">
        <f t="shared" si="273"/>
        <v>0</v>
      </c>
      <c r="BI122" s="85"/>
      <c r="BJ122" s="84">
        <f t="shared" si="274"/>
        <v>0</v>
      </c>
      <c r="BK122" s="85"/>
      <c r="BL122" s="84">
        <f t="shared" si="275"/>
        <v>0</v>
      </c>
      <c r="BM122" s="85"/>
      <c r="BN122" s="84">
        <f t="shared" si="276"/>
        <v>0</v>
      </c>
      <c r="BO122" s="81"/>
      <c r="BP122" s="214">
        <f t="shared" si="277"/>
        <v>0</v>
      </c>
    </row>
    <row r="123" spans="1:68" ht="13.9" x14ac:dyDescent="0.4">
      <c r="A123" s="427"/>
      <c r="B123" s="394" t="s">
        <v>837</v>
      </c>
      <c r="C123" s="180"/>
      <c r="D123" s="83">
        <f>3114.6+6565.19+4874.98+10032.76+102.32</f>
        <v>24689.85</v>
      </c>
      <c r="E123" s="142"/>
      <c r="F123" s="304">
        <f t="shared" si="647"/>
        <v>24689.85</v>
      </c>
      <c r="G123" s="289"/>
      <c r="H123" s="363">
        <f t="shared" si="632"/>
        <v>0</v>
      </c>
      <c r="I123" s="287"/>
      <c r="J123" s="313">
        <f t="shared" si="633"/>
        <v>0</v>
      </c>
      <c r="K123" s="287"/>
      <c r="L123" s="288">
        <f t="shared" si="634"/>
        <v>0</v>
      </c>
      <c r="M123" s="289"/>
      <c r="N123" s="288">
        <f>M123/F123</f>
        <v>0</v>
      </c>
      <c r="O123" s="287">
        <v>695.25</v>
      </c>
      <c r="P123" s="290">
        <f>O123/F123</f>
        <v>2.8159344831985615E-2</v>
      </c>
      <c r="Q123" s="289"/>
      <c r="R123" s="290">
        <f>Q123/F123</f>
        <v>0</v>
      </c>
      <c r="S123" s="287"/>
      <c r="T123" s="290">
        <f>S123/F123</f>
        <v>0</v>
      </c>
      <c r="U123" s="287">
        <f>6565.19+10032.76</f>
        <v>16597.95</v>
      </c>
      <c r="V123" s="290">
        <f>U123/F123</f>
        <v>0.67225803315937527</v>
      </c>
      <c r="W123" s="289">
        <f>3083.26+4129.29+50.34</f>
        <v>7262.89</v>
      </c>
      <c r="X123" s="290">
        <f>W123/F123</f>
        <v>0.29416501112805465</v>
      </c>
      <c r="Y123" s="287"/>
      <c r="Z123" s="290">
        <f>Y123/F123</f>
        <v>0</v>
      </c>
      <c r="AA123" s="289">
        <v>102.32</v>
      </c>
      <c r="AB123" s="290">
        <f>AA123/F123</f>
        <v>4.1442131078155602E-3</v>
      </c>
      <c r="AC123" s="287"/>
      <c r="AD123" s="290">
        <f>AC123/F123</f>
        <v>0</v>
      </c>
      <c r="AE123" s="289"/>
      <c r="AF123" s="290">
        <f>AE123/F123</f>
        <v>0</v>
      </c>
      <c r="AG123" s="287">
        <v>31.34</v>
      </c>
      <c r="AH123" s="290">
        <f>AG123/F123</f>
        <v>1.2693475254001139E-3</v>
      </c>
      <c r="AI123" s="289"/>
      <c r="AJ123" s="290">
        <f>AI123/F123</f>
        <v>0</v>
      </c>
      <c r="AK123" s="289"/>
      <c r="AL123" s="290">
        <f t="shared" ref="AL123" si="648">AK123/F123</f>
        <v>0</v>
      </c>
      <c r="AM123" s="289"/>
      <c r="AN123" s="290">
        <f t="shared" ref="AN123" si="649">AM123/F123</f>
        <v>0</v>
      </c>
      <c r="AO123" s="289"/>
      <c r="AP123" s="290">
        <f t="shared" ref="AP123" si="650">AO123/F123</f>
        <v>0</v>
      </c>
      <c r="AQ123" s="323">
        <f t="shared" ref="AQ123" si="651">L123+N123+P123+R123+T123+V123+X123+Z123+AB123+AD123+H123+J123+AJ123+AF123+AH123+AN123+AP123+AL123</f>
        <v>0.99999594975263106</v>
      </c>
      <c r="AR123" s="81">
        <v>0</v>
      </c>
      <c r="AS123" s="81"/>
      <c r="AT123" s="84">
        <v>0</v>
      </c>
      <c r="AU123" s="85"/>
      <c r="AV123" s="230">
        <v>4550.08</v>
      </c>
      <c r="AW123" s="195">
        <f>AV123</f>
        <v>4550.08</v>
      </c>
      <c r="AX123" s="230">
        <f>AY123</f>
        <v>17559.52</v>
      </c>
      <c r="AY123" s="231">
        <f>102.32+2015.11+2491.67+8806.71+4143.71</f>
        <v>17559.52</v>
      </c>
      <c r="AZ123" s="230">
        <f t="shared" ref="AZ123" si="652">F123-AR123-AT123-AV123-AX123</f>
        <v>2580.2499999999964</v>
      </c>
      <c r="BA123" s="195">
        <f>622.93+1226.05+731.27</f>
        <v>2580.25</v>
      </c>
      <c r="BB123" s="84">
        <f t="shared" ref="BB123" si="653">F123-AR123-AT123-AV123-AX123-AZ123</f>
        <v>0</v>
      </c>
      <c r="BC123" s="85"/>
      <c r="BD123" s="84">
        <f t="shared" ref="BD123" si="654">F123-AR123-AT123-AV123-AX123-AZ123-BB123</f>
        <v>0</v>
      </c>
      <c r="BE123" s="85"/>
      <c r="BF123" s="84">
        <f t="shared" ref="BF123" si="655">F123-AR123-AT123-AV123-AX123-AZ123-BB123-BD123</f>
        <v>0</v>
      </c>
      <c r="BG123" s="85"/>
      <c r="BH123" s="84">
        <f t="shared" ref="BH123" si="656">F123-AR123-AT123-AV123-AX123-AZ123-BB123-BD123-BF123</f>
        <v>0</v>
      </c>
      <c r="BI123" s="85"/>
      <c r="BJ123" s="84">
        <f t="shared" ref="BJ123" si="657">F123-AR123-AT123-AV123-AX123-AZ123-BB123-BD123-BF123-BH123</f>
        <v>0</v>
      </c>
      <c r="BK123" s="85"/>
      <c r="BL123" s="84">
        <f t="shared" ref="BL123" si="658">F123-AR123-AT123-AV123-AX123-AZ123-BB123-BD123-BF123-BH123-BJ123</f>
        <v>0</v>
      </c>
      <c r="BM123" s="85"/>
      <c r="BN123" s="84">
        <f t="shared" ref="BN123" si="659">F123-AR123-AT123-AV123-AX123-AZ123-BB123-BD123-BF123-BH123-BJ123-BL123</f>
        <v>0</v>
      </c>
      <c r="BO123" s="81"/>
      <c r="BP123" s="214">
        <f t="shared" ref="BP123" si="660">F123-AR123-AT123-AV123-AX123-AZ123-BB123-BD123-BF123-BH123-BJ123-BL123-BN123</f>
        <v>0</v>
      </c>
    </row>
    <row r="124" spans="1:68" ht="13.9" x14ac:dyDescent="0.4">
      <c r="A124" s="427"/>
      <c r="B124" s="394" t="s">
        <v>826</v>
      </c>
      <c r="C124" s="180"/>
      <c r="D124" s="83">
        <v>16160</v>
      </c>
      <c r="E124" s="107"/>
      <c r="F124" s="304">
        <f t="shared" si="647"/>
        <v>16160</v>
      </c>
      <c r="G124" s="289"/>
      <c r="H124" s="363">
        <f t="shared" si="632"/>
        <v>0</v>
      </c>
      <c r="I124" s="287"/>
      <c r="J124" s="313">
        <f t="shared" si="633"/>
        <v>0</v>
      </c>
      <c r="K124" s="287"/>
      <c r="L124" s="288">
        <f t="shared" si="634"/>
        <v>0</v>
      </c>
      <c r="M124" s="289"/>
      <c r="N124" s="288">
        <f>M124/F124</f>
        <v>0</v>
      </c>
      <c r="O124" s="287"/>
      <c r="P124" s="290">
        <f>O124/F124</f>
        <v>0</v>
      </c>
      <c r="Q124" s="289"/>
      <c r="R124" s="290">
        <f>Q124/F124</f>
        <v>0</v>
      </c>
      <c r="S124" s="287"/>
      <c r="T124" s="290">
        <f>S124/F124</f>
        <v>0</v>
      </c>
      <c r="U124" s="287"/>
      <c r="V124" s="290">
        <f>U124/F124</f>
        <v>0</v>
      </c>
      <c r="W124" s="289"/>
      <c r="X124" s="290">
        <f>W124/F124</f>
        <v>0</v>
      </c>
      <c r="Y124" s="287"/>
      <c r="Z124" s="290">
        <f>Y124/F124</f>
        <v>0</v>
      </c>
      <c r="AA124" s="289"/>
      <c r="AB124" s="290">
        <f>AA124/F124</f>
        <v>0</v>
      </c>
      <c r="AC124" s="287"/>
      <c r="AD124" s="290">
        <f>AC124/F124</f>
        <v>0</v>
      </c>
      <c r="AE124" s="289"/>
      <c r="AF124" s="290">
        <f>AE124/F124</f>
        <v>0</v>
      </c>
      <c r="AG124" s="287"/>
      <c r="AH124" s="290">
        <f>AG124/F124</f>
        <v>0</v>
      </c>
      <c r="AI124" s="289"/>
      <c r="AJ124" s="290">
        <f>AI124/F124</f>
        <v>0</v>
      </c>
      <c r="AK124" s="289"/>
      <c r="AL124" s="290">
        <f t="shared" si="111"/>
        <v>0</v>
      </c>
      <c r="AM124" s="289"/>
      <c r="AN124" s="290">
        <f t="shared" si="266"/>
        <v>0</v>
      </c>
      <c r="AO124" s="289"/>
      <c r="AP124" s="290">
        <f t="shared" si="267"/>
        <v>0</v>
      </c>
      <c r="AQ124" s="323">
        <f t="shared" si="112"/>
        <v>0</v>
      </c>
      <c r="AR124" s="81">
        <v>0</v>
      </c>
      <c r="AS124" s="81"/>
      <c r="AT124" s="84">
        <v>0</v>
      </c>
      <c r="AU124" s="85"/>
      <c r="AV124" s="230">
        <v>4128.79</v>
      </c>
      <c r="AW124" s="195">
        <f>AV124</f>
        <v>4128.79</v>
      </c>
      <c r="AX124" s="230">
        <f>AY124</f>
        <v>10526.82</v>
      </c>
      <c r="AY124" s="231">
        <v>10526.82</v>
      </c>
      <c r="AZ124" s="230">
        <f t="shared" si="269"/>
        <v>1504.3899999999994</v>
      </c>
      <c r="BA124" s="195">
        <v>1504.93</v>
      </c>
      <c r="BB124" s="84">
        <f t="shared" si="270"/>
        <v>0</v>
      </c>
      <c r="BC124" s="85"/>
      <c r="BD124" s="84">
        <f t="shared" si="271"/>
        <v>0</v>
      </c>
      <c r="BE124" s="85"/>
      <c r="BF124" s="84">
        <f t="shared" si="272"/>
        <v>0</v>
      </c>
      <c r="BG124" s="85"/>
      <c r="BH124" s="84">
        <f t="shared" si="273"/>
        <v>0</v>
      </c>
      <c r="BI124" s="85"/>
      <c r="BJ124" s="84">
        <f t="shared" si="274"/>
        <v>0</v>
      </c>
      <c r="BK124" s="85"/>
      <c r="BL124" s="84">
        <f t="shared" si="275"/>
        <v>0</v>
      </c>
      <c r="BM124" s="85"/>
      <c r="BN124" s="84">
        <f t="shared" si="276"/>
        <v>0</v>
      </c>
      <c r="BO124" s="81"/>
      <c r="BP124" s="214">
        <f t="shared" si="277"/>
        <v>0</v>
      </c>
    </row>
    <row r="125" spans="1:68" ht="13.9" x14ac:dyDescent="0.4">
      <c r="A125" s="427"/>
      <c r="B125" s="394" t="s">
        <v>680</v>
      </c>
      <c r="C125" s="180"/>
      <c r="D125" s="49">
        <f>2529.94+11630.5+4630.61</f>
        <v>18791.05</v>
      </c>
      <c r="E125" s="142"/>
      <c r="F125" s="304">
        <f t="shared" si="647"/>
        <v>18791.05</v>
      </c>
      <c r="G125" s="289"/>
      <c r="H125" s="363">
        <f t="shared" si="632"/>
        <v>0</v>
      </c>
      <c r="I125" s="287"/>
      <c r="J125" s="313">
        <f t="shared" si="633"/>
        <v>0</v>
      </c>
      <c r="K125" s="287"/>
      <c r="L125" s="288">
        <f t="shared" si="634"/>
        <v>0</v>
      </c>
      <c r="M125" s="289"/>
      <c r="N125" s="288">
        <f>M125/F125</f>
        <v>0</v>
      </c>
      <c r="O125" s="287"/>
      <c r="P125" s="290">
        <f>O125/F125</f>
        <v>0</v>
      </c>
      <c r="Q125" s="289"/>
      <c r="R125" s="290">
        <f>Q125/F125</f>
        <v>0</v>
      </c>
      <c r="S125" s="287"/>
      <c r="T125" s="290">
        <f>S125/F125</f>
        <v>0</v>
      </c>
      <c r="U125" s="287"/>
      <c r="V125" s="290">
        <f>U125/F125</f>
        <v>0</v>
      </c>
      <c r="W125" s="289"/>
      <c r="X125" s="290">
        <f>W125/F125</f>
        <v>0</v>
      </c>
      <c r="Y125" s="287"/>
      <c r="Z125" s="290">
        <f>Y125/F125</f>
        <v>0</v>
      </c>
      <c r="AA125" s="289"/>
      <c r="AB125" s="290">
        <f>AA125/F125</f>
        <v>0</v>
      </c>
      <c r="AC125" s="287"/>
      <c r="AD125" s="290">
        <f>AC125/F125</f>
        <v>0</v>
      </c>
      <c r="AE125" s="289"/>
      <c r="AF125" s="290">
        <f>AE125/F125</f>
        <v>0</v>
      </c>
      <c r="AG125" s="287"/>
      <c r="AH125" s="290">
        <f>AG125/F125</f>
        <v>0</v>
      </c>
      <c r="AI125" s="289"/>
      <c r="AJ125" s="290">
        <f>AI125/F125</f>
        <v>0</v>
      </c>
      <c r="AK125" s="289"/>
      <c r="AL125" s="290">
        <f t="shared" ref="AL125" si="661">AK125/F125</f>
        <v>0</v>
      </c>
      <c r="AM125" s="289"/>
      <c r="AN125" s="290">
        <f t="shared" ref="AN125" si="662">AM125/F125</f>
        <v>0</v>
      </c>
      <c r="AO125" s="289"/>
      <c r="AP125" s="290">
        <f t="shared" ref="AP125" si="663">AO125/F125</f>
        <v>0</v>
      </c>
      <c r="AQ125" s="323">
        <f t="shared" ref="AQ125" si="664">L125+N125+P125+R125+T125+V125+X125+Z125+AB125+AD125+H125+J125+AJ125+AF125+AH125+AN125+AP125+AL125</f>
        <v>0</v>
      </c>
      <c r="AR125" s="196">
        <f>AS125</f>
        <v>14160.44</v>
      </c>
      <c r="AS125" s="196">
        <f>2529.94+11630.5</f>
        <v>14160.44</v>
      </c>
      <c r="AT125" s="84">
        <v>0</v>
      </c>
      <c r="AU125" s="85"/>
      <c r="AV125" s="84">
        <v>0</v>
      </c>
      <c r="AW125" s="81"/>
      <c r="AX125" s="84">
        <v>0</v>
      </c>
      <c r="AY125" s="85"/>
      <c r="AZ125" s="84">
        <v>0</v>
      </c>
      <c r="BA125" s="81"/>
      <c r="BB125" s="84">
        <v>0</v>
      </c>
      <c r="BC125" s="85"/>
      <c r="BD125" s="84">
        <f t="shared" ref="BD125" si="665">F125-AR125-AT125-AV125-AX125-AZ125-BB125</f>
        <v>4630.6099999999988</v>
      </c>
      <c r="BE125" s="435">
        <v>4630.6099999999997</v>
      </c>
      <c r="BF125" s="84">
        <f t="shared" ref="BF125" si="666">F125-AR125-AT125-AV125-AX125-AZ125-BB125-BD125</f>
        <v>0</v>
      </c>
      <c r="BG125" s="85"/>
      <c r="BH125" s="84">
        <f t="shared" ref="BH125" si="667">F125-AR125-AT125-AV125-AX125-AZ125-BB125-BD125-BF125</f>
        <v>0</v>
      </c>
      <c r="BI125" s="85"/>
      <c r="BJ125" s="84">
        <f t="shared" ref="BJ125" si="668">F125-AR125-AT125-AV125-AX125-AZ125-BB125-BD125-BF125-BH125</f>
        <v>0</v>
      </c>
      <c r="BK125" s="85"/>
      <c r="BL125" s="84">
        <f t="shared" ref="BL125" si="669">F125-AR125-AT125-AV125-AX125-AZ125-BB125-BD125-BF125-BH125-BJ125</f>
        <v>0</v>
      </c>
      <c r="BM125" s="85"/>
      <c r="BN125" s="84">
        <f t="shared" ref="BN125" si="670">F125-AR125-AT125-AV125-AX125-AZ125-BB125-BD125-BF125-BH125-BJ125-BL125</f>
        <v>0</v>
      </c>
      <c r="BO125" s="81"/>
      <c r="BP125" s="214">
        <f t="shared" ref="BP125" si="671">F125-AR125-AT125-AV125-AX125-AZ125-BB125-BD125-BF125-BH125-BJ125-BL125-BN125</f>
        <v>0</v>
      </c>
    </row>
    <row r="126" spans="1:68" ht="13.9" x14ac:dyDescent="0.4">
      <c r="A126" s="427"/>
      <c r="B126" s="394" t="s">
        <v>822</v>
      </c>
      <c r="C126" s="180"/>
      <c r="D126" s="83">
        <v>5326.37</v>
      </c>
      <c r="E126" s="107"/>
      <c r="F126" s="304">
        <f t="shared" si="647"/>
        <v>5326.37</v>
      </c>
      <c r="G126" s="289"/>
      <c r="H126" s="363">
        <f t="shared" si="632"/>
        <v>0</v>
      </c>
      <c r="I126" s="287"/>
      <c r="J126" s="313">
        <f t="shared" si="633"/>
        <v>0</v>
      </c>
      <c r="K126" s="287"/>
      <c r="L126" s="288">
        <f t="shared" si="634"/>
        <v>0</v>
      </c>
      <c r="M126" s="289"/>
      <c r="N126" s="288">
        <f t="shared" si="635"/>
        <v>0</v>
      </c>
      <c r="O126" s="287"/>
      <c r="P126" s="290">
        <f t="shared" si="636"/>
        <v>0</v>
      </c>
      <c r="Q126" s="289"/>
      <c r="R126" s="290">
        <f t="shared" si="637"/>
        <v>0</v>
      </c>
      <c r="S126" s="287"/>
      <c r="T126" s="290">
        <f t="shared" si="638"/>
        <v>0</v>
      </c>
      <c r="U126" s="287"/>
      <c r="V126" s="290">
        <f t="shared" si="639"/>
        <v>0</v>
      </c>
      <c r="W126" s="289"/>
      <c r="X126" s="290">
        <f t="shared" si="640"/>
        <v>0</v>
      </c>
      <c r="Y126" s="287"/>
      <c r="Z126" s="290">
        <f t="shared" si="641"/>
        <v>0</v>
      </c>
      <c r="AA126" s="289"/>
      <c r="AB126" s="290">
        <f t="shared" si="642"/>
        <v>0</v>
      </c>
      <c r="AC126" s="287"/>
      <c r="AD126" s="290">
        <f t="shared" si="643"/>
        <v>0</v>
      </c>
      <c r="AE126" s="289"/>
      <c r="AF126" s="290">
        <f t="shared" si="644"/>
        <v>0</v>
      </c>
      <c r="AG126" s="287"/>
      <c r="AH126" s="290">
        <f t="shared" si="645"/>
        <v>0</v>
      </c>
      <c r="AI126" s="289"/>
      <c r="AJ126" s="290">
        <f t="shared" si="646"/>
        <v>0</v>
      </c>
      <c r="AK126" s="289"/>
      <c r="AL126" s="290">
        <f t="shared" si="111"/>
        <v>0</v>
      </c>
      <c r="AM126" s="289"/>
      <c r="AN126" s="290">
        <f t="shared" si="266"/>
        <v>0</v>
      </c>
      <c r="AO126" s="289"/>
      <c r="AP126" s="290">
        <f t="shared" si="267"/>
        <v>0</v>
      </c>
      <c r="AQ126" s="323">
        <f t="shared" si="112"/>
        <v>0</v>
      </c>
      <c r="AR126" s="81">
        <v>0</v>
      </c>
      <c r="AS126" s="81"/>
      <c r="AT126" s="84">
        <v>0</v>
      </c>
      <c r="AU126" s="85"/>
      <c r="AV126" s="230">
        <f>F126-AR126-AT126</f>
        <v>5326.37</v>
      </c>
      <c r="AW126" s="195">
        <f>AV126</f>
        <v>5326.37</v>
      </c>
      <c r="AX126" s="84">
        <f t="shared" si="281"/>
        <v>0</v>
      </c>
      <c r="AY126" s="85"/>
      <c r="AZ126" s="84">
        <f t="shared" si="269"/>
        <v>0</v>
      </c>
      <c r="BA126" s="81"/>
      <c r="BB126" s="84">
        <f t="shared" si="270"/>
        <v>0</v>
      </c>
      <c r="BC126" s="85"/>
      <c r="BD126" s="84">
        <f t="shared" si="271"/>
        <v>0</v>
      </c>
      <c r="BE126" s="85"/>
      <c r="BF126" s="84">
        <f t="shared" si="272"/>
        <v>0</v>
      </c>
      <c r="BG126" s="85"/>
      <c r="BH126" s="84">
        <f t="shared" si="273"/>
        <v>0</v>
      </c>
      <c r="BI126" s="85"/>
      <c r="BJ126" s="84">
        <f t="shared" si="274"/>
        <v>0</v>
      </c>
      <c r="BK126" s="85"/>
      <c r="BL126" s="84">
        <f t="shared" si="275"/>
        <v>0</v>
      </c>
      <c r="BM126" s="85"/>
      <c r="BN126" s="84">
        <f t="shared" si="276"/>
        <v>0</v>
      </c>
      <c r="BO126" s="81"/>
      <c r="BP126" s="214">
        <f t="shared" si="277"/>
        <v>0</v>
      </c>
    </row>
    <row r="127" spans="1:68" ht="13.9" x14ac:dyDescent="0.4">
      <c r="A127" s="427"/>
      <c r="B127" s="394" t="s">
        <v>847</v>
      </c>
      <c r="C127" s="180"/>
      <c r="D127" s="83">
        <v>48756.1</v>
      </c>
      <c r="E127" s="142"/>
      <c r="F127" s="304">
        <f t="shared" si="647"/>
        <v>48756.1</v>
      </c>
      <c r="G127" s="289"/>
      <c r="H127" s="363">
        <f t="shared" si="632"/>
        <v>0</v>
      </c>
      <c r="I127" s="287"/>
      <c r="J127" s="313">
        <f t="shared" si="633"/>
        <v>0</v>
      </c>
      <c r="K127" s="287"/>
      <c r="L127" s="288">
        <f t="shared" si="634"/>
        <v>0</v>
      </c>
      <c r="M127" s="289">
        <v>887.93</v>
      </c>
      <c r="N127" s="288">
        <f>M127/F127</f>
        <v>1.8211669924378691E-2</v>
      </c>
      <c r="O127" s="287">
        <v>13834.36</v>
      </c>
      <c r="P127" s="290">
        <f>O127/F127</f>
        <v>0.28374623893215417</v>
      </c>
      <c r="Q127" s="289"/>
      <c r="R127" s="290">
        <f>Q127/F127</f>
        <v>0</v>
      </c>
      <c r="S127" s="287"/>
      <c r="T127" s="290">
        <f>S127/F127</f>
        <v>0</v>
      </c>
      <c r="U127" s="287">
        <v>1943.25</v>
      </c>
      <c r="V127" s="290">
        <f>U127/F127</f>
        <v>3.9856551282813846E-2</v>
      </c>
      <c r="W127" s="289"/>
      <c r="X127" s="290">
        <f>W127/F127</f>
        <v>0</v>
      </c>
      <c r="Y127" s="287"/>
      <c r="Z127" s="290">
        <f>Y127/F127</f>
        <v>0</v>
      </c>
      <c r="AA127" s="289"/>
      <c r="AB127" s="290">
        <f>AA127/F127</f>
        <v>0</v>
      </c>
      <c r="AC127" s="287"/>
      <c r="AD127" s="290">
        <f>AC127/F127</f>
        <v>0</v>
      </c>
      <c r="AE127" s="289"/>
      <c r="AF127" s="290">
        <f>AE127/F127</f>
        <v>0</v>
      </c>
      <c r="AG127" s="287"/>
      <c r="AH127" s="290">
        <f>AG127/F127</f>
        <v>0</v>
      </c>
      <c r="AI127" s="289"/>
      <c r="AJ127" s="290">
        <f>AI127/F127</f>
        <v>0</v>
      </c>
      <c r="AK127" s="289"/>
      <c r="AL127" s="290">
        <f t="shared" ref="AL127" si="672">AK127/F127</f>
        <v>0</v>
      </c>
      <c r="AM127" s="289"/>
      <c r="AN127" s="290">
        <f t="shared" ref="AN127" si="673">AM127/F127</f>
        <v>0</v>
      </c>
      <c r="AO127" s="289"/>
      <c r="AP127" s="290">
        <f t="shared" ref="AP127" si="674">AO127/F127</f>
        <v>0</v>
      </c>
      <c r="AQ127" s="323">
        <f t="shared" ref="AQ127" si="675">L127+N127+P127+R127+T127+V127+X127+Z127+AB127+AD127+H127+J127+AJ127+AF127+AH127+AN127+AP127+AL127</f>
        <v>0.34181446013934669</v>
      </c>
      <c r="AR127" s="81">
        <v>0</v>
      </c>
      <c r="AS127" s="81"/>
      <c r="AT127" s="343">
        <v>10575.94</v>
      </c>
      <c r="AU127" s="351">
        <v>10575.94</v>
      </c>
      <c r="AV127" s="64">
        <f>887.93+1943.25+10436.69</f>
        <v>13267.87</v>
      </c>
      <c r="AW127" s="195">
        <f>AV127</f>
        <v>13267.87</v>
      </c>
      <c r="AX127" s="230">
        <f>2320.58+1395.98</f>
        <v>3716.56</v>
      </c>
      <c r="AY127" s="231">
        <f>2320.58+1395.98</f>
        <v>3716.56</v>
      </c>
      <c r="AZ127" s="84">
        <v>0</v>
      </c>
      <c r="BA127" s="81"/>
      <c r="BB127" s="230">
        <f>BC127</f>
        <v>4604.57</v>
      </c>
      <c r="BC127" s="231">
        <f>3961.97+642.6</f>
        <v>4604.57</v>
      </c>
      <c r="BD127" s="84">
        <v>0</v>
      </c>
      <c r="BE127" s="85"/>
      <c r="BF127" s="84">
        <f t="shared" ref="BF127" si="676">F127-AR127-AT127-AV127-AX127-AZ127-BB127-BD127</f>
        <v>16591.159999999993</v>
      </c>
      <c r="BG127" s="85"/>
      <c r="BH127" s="84">
        <f t="shared" ref="BH127" si="677">F127-AR127-AT127-AV127-AX127-AZ127-BB127-BD127-BF127</f>
        <v>0</v>
      </c>
      <c r="BI127" s="85"/>
      <c r="BJ127" s="84">
        <f t="shared" ref="BJ127" si="678">F127-AR127-AT127-AV127-AX127-AZ127-BB127-BD127-BF127-BH127</f>
        <v>0</v>
      </c>
      <c r="BK127" s="85"/>
      <c r="BL127" s="84">
        <f t="shared" ref="BL127" si="679">F127-AR127-AT127-AV127-AX127-AZ127-BB127-BD127-BF127-BH127-BJ127</f>
        <v>0</v>
      </c>
      <c r="BM127" s="85"/>
      <c r="BN127" s="84">
        <f t="shared" ref="BN127" si="680">F127-AR127-AT127-AV127-AX127-AZ127-BB127-BD127-BF127-BH127-BJ127-BL127</f>
        <v>0</v>
      </c>
      <c r="BO127" s="81"/>
      <c r="BP127" s="214">
        <f t="shared" ref="BP127" si="681">F127-AR127-AT127-AV127-AX127-AZ127-BB127-BD127-BF127-BH127-BJ127-BL127-BN127</f>
        <v>0</v>
      </c>
    </row>
    <row r="128" spans="1:68" ht="13.9" x14ac:dyDescent="0.4">
      <c r="A128" s="430"/>
      <c r="B128" s="368" t="s">
        <v>673</v>
      </c>
      <c r="C128" s="369"/>
      <c r="D128" s="370"/>
      <c r="E128" s="371"/>
      <c r="F128" s="304"/>
      <c r="G128" s="289"/>
      <c r="H128" s="363" t="e">
        <f t="shared" si="34"/>
        <v>#DIV/0!</v>
      </c>
      <c r="I128" s="287"/>
      <c r="J128" s="313" t="e">
        <f t="shared" si="386"/>
        <v>#DIV/0!</v>
      </c>
      <c r="K128" s="287"/>
      <c r="L128" s="288" t="e">
        <f t="shared" si="387"/>
        <v>#DIV/0!</v>
      </c>
      <c r="M128" s="289"/>
      <c r="N128" s="288" t="e">
        <f t="shared" si="37"/>
        <v>#DIV/0!</v>
      </c>
      <c r="O128" s="287"/>
      <c r="P128" s="290" t="e">
        <f t="shared" si="38"/>
        <v>#DIV/0!</v>
      </c>
      <c r="Q128" s="289"/>
      <c r="R128" s="290" t="e">
        <f t="shared" si="39"/>
        <v>#DIV/0!</v>
      </c>
      <c r="S128" s="287"/>
      <c r="T128" s="290" t="e">
        <f t="shared" si="40"/>
        <v>#DIV/0!</v>
      </c>
      <c r="U128" s="287"/>
      <c r="V128" s="290" t="e">
        <f t="shared" si="41"/>
        <v>#DIV/0!</v>
      </c>
      <c r="W128" s="289"/>
      <c r="X128" s="290" t="e">
        <f t="shared" si="42"/>
        <v>#DIV/0!</v>
      </c>
      <c r="Y128" s="287"/>
      <c r="Z128" s="290" t="e">
        <f t="shared" si="43"/>
        <v>#DIV/0!</v>
      </c>
      <c r="AA128" s="289"/>
      <c r="AB128" s="290" t="e">
        <f t="shared" si="44"/>
        <v>#DIV/0!</v>
      </c>
      <c r="AC128" s="287"/>
      <c r="AD128" s="290" t="e">
        <f t="shared" si="45"/>
        <v>#DIV/0!</v>
      </c>
      <c r="AE128" s="289"/>
      <c r="AF128" s="290" t="e">
        <f t="shared" si="46"/>
        <v>#DIV/0!</v>
      </c>
      <c r="AG128" s="287"/>
      <c r="AH128" s="290" t="e">
        <f t="shared" si="47"/>
        <v>#DIV/0!</v>
      </c>
      <c r="AI128" s="289"/>
      <c r="AJ128" s="290" t="e">
        <f t="shared" si="48"/>
        <v>#DIV/0!</v>
      </c>
      <c r="AK128" s="289"/>
      <c r="AL128" s="290" t="e">
        <f t="shared" si="111"/>
        <v>#DIV/0!</v>
      </c>
      <c r="AM128" s="289"/>
      <c r="AN128" s="290" t="e">
        <f t="shared" si="266"/>
        <v>#DIV/0!</v>
      </c>
      <c r="AO128" s="289"/>
      <c r="AP128" s="290" t="e">
        <f t="shared" si="267"/>
        <v>#DIV/0!</v>
      </c>
      <c r="AQ128" s="323" t="e">
        <f t="shared" si="112"/>
        <v>#DIV/0!</v>
      </c>
      <c r="AR128" s="81">
        <f t="shared" si="496"/>
        <v>0</v>
      </c>
      <c r="AS128" s="81"/>
      <c r="AT128" s="84">
        <f t="shared" si="298"/>
        <v>0</v>
      </c>
      <c r="AU128" s="85"/>
      <c r="AV128" s="84">
        <f t="shared" si="280"/>
        <v>0</v>
      </c>
      <c r="AW128" s="81"/>
      <c r="AX128" s="84">
        <f t="shared" si="281"/>
        <v>0</v>
      </c>
      <c r="AY128" s="85"/>
      <c r="AZ128" s="84">
        <f t="shared" si="269"/>
        <v>0</v>
      </c>
      <c r="BA128" s="81"/>
      <c r="BB128" s="84">
        <f t="shared" si="270"/>
        <v>0</v>
      </c>
      <c r="BC128" s="85"/>
      <c r="BD128" s="84">
        <f t="shared" si="271"/>
        <v>0</v>
      </c>
      <c r="BE128" s="85"/>
      <c r="BF128" s="84">
        <f t="shared" si="272"/>
        <v>0</v>
      </c>
      <c r="BG128" s="85"/>
      <c r="BH128" s="84">
        <f t="shared" si="273"/>
        <v>0</v>
      </c>
      <c r="BI128" s="85"/>
      <c r="BJ128" s="84">
        <f t="shared" si="274"/>
        <v>0</v>
      </c>
      <c r="BK128" s="85"/>
      <c r="BL128" s="84">
        <f t="shared" si="275"/>
        <v>0</v>
      </c>
      <c r="BM128" s="85"/>
      <c r="BN128" s="84">
        <f t="shared" si="276"/>
        <v>0</v>
      </c>
      <c r="BO128" s="81"/>
      <c r="BP128" s="214">
        <f t="shared" si="277"/>
        <v>0</v>
      </c>
    </row>
    <row r="129" spans="1:68" ht="13.9" x14ac:dyDescent="0.4">
      <c r="A129" s="427"/>
      <c r="B129" s="408" t="s">
        <v>578</v>
      </c>
      <c r="C129" s="180"/>
      <c r="D129" s="83">
        <v>10699.92</v>
      </c>
      <c r="E129" s="142"/>
      <c r="F129" s="304">
        <f>D129</f>
        <v>10699.92</v>
      </c>
      <c r="G129" s="289"/>
      <c r="H129" s="363">
        <f t="shared" si="34"/>
        <v>0</v>
      </c>
      <c r="I129" s="287"/>
      <c r="J129" s="313">
        <f t="shared" si="386"/>
        <v>0</v>
      </c>
      <c r="K129" s="287"/>
      <c r="L129" s="288">
        <f t="shared" si="387"/>
        <v>0</v>
      </c>
      <c r="M129" s="289"/>
      <c r="N129" s="288">
        <f>M129/F129</f>
        <v>0</v>
      </c>
      <c r="O129" s="287">
        <v>717.84</v>
      </c>
      <c r="P129" s="290">
        <f>O129/F129</f>
        <v>6.7088352062445331E-2</v>
      </c>
      <c r="Q129" s="289"/>
      <c r="R129" s="290">
        <f>Q129/F129</f>
        <v>0</v>
      </c>
      <c r="S129" s="287"/>
      <c r="T129" s="290">
        <f>S129/F129</f>
        <v>0</v>
      </c>
      <c r="U129" s="287"/>
      <c r="V129" s="290">
        <f>U129/F129</f>
        <v>0</v>
      </c>
      <c r="W129" s="289"/>
      <c r="X129" s="290">
        <f>W129/F129</f>
        <v>0</v>
      </c>
      <c r="Y129" s="287"/>
      <c r="Z129" s="290">
        <f>Y129/F129</f>
        <v>0</v>
      </c>
      <c r="AA129" s="289"/>
      <c r="AB129" s="290">
        <f>AA129/F129</f>
        <v>0</v>
      </c>
      <c r="AC129" s="287"/>
      <c r="AD129" s="290">
        <f>AC129/F129</f>
        <v>0</v>
      </c>
      <c r="AE129" s="289"/>
      <c r="AF129" s="290">
        <f>AE129/F129</f>
        <v>0</v>
      </c>
      <c r="AG129" s="287"/>
      <c r="AH129" s="290">
        <f>AG129/F129</f>
        <v>0</v>
      </c>
      <c r="AI129" s="289"/>
      <c r="AJ129" s="290">
        <f>AI129/F129</f>
        <v>0</v>
      </c>
      <c r="AK129" s="289"/>
      <c r="AL129" s="290">
        <f t="shared" si="111"/>
        <v>0</v>
      </c>
      <c r="AM129" s="289">
        <v>2378.16</v>
      </c>
      <c r="AN129" s="290">
        <f t="shared" si="266"/>
        <v>0.22225960567929479</v>
      </c>
      <c r="AO129" s="289">
        <v>7603.92</v>
      </c>
      <c r="AP129" s="290">
        <f t="shared" si="267"/>
        <v>0.71065204225825984</v>
      </c>
      <c r="AQ129" s="323">
        <f t="shared" si="112"/>
        <v>1</v>
      </c>
      <c r="AR129" s="81">
        <v>0</v>
      </c>
      <c r="AS129" s="81"/>
      <c r="AT129" s="230">
        <f>F129-AR129</f>
        <v>10699.92</v>
      </c>
      <c r="AU129" s="231">
        <f>AT129</f>
        <v>10699.92</v>
      </c>
      <c r="AV129" s="84">
        <f t="shared" si="280"/>
        <v>0</v>
      </c>
      <c r="AW129" s="81"/>
      <c r="AX129" s="84">
        <f t="shared" si="281"/>
        <v>0</v>
      </c>
      <c r="AY129" s="85"/>
      <c r="AZ129" s="84">
        <f t="shared" si="269"/>
        <v>0</v>
      </c>
      <c r="BA129" s="81"/>
      <c r="BB129" s="84">
        <f t="shared" si="270"/>
        <v>0</v>
      </c>
      <c r="BC129" s="85"/>
      <c r="BD129" s="84">
        <f t="shared" si="271"/>
        <v>0</v>
      </c>
      <c r="BE129" s="85"/>
      <c r="BF129" s="84">
        <f t="shared" si="272"/>
        <v>0</v>
      </c>
      <c r="BG129" s="85"/>
      <c r="BH129" s="84">
        <f t="shared" si="273"/>
        <v>0</v>
      </c>
      <c r="BI129" s="85"/>
      <c r="BJ129" s="84">
        <f t="shared" si="274"/>
        <v>0</v>
      </c>
      <c r="BK129" s="85"/>
      <c r="BL129" s="84">
        <f t="shared" si="275"/>
        <v>0</v>
      </c>
      <c r="BM129" s="85"/>
      <c r="BN129" s="84">
        <f t="shared" si="276"/>
        <v>0</v>
      </c>
      <c r="BO129" s="81"/>
      <c r="BP129" s="214">
        <f t="shared" si="277"/>
        <v>0</v>
      </c>
    </row>
    <row r="130" spans="1:68" ht="13.9" x14ac:dyDescent="0.4">
      <c r="B130" s="431" t="s">
        <v>764</v>
      </c>
      <c r="C130" s="180"/>
      <c r="D130" s="83">
        <v>72117.56</v>
      </c>
      <c r="E130" s="142"/>
      <c r="F130" s="304">
        <f>D130</f>
        <v>72117.56</v>
      </c>
      <c r="G130" s="289"/>
      <c r="H130" s="363">
        <f t="shared" si="34"/>
        <v>0</v>
      </c>
      <c r="I130" s="287"/>
      <c r="J130" s="313">
        <f t="shared" si="386"/>
        <v>0</v>
      </c>
      <c r="K130" s="287"/>
      <c r="L130" s="288">
        <f t="shared" si="387"/>
        <v>0</v>
      </c>
      <c r="M130" s="289"/>
      <c r="N130" s="288">
        <f>M130/F130</f>
        <v>0</v>
      </c>
      <c r="O130" s="287"/>
      <c r="P130" s="290">
        <f>O130/F130</f>
        <v>0</v>
      </c>
      <c r="Q130" s="289"/>
      <c r="R130" s="290">
        <f>Q130/F130</f>
        <v>0</v>
      </c>
      <c r="S130" s="287"/>
      <c r="T130" s="290">
        <f>S130/F130</f>
        <v>0</v>
      </c>
      <c r="U130" s="287"/>
      <c r="V130" s="290">
        <f>U130/F130</f>
        <v>0</v>
      </c>
      <c r="W130" s="289"/>
      <c r="X130" s="290">
        <f>W130/F130</f>
        <v>0</v>
      </c>
      <c r="Y130" s="287"/>
      <c r="Z130" s="290">
        <f>Y130/F130</f>
        <v>0</v>
      </c>
      <c r="AA130" s="289"/>
      <c r="AB130" s="290">
        <f>AA130/F130</f>
        <v>0</v>
      </c>
      <c r="AC130" s="287"/>
      <c r="AD130" s="290">
        <f>AC130/F130</f>
        <v>0</v>
      </c>
      <c r="AE130" s="289"/>
      <c r="AF130" s="290">
        <f>AE130/F130</f>
        <v>0</v>
      </c>
      <c r="AG130" s="287"/>
      <c r="AH130" s="290">
        <f>AG130/F130</f>
        <v>0</v>
      </c>
      <c r="AI130" s="289"/>
      <c r="AJ130" s="290">
        <f>AI130/F130</f>
        <v>0</v>
      </c>
      <c r="AK130" s="289"/>
      <c r="AL130" s="290">
        <f t="shared" ref="AL130" si="682">AK130/F130</f>
        <v>0</v>
      </c>
      <c r="AM130" s="289"/>
      <c r="AN130" s="290">
        <f t="shared" ref="AN130" si="683">AM130/F130</f>
        <v>0</v>
      </c>
      <c r="AO130" s="289">
        <v>72117.56</v>
      </c>
      <c r="AP130" s="290">
        <f t="shared" ref="AP130" si="684">AO130/F130</f>
        <v>1</v>
      </c>
      <c r="AQ130" s="323">
        <f t="shared" ref="AQ130" si="685">L130+N130+P130+R130+T130+V130+X130+Z130+AB130+AD130+H130+J130+AJ130+AF130+AH130+AN130+AP130+AL130</f>
        <v>1</v>
      </c>
      <c r="AR130" s="81">
        <v>0</v>
      </c>
      <c r="AS130" s="81"/>
      <c r="AT130" s="84">
        <v>0</v>
      </c>
      <c r="AU130" s="85"/>
      <c r="AV130" s="84">
        <v>0</v>
      </c>
      <c r="AW130" s="81"/>
      <c r="AX130" s="230">
        <f>AY130</f>
        <v>4129.82</v>
      </c>
      <c r="AY130" s="231">
        <v>4129.82</v>
      </c>
      <c r="AZ130" s="230">
        <f>BA130</f>
        <v>32880.67</v>
      </c>
      <c r="BA130" s="195">
        <v>32880.67</v>
      </c>
      <c r="BB130" s="230">
        <f>BC130</f>
        <v>26635.17</v>
      </c>
      <c r="BC130" s="231">
        <v>26635.17</v>
      </c>
      <c r="BD130" s="84">
        <f>BE130</f>
        <v>3039.16</v>
      </c>
      <c r="BE130" s="435">
        <v>3039.16</v>
      </c>
      <c r="BF130" s="84">
        <f t="shared" ref="BF130" si="686">F130-AR130-AT130-AV130-AX130-AZ130-BB130-BD130</f>
        <v>5432.7399999999943</v>
      </c>
      <c r="BG130" s="85"/>
      <c r="BH130" s="84">
        <f t="shared" ref="BH130" si="687">F130-AR130-AT130-AV130-AX130-AZ130-BB130-BD130-BF130</f>
        <v>0</v>
      </c>
      <c r="BI130" s="85"/>
      <c r="BJ130" s="84">
        <f t="shared" ref="BJ130" si="688">F130-AR130-AT130-AV130-AX130-AZ130-BB130-BD130-BF130-BH130</f>
        <v>0</v>
      </c>
      <c r="BK130" s="85"/>
      <c r="BL130" s="84">
        <f t="shared" ref="BL130" si="689">F130-AR130-AT130-AV130-AX130-AZ130-BB130-BD130-BF130-BH130-BJ130</f>
        <v>0</v>
      </c>
      <c r="BM130" s="85"/>
      <c r="BN130" s="84">
        <f t="shared" ref="BN130" si="690">F130-AR130-AT130-AV130-AX130-AZ130-BB130-BD130-BF130-BH130-BJ130-BL130</f>
        <v>0</v>
      </c>
      <c r="BO130" s="81"/>
      <c r="BP130" s="214">
        <f t="shared" ref="BP130" si="691">F130-AR130-AT130-AV130-AX130-AZ130-BB130-BD130-BF130-BH130-BJ130-BL130-BN130</f>
        <v>0</v>
      </c>
    </row>
    <row r="131" spans="1:68" ht="15" customHeight="1" x14ac:dyDescent="0.35">
      <c r="A131" s="429"/>
      <c r="B131" s="149"/>
      <c r="C131" s="180"/>
      <c r="D131" s="83">
        <v>0</v>
      </c>
      <c r="E131" s="142">
        <f>D131</f>
        <v>0</v>
      </c>
      <c r="F131" s="304"/>
      <c r="G131" s="289"/>
      <c r="H131" s="363" t="e">
        <f t="shared" si="34"/>
        <v>#DIV/0!</v>
      </c>
      <c r="I131" s="287"/>
      <c r="J131" s="313" t="e">
        <f t="shared" si="386"/>
        <v>#DIV/0!</v>
      </c>
      <c r="K131" s="287"/>
      <c r="L131" s="288" t="e">
        <f t="shared" si="387"/>
        <v>#DIV/0!</v>
      </c>
      <c r="M131" s="289"/>
      <c r="N131" s="288" t="e">
        <f>M131/F131</f>
        <v>#DIV/0!</v>
      </c>
      <c r="O131" s="287"/>
      <c r="P131" s="290" t="e">
        <f>O131/F131</f>
        <v>#DIV/0!</v>
      </c>
      <c r="Q131" s="289"/>
      <c r="R131" s="290" t="e">
        <f>Q131/F131</f>
        <v>#DIV/0!</v>
      </c>
      <c r="S131" s="287"/>
      <c r="T131" s="290" t="e">
        <f>S131/F131</f>
        <v>#DIV/0!</v>
      </c>
      <c r="U131" s="287"/>
      <c r="V131" s="290" t="e">
        <f>U131/F131</f>
        <v>#DIV/0!</v>
      </c>
      <c r="W131" s="289"/>
      <c r="X131" s="290" t="e">
        <f>W131/F131</f>
        <v>#DIV/0!</v>
      </c>
      <c r="Y131" s="287"/>
      <c r="Z131" s="290" t="e">
        <f>Y131/F131</f>
        <v>#DIV/0!</v>
      </c>
      <c r="AA131" s="289"/>
      <c r="AB131" s="290" t="e">
        <f>AA131/F131</f>
        <v>#DIV/0!</v>
      </c>
      <c r="AC131" s="287"/>
      <c r="AD131" s="290" t="e">
        <f>AC131/F131</f>
        <v>#DIV/0!</v>
      </c>
      <c r="AE131" s="289"/>
      <c r="AF131" s="290" t="e">
        <f>AE131/F131</f>
        <v>#DIV/0!</v>
      </c>
      <c r="AG131" s="287"/>
      <c r="AH131" s="290" t="e">
        <f>AG131/F131</f>
        <v>#DIV/0!</v>
      </c>
      <c r="AI131" s="289"/>
      <c r="AJ131" s="290" t="e">
        <f>AI131/F131</f>
        <v>#DIV/0!</v>
      </c>
      <c r="AK131" s="289"/>
      <c r="AL131" s="290" t="e">
        <f t="shared" si="111"/>
        <v>#DIV/0!</v>
      </c>
      <c r="AM131" s="289"/>
      <c r="AN131" s="290" t="e">
        <f t="shared" si="266"/>
        <v>#DIV/0!</v>
      </c>
      <c r="AO131" s="289"/>
      <c r="AP131" s="290" t="s">
        <v>91</v>
      </c>
      <c r="AQ131" s="323" t="e">
        <f t="shared" si="112"/>
        <v>#DIV/0!</v>
      </c>
      <c r="AR131" s="81">
        <f t="shared" si="496"/>
        <v>0</v>
      </c>
      <c r="AS131" s="81"/>
      <c r="AT131" s="84">
        <f t="shared" si="298"/>
        <v>0</v>
      </c>
      <c r="AU131" s="85"/>
      <c r="AV131" s="84">
        <f t="shared" si="280"/>
        <v>0</v>
      </c>
      <c r="AW131" s="81"/>
      <c r="AX131" s="84">
        <f t="shared" si="281"/>
        <v>0</v>
      </c>
      <c r="AY131" s="85"/>
      <c r="AZ131" s="84">
        <f t="shared" si="269"/>
        <v>0</v>
      </c>
      <c r="BA131" s="81"/>
      <c r="BB131" s="84">
        <f t="shared" si="270"/>
        <v>0</v>
      </c>
      <c r="BC131" s="85"/>
      <c r="BD131" s="84">
        <f t="shared" si="271"/>
        <v>0</v>
      </c>
      <c r="BE131" s="85"/>
      <c r="BF131" s="84">
        <f t="shared" si="272"/>
        <v>0</v>
      </c>
      <c r="BG131" s="85"/>
      <c r="BH131" s="84">
        <f t="shared" si="273"/>
        <v>0</v>
      </c>
      <c r="BI131" s="85"/>
      <c r="BJ131" s="84">
        <f t="shared" si="274"/>
        <v>0</v>
      </c>
      <c r="BK131" s="85"/>
      <c r="BL131" s="84">
        <f t="shared" si="275"/>
        <v>0</v>
      </c>
      <c r="BM131" s="85"/>
      <c r="BN131" s="84">
        <f t="shared" si="276"/>
        <v>0</v>
      </c>
      <c r="BO131" s="81"/>
      <c r="BP131" s="214">
        <f t="shared" si="277"/>
        <v>0</v>
      </c>
    </row>
    <row r="132" spans="1:68" x14ac:dyDescent="0.35">
      <c r="B132" s="341" t="s">
        <v>570</v>
      </c>
      <c r="C132" s="180"/>
      <c r="D132" s="83"/>
      <c r="E132" s="142"/>
      <c r="F132" s="304"/>
      <c r="G132" s="289"/>
      <c r="H132" s="363" t="e">
        <f t="shared" ref="H132" si="692">G132/F132</f>
        <v>#DIV/0!</v>
      </c>
      <c r="I132" s="287"/>
      <c r="J132" s="313" t="e">
        <f t="shared" ref="J132" si="693">I132/F132</f>
        <v>#DIV/0!</v>
      </c>
      <c r="K132" s="287"/>
      <c r="L132" s="288" t="e">
        <f t="shared" ref="L132:L144" si="694">K132/F132</f>
        <v>#DIV/0!</v>
      </c>
      <c r="M132" s="289"/>
      <c r="N132" s="288" t="e">
        <f>M132/F132</f>
        <v>#DIV/0!</v>
      </c>
      <c r="O132" s="287"/>
      <c r="P132" s="290" t="e">
        <f>O132/F132</f>
        <v>#DIV/0!</v>
      </c>
      <c r="Q132" s="289"/>
      <c r="R132" s="290" t="e">
        <f>Q132/F132</f>
        <v>#DIV/0!</v>
      </c>
      <c r="S132" s="287"/>
      <c r="T132" s="290" t="e">
        <f>S132/F132</f>
        <v>#DIV/0!</v>
      </c>
      <c r="U132" s="287"/>
      <c r="V132" s="290" t="e">
        <f>U132/F132</f>
        <v>#DIV/0!</v>
      </c>
      <c r="W132" s="289"/>
      <c r="X132" s="290" t="e">
        <f>W132/F132</f>
        <v>#DIV/0!</v>
      </c>
      <c r="Y132" s="287"/>
      <c r="Z132" s="290" t="e">
        <f>Y132/F132</f>
        <v>#DIV/0!</v>
      </c>
      <c r="AA132" s="289"/>
      <c r="AB132" s="290" t="e">
        <f>AA132/F132</f>
        <v>#DIV/0!</v>
      </c>
      <c r="AC132" s="287"/>
      <c r="AD132" s="290" t="e">
        <f>AC132/F132</f>
        <v>#DIV/0!</v>
      </c>
      <c r="AE132" s="289"/>
      <c r="AF132" s="290" t="e">
        <f>AE132/F132</f>
        <v>#DIV/0!</v>
      </c>
      <c r="AG132" s="287"/>
      <c r="AH132" s="290" t="e">
        <f>AG132/F132</f>
        <v>#DIV/0!</v>
      </c>
      <c r="AI132" s="289"/>
      <c r="AJ132" s="290" t="e">
        <f>AI132/F132</f>
        <v>#DIV/0!</v>
      </c>
      <c r="AK132" s="289"/>
      <c r="AL132" s="290" t="e">
        <f t="shared" si="111"/>
        <v>#DIV/0!</v>
      </c>
      <c r="AM132" s="289"/>
      <c r="AN132" s="290" t="e">
        <f t="shared" si="266"/>
        <v>#DIV/0!</v>
      </c>
      <c r="AO132" s="289"/>
      <c r="AP132" s="290" t="e">
        <f t="shared" si="267"/>
        <v>#DIV/0!</v>
      </c>
      <c r="AQ132" s="323" t="e">
        <f t="shared" si="112"/>
        <v>#DIV/0!</v>
      </c>
      <c r="AR132" s="81">
        <f t="shared" si="496"/>
        <v>0</v>
      </c>
      <c r="AS132" s="81"/>
      <c r="AT132" s="84">
        <f t="shared" si="298"/>
        <v>0</v>
      </c>
      <c r="AU132" s="85"/>
      <c r="AV132" s="84">
        <f t="shared" si="280"/>
        <v>0</v>
      </c>
      <c r="AW132" s="81"/>
      <c r="AX132" s="84">
        <f t="shared" si="281"/>
        <v>0</v>
      </c>
      <c r="AY132" s="85"/>
      <c r="AZ132" s="84">
        <f t="shared" si="269"/>
        <v>0</v>
      </c>
      <c r="BA132" s="81"/>
      <c r="BB132" s="84">
        <f t="shared" si="270"/>
        <v>0</v>
      </c>
      <c r="BC132" s="85"/>
      <c r="BD132" s="84">
        <f t="shared" si="271"/>
        <v>0</v>
      </c>
      <c r="BE132" s="85"/>
      <c r="BF132" s="84">
        <f t="shared" si="272"/>
        <v>0</v>
      </c>
      <c r="BG132" s="85"/>
      <c r="BH132" s="84">
        <f t="shared" si="273"/>
        <v>0</v>
      </c>
      <c r="BI132" s="85"/>
      <c r="BJ132" s="84">
        <f t="shared" si="274"/>
        <v>0</v>
      </c>
      <c r="BK132" s="85"/>
      <c r="BL132" s="84">
        <f t="shared" si="275"/>
        <v>0</v>
      </c>
      <c r="BM132" s="85"/>
      <c r="BN132" s="84">
        <f t="shared" si="276"/>
        <v>0</v>
      </c>
      <c r="BO132" s="81"/>
      <c r="BP132" s="214">
        <f t="shared" si="277"/>
        <v>0</v>
      </c>
    </row>
    <row r="133" spans="1:68" x14ac:dyDescent="0.35">
      <c r="B133" s="327"/>
      <c r="C133" s="328"/>
      <c r="D133" s="330"/>
      <c r="E133" s="330"/>
      <c r="F133" s="331"/>
      <c r="G133" s="361"/>
      <c r="H133" s="361"/>
      <c r="I133" s="332"/>
      <c r="J133" s="332"/>
      <c r="K133" s="332"/>
      <c r="L133" s="333"/>
      <c r="M133" s="332"/>
      <c r="N133" s="333"/>
      <c r="O133" s="332"/>
      <c r="P133" s="333"/>
      <c r="Q133" s="332"/>
      <c r="R133" s="333"/>
      <c r="S133" s="332"/>
      <c r="T133" s="333"/>
      <c r="U133" s="332"/>
      <c r="V133" s="333"/>
      <c r="W133" s="332"/>
      <c r="X133" s="333"/>
      <c r="Y133" s="332"/>
      <c r="Z133" s="334"/>
      <c r="AA133" s="361"/>
      <c r="AB133" s="362"/>
      <c r="AC133" s="332"/>
      <c r="AD133" s="332"/>
      <c r="AE133" s="361"/>
      <c r="AF133" s="362"/>
      <c r="AG133" s="332"/>
      <c r="AH133" s="332"/>
      <c r="AI133" s="361"/>
      <c r="AJ133" s="361"/>
      <c r="AK133" s="361"/>
      <c r="AL133" s="361"/>
      <c r="AM133" s="361"/>
      <c r="AN133" s="361"/>
      <c r="AO133" s="361"/>
      <c r="AP133" s="361"/>
      <c r="AQ133" s="323">
        <f t="shared" ref="AQ133:AQ170" si="695">L133+N133+P133+R133+T133+V133+X133+Z133+AB133+AD133+H133+J133+AJ133+AF133+AH133</f>
        <v>0</v>
      </c>
      <c r="AR133" s="329"/>
      <c r="AS133" s="329"/>
      <c r="AT133" s="336"/>
      <c r="AU133" s="337"/>
      <c r="AV133" s="338"/>
      <c r="AW133" s="329"/>
      <c r="AX133" s="336"/>
      <c r="AY133" s="337"/>
      <c r="AZ133" s="336"/>
      <c r="BA133" s="329"/>
      <c r="BB133" s="336"/>
      <c r="BC133" s="337"/>
      <c r="BD133" s="336"/>
      <c r="BE133" s="337"/>
      <c r="BF133" s="336"/>
      <c r="BG133" s="337"/>
      <c r="BH133" s="336"/>
      <c r="BI133" s="337"/>
      <c r="BJ133" s="336"/>
      <c r="BK133" s="337"/>
      <c r="BL133" s="336"/>
      <c r="BM133" s="337"/>
      <c r="BN133" s="336"/>
      <c r="BO133" s="329"/>
      <c r="BP133" s="339"/>
    </row>
    <row r="134" spans="1:68" ht="14.25" hidden="1" customHeight="1" x14ac:dyDescent="0.35">
      <c r="B134" s="151" t="s">
        <v>534</v>
      </c>
      <c r="C134" s="180"/>
      <c r="D134" s="83">
        <f>'2020-21'!AS21</f>
        <v>0</v>
      </c>
      <c r="E134" s="107">
        <f t="shared" ref="E134:F167" si="696">D134</f>
        <v>0</v>
      </c>
      <c r="F134" s="304"/>
      <c r="G134" s="289"/>
      <c r="H134" s="363" t="e">
        <f t="shared" ref="H134:H168" si="697">G134/F134</f>
        <v>#DIV/0!</v>
      </c>
      <c r="I134" s="287"/>
      <c r="J134" s="313" t="e">
        <f t="shared" ref="J134:J168" si="698">I134/L134</f>
        <v>#DIV/0!</v>
      </c>
      <c r="K134" s="287"/>
      <c r="L134" s="288" t="e">
        <f t="shared" si="694"/>
        <v>#DIV/0!</v>
      </c>
      <c r="M134" s="289"/>
      <c r="N134" s="290" t="e">
        <f t="shared" ref="N134:N144" si="699">M134/F134</f>
        <v>#DIV/0!</v>
      </c>
      <c r="O134" s="287"/>
      <c r="P134" s="288" t="e">
        <f t="shared" ref="P134:P144" si="700">O134/F134</f>
        <v>#DIV/0!</v>
      </c>
      <c r="Q134" s="289"/>
      <c r="R134" s="290" t="e">
        <f t="shared" ref="R134:R144" si="701">Q134/F134</f>
        <v>#DIV/0!</v>
      </c>
      <c r="S134" s="287"/>
      <c r="T134" s="288" t="e">
        <f t="shared" ref="T134:T167" si="702">S134/D134</f>
        <v>#DIV/0!</v>
      </c>
      <c r="U134" s="287"/>
      <c r="V134" s="288" t="e">
        <f t="shared" ref="V134:V144" si="703">U134/F134</f>
        <v>#DIV/0!</v>
      </c>
      <c r="W134" s="289"/>
      <c r="X134" s="290" t="e">
        <f t="shared" ref="X134:X144" si="704">W134/F134</f>
        <v>#DIV/0!</v>
      </c>
      <c r="Y134" s="287"/>
      <c r="Z134" s="313" t="e">
        <f t="shared" ref="Z134:Z144" si="705">Y134/F134</f>
        <v>#DIV/0!</v>
      </c>
      <c r="AA134" s="289"/>
      <c r="AB134" s="363" t="e">
        <f t="shared" ref="AB134:AB167" si="706">AA134/L134</f>
        <v>#DIV/0!</v>
      </c>
      <c r="AC134" s="287"/>
      <c r="AD134" s="313" t="e">
        <f t="shared" ref="AD134:AD168" si="707">AC134/F134</f>
        <v>#DIV/0!</v>
      </c>
      <c r="AE134" s="289"/>
      <c r="AF134" s="363" t="e">
        <f t="shared" ref="AF134:AF167" si="708">AE134/P134</f>
        <v>#DIV/0!</v>
      </c>
      <c r="AG134" s="287"/>
      <c r="AH134" s="313" t="e">
        <f t="shared" ref="AH134:AH168" si="709">AG134/H134</f>
        <v>#DIV/0!</v>
      </c>
      <c r="AI134" s="289"/>
      <c r="AJ134" s="363" t="e">
        <f t="shared" ref="AJ134:AJ168" si="710">AI134/F134</f>
        <v>#DIV/0!</v>
      </c>
      <c r="AK134" s="289"/>
      <c r="AL134" s="363" t="e">
        <f t="shared" ref="AL134:AL168" si="711">AK134/D134</f>
        <v>#DIV/0!</v>
      </c>
      <c r="AM134" s="289"/>
      <c r="AN134" s="363" t="e">
        <f t="shared" ref="AN134:AN168" si="712">AM134/F134</f>
        <v>#DIV/0!</v>
      </c>
      <c r="AO134" s="289"/>
      <c r="AP134" s="363" t="e">
        <f t="shared" ref="AP134:AP168" si="713">AO134/H134</f>
        <v>#DIV/0!</v>
      </c>
      <c r="AQ134" s="323" t="e">
        <f t="shared" si="695"/>
        <v>#DIV/0!</v>
      </c>
      <c r="AR134" s="81">
        <f t="shared" ref="AR134:AR167" si="714">E134</f>
        <v>0</v>
      </c>
      <c r="AS134" s="81"/>
      <c r="AT134" s="84">
        <f t="shared" ref="AT134:AT167" si="715">E134-AR134</f>
        <v>0</v>
      </c>
      <c r="AU134" s="85"/>
      <c r="AV134" s="48">
        <f t="shared" ref="AV134:AV167" si="716">E134-AR134-AT134</f>
        <v>0</v>
      </c>
      <c r="AW134" s="81"/>
      <c r="AX134" s="84">
        <f t="shared" ref="AX134:AX167" si="717">E134-AR134-AT134-AV134</f>
        <v>0</v>
      </c>
      <c r="AY134" s="85"/>
      <c r="AZ134" s="84">
        <f t="shared" ref="AZ134:AZ167" si="718">E134-AR134-AT134-AV134-AX134</f>
        <v>0</v>
      </c>
      <c r="BA134" s="81"/>
      <c r="BB134" s="84">
        <f t="shared" ref="BB134:BB167" si="719">E134-AR134-AT134-AV134-AX134-AZ134</f>
        <v>0</v>
      </c>
      <c r="BC134" s="85"/>
      <c r="BD134" s="84">
        <f t="shared" ref="BD134:BD167" si="720">E134-AR134-AT134-AV134-AX134-AZ134-BB134</f>
        <v>0</v>
      </c>
      <c r="BE134" s="85"/>
      <c r="BF134" s="84">
        <f t="shared" ref="BF134:BF167" si="721">E134-AR134-AT134-AV134-AX134-AZ134-BB134-BD134</f>
        <v>0</v>
      </c>
      <c r="BG134" s="85"/>
      <c r="BH134" s="84">
        <f t="shared" ref="BH134:BH167" si="722">E134-AR134-AT134-AV134-AX134-AZ134-BB134-BD134-BF134</f>
        <v>0</v>
      </c>
      <c r="BI134" s="85"/>
      <c r="BJ134" s="84">
        <f t="shared" ref="BJ134:BJ167" si="723">E134-AR134-AT134-AV134-AX134-AZ134-BB134-BD134-BF134-BH134</f>
        <v>0</v>
      </c>
      <c r="BK134" s="85"/>
      <c r="BL134" s="84">
        <f t="shared" ref="BL134:BL167" si="724">E134-AR134-AT134-AV134-AX134-AZ134-BB134-BD134-BF134-BH134-BJ134</f>
        <v>0</v>
      </c>
      <c r="BM134" s="85"/>
      <c r="BN134" s="84">
        <f t="shared" ref="BN134:BN167" si="725">E134-AR134-AT134-AV134-AX134-AZ134-BB134-BD134-BF134-BH134-BJ134-BL134</f>
        <v>0</v>
      </c>
      <c r="BO134" s="81"/>
      <c r="BP134" s="214">
        <f t="shared" ref="BP134:BP167" si="726">E134-AR134-AT134-AV134-AX134-AZ134-BB134-BD134-BF134-BH134-BJ134-BL134-BN134</f>
        <v>0</v>
      </c>
    </row>
    <row r="135" spans="1:68" ht="14.25" hidden="1" customHeight="1" x14ac:dyDescent="0.35">
      <c r="B135" s="151" t="s">
        <v>362</v>
      </c>
      <c r="C135" s="180"/>
      <c r="D135" s="83">
        <f>'2020-21'!AS48</f>
        <v>0</v>
      </c>
      <c r="E135" s="107">
        <f t="shared" si="696"/>
        <v>0</v>
      </c>
      <c r="F135" s="304"/>
      <c r="G135" s="289"/>
      <c r="H135" s="363" t="e">
        <f t="shared" si="697"/>
        <v>#DIV/0!</v>
      </c>
      <c r="I135" s="287"/>
      <c r="J135" s="313" t="e">
        <f t="shared" si="698"/>
        <v>#DIV/0!</v>
      </c>
      <c r="K135" s="287"/>
      <c r="L135" s="288" t="e">
        <f t="shared" si="694"/>
        <v>#DIV/0!</v>
      </c>
      <c r="M135" s="289"/>
      <c r="N135" s="290" t="e">
        <f t="shared" si="699"/>
        <v>#DIV/0!</v>
      </c>
      <c r="O135" s="287"/>
      <c r="P135" s="288" t="e">
        <f t="shared" si="700"/>
        <v>#DIV/0!</v>
      </c>
      <c r="Q135" s="289"/>
      <c r="R135" s="290" t="e">
        <f t="shared" si="701"/>
        <v>#DIV/0!</v>
      </c>
      <c r="S135" s="287"/>
      <c r="T135" s="288" t="e">
        <f t="shared" si="702"/>
        <v>#DIV/0!</v>
      </c>
      <c r="U135" s="287"/>
      <c r="V135" s="288" t="e">
        <f t="shared" si="703"/>
        <v>#DIV/0!</v>
      </c>
      <c r="W135" s="289"/>
      <c r="X135" s="290" t="e">
        <f t="shared" si="704"/>
        <v>#DIV/0!</v>
      </c>
      <c r="Y135" s="287"/>
      <c r="Z135" s="313" t="e">
        <f t="shared" si="705"/>
        <v>#DIV/0!</v>
      </c>
      <c r="AA135" s="289"/>
      <c r="AB135" s="363" t="e">
        <f t="shared" si="706"/>
        <v>#DIV/0!</v>
      </c>
      <c r="AC135" s="287"/>
      <c r="AD135" s="313" t="e">
        <f t="shared" si="707"/>
        <v>#DIV/0!</v>
      </c>
      <c r="AE135" s="289"/>
      <c r="AF135" s="363" t="e">
        <f t="shared" si="708"/>
        <v>#DIV/0!</v>
      </c>
      <c r="AG135" s="287"/>
      <c r="AH135" s="313" t="e">
        <f t="shared" si="709"/>
        <v>#DIV/0!</v>
      </c>
      <c r="AI135" s="289"/>
      <c r="AJ135" s="363" t="e">
        <f t="shared" si="710"/>
        <v>#DIV/0!</v>
      </c>
      <c r="AK135" s="289"/>
      <c r="AL135" s="363" t="e">
        <f t="shared" si="711"/>
        <v>#DIV/0!</v>
      </c>
      <c r="AM135" s="289"/>
      <c r="AN135" s="363" t="e">
        <f t="shared" si="712"/>
        <v>#DIV/0!</v>
      </c>
      <c r="AO135" s="289"/>
      <c r="AP135" s="363" t="e">
        <f t="shared" si="713"/>
        <v>#DIV/0!</v>
      </c>
      <c r="AQ135" s="323" t="e">
        <f t="shared" si="695"/>
        <v>#DIV/0!</v>
      </c>
      <c r="AR135" s="81">
        <f t="shared" si="714"/>
        <v>0</v>
      </c>
      <c r="AS135" s="81"/>
      <c r="AT135" s="84">
        <f t="shared" si="715"/>
        <v>0</v>
      </c>
      <c r="AU135" s="85"/>
      <c r="AV135" s="48">
        <f t="shared" si="716"/>
        <v>0</v>
      </c>
      <c r="AW135" s="81"/>
      <c r="AX135" s="84">
        <f t="shared" si="717"/>
        <v>0</v>
      </c>
      <c r="AY135" s="85"/>
      <c r="AZ135" s="84">
        <f t="shared" si="718"/>
        <v>0</v>
      </c>
      <c r="BA135" s="81"/>
      <c r="BB135" s="84">
        <f t="shared" si="719"/>
        <v>0</v>
      </c>
      <c r="BC135" s="85"/>
      <c r="BD135" s="84">
        <f t="shared" si="720"/>
        <v>0</v>
      </c>
      <c r="BE135" s="85"/>
      <c r="BF135" s="84">
        <f t="shared" si="721"/>
        <v>0</v>
      </c>
      <c r="BG135" s="85"/>
      <c r="BH135" s="84">
        <f t="shared" si="722"/>
        <v>0</v>
      </c>
      <c r="BI135" s="85"/>
      <c r="BJ135" s="84">
        <f t="shared" si="723"/>
        <v>0</v>
      </c>
      <c r="BK135" s="85"/>
      <c r="BL135" s="84">
        <f t="shared" si="724"/>
        <v>0</v>
      </c>
      <c r="BM135" s="85"/>
      <c r="BN135" s="84">
        <f t="shared" si="725"/>
        <v>0</v>
      </c>
      <c r="BO135" s="81"/>
      <c r="BP135" s="214">
        <f t="shared" si="726"/>
        <v>0</v>
      </c>
    </row>
    <row r="136" spans="1:68" ht="14.25" hidden="1" customHeight="1" x14ac:dyDescent="0.35">
      <c r="B136" s="159" t="s">
        <v>432</v>
      </c>
      <c r="C136" s="180"/>
      <c r="D136" s="83">
        <f>'2020-21'!AS49</f>
        <v>0</v>
      </c>
      <c r="E136" s="107">
        <f t="shared" si="696"/>
        <v>0</v>
      </c>
      <c r="F136" s="304"/>
      <c r="G136" s="289"/>
      <c r="H136" s="363" t="e">
        <f t="shared" si="697"/>
        <v>#DIV/0!</v>
      </c>
      <c r="I136" s="287"/>
      <c r="J136" s="313" t="e">
        <f t="shared" si="698"/>
        <v>#DIV/0!</v>
      </c>
      <c r="K136" s="287"/>
      <c r="L136" s="288" t="e">
        <f t="shared" si="694"/>
        <v>#DIV/0!</v>
      </c>
      <c r="M136" s="289"/>
      <c r="N136" s="290" t="e">
        <f t="shared" si="699"/>
        <v>#DIV/0!</v>
      </c>
      <c r="O136" s="287"/>
      <c r="P136" s="288" t="e">
        <f t="shared" si="700"/>
        <v>#DIV/0!</v>
      </c>
      <c r="Q136" s="289"/>
      <c r="R136" s="290" t="e">
        <f t="shared" si="701"/>
        <v>#DIV/0!</v>
      </c>
      <c r="S136" s="287"/>
      <c r="T136" s="288" t="e">
        <f t="shared" si="702"/>
        <v>#DIV/0!</v>
      </c>
      <c r="U136" s="287"/>
      <c r="V136" s="288" t="e">
        <f t="shared" si="703"/>
        <v>#DIV/0!</v>
      </c>
      <c r="W136" s="289"/>
      <c r="X136" s="290" t="e">
        <f t="shared" si="704"/>
        <v>#DIV/0!</v>
      </c>
      <c r="Y136" s="287"/>
      <c r="Z136" s="313" t="e">
        <f t="shared" si="705"/>
        <v>#DIV/0!</v>
      </c>
      <c r="AA136" s="289"/>
      <c r="AB136" s="363" t="e">
        <f t="shared" si="706"/>
        <v>#DIV/0!</v>
      </c>
      <c r="AC136" s="287"/>
      <c r="AD136" s="313" t="e">
        <f t="shared" si="707"/>
        <v>#DIV/0!</v>
      </c>
      <c r="AE136" s="289"/>
      <c r="AF136" s="363" t="e">
        <f t="shared" si="708"/>
        <v>#DIV/0!</v>
      </c>
      <c r="AG136" s="287"/>
      <c r="AH136" s="313" t="e">
        <f t="shared" si="709"/>
        <v>#DIV/0!</v>
      </c>
      <c r="AI136" s="289"/>
      <c r="AJ136" s="363" t="e">
        <f t="shared" si="710"/>
        <v>#DIV/0!</v>
      </c>
      <c r="AK136" s="289"/>
      <c r="AL136" s="363" t="e">
        <f t="shared" si="711"/>
        <v>#DIV/0!</v>
      </c>
      <c r="AM136" s="289"/>
      <c r="AN136" s="363" t="e">
        <f t="shared" si="712"/>
        <v>#DIV/0!</v>
      </c>
      <c r="AO136" s="289"/>
      <c r="AP136" s="363" t="e">
        <f t="shared" si="713"/>
        <v>#DIV/0!</v>
      </c>
      <c r="AQ136" s="323" t="e">
        <f t="shared" si="695"/>
        <v>#DIV/0!</v>
      </c>
      <c r="AR136" s="81">
        <f t="shared" si="714"/>
        <v>0</v>
      </c>
      <c r="AS136" s="81"/>
      <c r="AT136" s="84">
        <f t="shared" si="715"/>
        <v>0</v>
      </c>
      <c r="AU136" s="85"/>
      <c r="AV136" s="48">
        <f t="shared" si="716"/>
        <v>0</v>
      </c>
      <c r="AW136" s="81"/>
      <c r="AX136" s="84">
        <f t="shared" si="717"/>
        <v>0</v>
      </c>
      <c r="AY136" s="85"/>
      <c r="AZ136" s="84">
        <f t="shared" si="718"/>
        <v>0</v>
      </c>
      <c r="BA136" s="81"/>
      <c r="BB136" s="84">
        <f t="shared" si="719"/>
        <v>0</v>
      </c>
      <c r="BC136" s="85"/>
      <c r="BD136" s="84">
        <f t="shared" si="720"/>
        <v>0</v>
      </c>
      <c r="BE136" s="85"/>
      <c r="BF136" s="84">
        <f t="shared" si="721"/>
        <v>0</v>
      </c>
      <c r="BG136" s="85"/>
      <c r="BH136" s="84">
        <f t="shared" si="722"/>
        <v>0</v>
      </c>
      <c r="BI136" s="85"/>
      <c r="BJ136" s="84">
        <f t="shared" si="723"/>
        <v>0</v>
      </c>
      <c r="BK136" s="85"/>
      <c r="BL136" s="84">
        <f t="shared" si="724"/>
        <v>0</v>
      </c>
      <c r="BM136" s="85"/>
      <c r="BN136" s="84">
        <f t="shared" si="725"/>
        <v>0</v>
      </c>
      <c r="BO136" s="81"/>
      <c r="BP136" s="214">
        <f t="shared" si="726"/>
        <v>0</v>
      </c>
    </row>
    <row r="137" spans="1:68" ht="14.25" hidden="1" customHeight="1" x14ac:dyDescent="0.35">
      <c r="B137" s="211" t="s">
        <v>448</v>
      </c>
      <c r="C137" s="180"/>
      <c r="D137" s="83">
        <f>'2020-21'!AS50</f>
        <v>0</v>
      </c>
      <c r="E137" s="107">
        <f t="shared" si="696"/>
        <v>0</v>
      </c>
      <c r="F137" s="304"/>
      <c r="G137" s="289"/>
      <c r="H137" s="363" t="e">
        <f t="shared" si="697"/>
        <v>#DIV/0!</v>
      </c>
      <c r="I137" s="287"/>
      <c r="J137" s="313" t="e">
        <f t="shared" si="698"/>
        <v>#DIV/0!</v>
      </c>
      <c r="K137" s="287"/>
      <c r="L137" s="288" t="e">
        <f t="shared" si="694"/>
        <v>#DIV/0!</v>
      </c>
      <c r="M137" s="289"/>
      <c r="N137" s="290" t="e">
        <f t="shared" si="699"/>
        <v>#DIV/0!</v>
      </c>
      <c r="O137" s="287"/>
      <c r="P137" s="288" t="e">
        <f t="shared" si="700"/>
        <v>#DIV/0!</v>
      </c>
      <c r="Q137" s="289"/>
      <c r="R137" s="290" t="e">
        <f t="shared" si="701"/>
        <v>#DIV/0!</v>
      </c>
      <c r="S137" s="287"/>
      <c r="T137" s="288" t="e">
        <f t="shared" si="702"/>
        <v>#DIV/0!</v>
      </c>
      <c r="U137" s="287"/>
      <c r="V137" s="288" t="e">
        <f t="shared" si="703"/>
        <v>#DIV/0!</v>
      </c>
      <c r="W137" s="289"/>
      <c r="X137" s="290" t="e">
        <f t="shared" si="704"/>
        <v>#DIV/0!</v>
      </c>
      <c r="Y137" s="287"/>
      <c r="Z137" s="313" t="e">
        <f t="shared" si="705"/>
        <v>#DIV/0!</v>
      </c>
      <c r="AA137" s="289"/>
      <c r="AB137" s="363" t="e">
        <f t="shared" si="706"/>
        <v>#DIV/0!</v>
      </c>
      <c r="AC137" s="287"/>
      <c r="AD137" s="313" t="e">
        <f t="shared" si="707"/>
        <v>#DIV/0!</v>
      </c>
      <c r="AE137" s="289"/>
      <c r="AF137" s="363" t="e">
        <f t="shared" si="708"/>
        <v>#DIV/0!</v>
      </c>
      <c r="AG137" s="287"/>
      <c r="AH137" s="313" t="e">
        <f t="shared" si="709"/>
        <v>#DIV/0!</v>
      </c>
      <c r="AI137" s="289"/>
      <c r="AJ137" s="363" t="e">
        <f t="shared" si="710"/>
        <v>#DIV/0!</v>
      </c>
      <c r="AK137" s="289"/>
      <c r="AL137" s="363" t="e">
        <f t="shared" si="711"/>
        <v>#DIV/0!</v>
      </c>
      <c r="AM137" s="289"/>
      <c r="AN137" s="363" t="e">
        <f t="shared" si="712"/>
        <v>#DIV/0!</v>
      </c>
      <c r="AO137" s="289"/>
      <c r="AP137" s="363" t="e">
        <f t="shared" si="713"/>
        <v>#DIV/0!</v>
      </c>
      <c r="AQ137" s="323" t="e">
        <f t="shared" si="695"/>
        <v>#DIV/0!</v>
      </c>
      <c r="AR137" s="81">
        <f t="shared" si="714"/>
        <v>0</v>
      </c>
      <c r="AS137" s="81"/>
      <c r="AT137" s="84">
        <f t="shared" si="715"/>
        <v>0</v>
      </c>
      <c r="AU137" s="85"/>
      <c r="AV137" s="48">
        <f t="shared" si="716"/>
        <v>0</v>
      </c>
      <c r="AW137" s="48"/>
      <c r="AX137" s="84">
        <f t="shared" si="717"/>
        <v>0</v>
      </c>
      <c r="AY137" s="85"/>
      <c r="AZ137" s="84">
        <f t="shared" si="718"/>
        <v>0</v>
      </c>
      <c r="BA137" s="81"/>
      <c r="BB137" s="84">
        <f t="shared" si="719"/>
        <v>0</v>
      </c>
      <c r="BC137" s="85"/>
      <c r="BD137" s="84">
        <f t="shared" si="720"/>
        <v>0</v>
      </c>
      <c r="BE137" s="85"/>
      <c r="BF137" s="84">
        <f t="shared" si="721"/>
        <v>0</v>
      </c>
      <c r="BG137" s="85"/>
      <c r="BH137" s="84">
        <f t="shared" si="722"/>
        <v>0</v>
      </c>
      <c r="BI137" s="85"/>
      <c r="BJ137" s="84">
        <f t="shared" si="723"/>
        <v>0</v>
      </c>
      <c r="BK137" s="85"/>
      <c r="BL137" s="84">
        <f t="shared" si="724"/>
        <v>0</v>
      </c>
      <c r="BM137" s="85"/>
      <c r="BN137" s="84">
        <f t="shared" si="725"/>
        <v>0</v>
      </c>
      <c r="BO137" s="81"/>
      <c r="BP137" s="214">
        <f t="shared" si="726"/>
        <v>0</v>
      </c>
    </row>
    <row r="138" spans="1:68" ht="14.25" hidden="1" customHeight="1" x14ac:dyDescent="0.35">
      <c r="B138" s="159" t="s">
        <v>404</v>
      </c>
      <c r="C138" s="180"/>
      <c r="D138" s="83">
        <f>'2020-21'!AS51</f>
        <v>0</v>
      </c>
      <c r="E138" s="107">
        <f t="shared" si="696"/>
        <v>0</v>
      </c>
      <c r="F138" s="304">
        <f t="shared" si="696"/>
        <v>0</v>
      </c>
      <c r="G138" s="289"/>
      <c r="H138" s="363" t="e">
        <f t="shared" si="697"/>
        <v>#DIV/0!</v>
      </c>
      <c r="I138" s="287"/>
      <c r="J138" s="313" t="e">
        <f t="shared" si="698"/>
        <v>#DIV/0!</v>
      </c>
      <c r="K138" s="287"/>
      <c r="L138" s="288" t="e">
        <f t="shared" si="694"/>
        <v>#DIV/0!</v>
      </c>
      <c r="M138" s="289"/>
      <c r="N138" s="290" t="e">
        <f t="shared" si="699"/>
        <v>#DIV/0!</v>
      </c>
      <c r="O138" s="287"/>
      <c r="P138" s="288" t="e">
        <f t="shared" si="700"/>
        <v>#DIV/0!</v>
      </c>
      <c r="Q138" s="289"/>
      <c r="R138" s="290" t="e">
        <f t="shared" si="701"/>
        <v>#DIV/0!</v>
      </c>
      <c r="S138" s="287"/>
      <c r="T138" s="288" t="e">
        <f t="shared" si="702"/>
        <v>#DIV/0!</v>
      </c>
      <c r="U138" s="287"/>
      <c r="V138" s="288" t="e">
        <f t="shared" si="703"/>
        <v>#DIV/0!</v>
      </c>
      <c r="W138" s="289"/>
      <c r="X138" s="290" t="e">
        <f t="shared" si="704"/>
        <v>#DIV/0!</v>
      </c>
      <c r="Y138" s="287"/>
      <c r="Z138" s="313" t="e">
        <f t="shared" si="705"/>
        <v>#DIV/0!</v>
      </c>
      <c r="AA138" s="289"/>
      <c r="AB138" s="363" t="e">
        <f t="shared" si="706"/>
        <v>#DIV/0!</v>
      </c>
      <c r="AC138" s="287"/>
      <c r="AD138" s="313" t="e">
        <f t="shared" si="707"/>
        <v>#DIV/0!</v>
      </c>
      <c r="AE138" s="289"/>
      <c r="AF138" s="363" t="e">
        <f t="shared" si="708"/>
        <v>#DIV/0!</v>
      </c>
      <c r="AG138" s="287"/>
      <c r="AH138" s="313" t="e">
        <f t="shared" si="709"/>
        <v>#DIV/0!</v>
      </c>
      <c r="AI138" s="289"/>
      <c r="AJ138" s="363" t="e">
        <f t="shared" si="710"/>
        <v>#DIV/0!</v>
      </c>
      <c r="AK138" s="289"/>
      <c r="AL138" s="363" t="e">
        <f t="shared" si="711"/>
        <v>#DIV/0!</v>
      </c>
      <c r="AM138" s="289"/>
      <c r="AN138" s="363" t="e">
        <f t="shared" si="712"/>
        <v>#DIV/0!</v>
      </c>
      <c r="AO138" s="289"/>
      <c r="AP138" s="363" t="e">
        <f t="shared" si="713"/>
        <v>#DIV/0!</v>
      </c>
      <c r="AQ138" s="323" t="e">
        <f t="shared" si="695"/>
        <v>#DIV/0!</v>
      </c>
      <c r="AR138" s="81">
        <f t="shared" si="714"/>
        <v>0</v>
      </c>
      <c r="AS138" s="81"/>
      <c r="AT138" s="84">
        <f t="shared" si="715"/>
        <v>0</v>
      </c>
      <c r="AU138" s="85"/>
      <c r="AV138" s="48">
        <f t="shared" si="716"/>
        <v>0</v>
      </c>
      <c r="AW138" s="81"/>
      <c r="AX138" s="84">
        <f t="shared" si="717"/>
        <v>0</v>
      </c>
      <c r="AY138" s="85"/>
      <c r="AZ138" s="84">
        <f t="shared" si="718"/>
        <v>0</v>
      </c>
      <c r="BA138" s="81"/>
      <c r="BB138" s="84">
        <f t="shared" si="719"/>
        <v>0</v>
      </c>
      <c r="BC138" s="326"/>
      <c r="BD138" s="84">
        <f t="shared" si="720"/>
        <v>0</v>
      </c>
      <c r="BE138" s="85"/>
      <c r="BF138" s="84">
        <f t="shared" si="721"/>
        <v>0</v>
      </c>
      <c r="BG138" s="85"/>
      <c r="BH138" s="84">
        <f t="shared" si="722"/>
        <v>0</v>
      </c>
      <c r="BI138" s="85"/>
      <c r="BJ138" s="84">
        <f t="shared" si="723"/>
        <v>0</v>
      </c>
      <c r="BK138" s="85"/>
      <c r="BL138" s="84">
        <f t="shared" si="724"/>
        <v>0</v>
      </c>
      <c r="BM138" s="85"/>
      <c r="BN138" s="84">
        <f t="shared" si="725"/>
        <v>0</v>
      </c>
      <c r="BO138" s="81"/>
      <c r="BP138" s="214">
        <f t="shared" si="726"/>
        <v>0</v>
      </c>
    </row>
    <row r="139" spans="1:68" ht="14.25" hidden="1" customHeight="1" x14ac:dyDescent="0.35">
      <c r="B139" s="159" t="s">
        <v>474</v>
      </c>
      <c r="C139" s="180"/>
      <c r="D139" s="83">
        <f>'2020-21'!AS52</f>
        <v>-0.31000000000130967</v>
      </c>
      <c r="E139" s="107">
        <f t="shared" si="696"/>
        <v>-0.31000000000130967</v>
      </c>
      <c r="F139" s="304">
        <f t="shared" si="696"/>
        <v>-0.31000000000130967</v>
      </c>
      <c r="G139" s="289"/>
      <c r="H139" s="363">
        <f t="shared" si="697"/>
        <v>0</v>
      </c>
      <c r="I139" s="287"/>
      <c r="J139" s="313" t="e">
        <f t="shared" si="698"/>
        <v>#DIV/0!</v>
      </c>
      <c r="K139" s="287"/>
      <c r="L139" s="288">
        <f t="shared" si="694"/>
        <v>0</v>
      </c>
      <c r="M139" s="289"/>
      <c r="N139" s="290">
        <f t="shared" si="699"/>
        <v>0</v>
      </c>
      <c r="O139" s="287"/>
      <c r="P139" s="288">
        <f t="shared" si="700"/>
        <v>0</v>
      </c>
      <c r="Q139" s="289"/>
      <c r="R139" s="290">
        <f t="shared" si="701"/>
        <v>0</v>
      </c>
      <c r="S139" s="287"/>
      <c r="T139" s="288">
        <f t="shared" si="702"/>
        <v>0</v>
      </c>
      <c r="U139" s="287"/>
      <c r="V139" s="288">
        <f t="shared" si="703"/>
        <v>0</v>
      </c>
      <c r="W139" s="289"/>
      <c r="X139" s="290">
        <f t="shared" si="704"/>
        <v>0</v>
      </c>
      <c r="Y139" s="287"/>
      <c r="Z139" s="313">
        <f t="shared" si="705"/>
        <v>0</v>
      </c>
      <c r="AA139" s="289"/>
      <c r="AB139" s="363" t="e">
        <f t="shared" si="706"/>
        <v>#DIV/0!</v>
      </c>
      <c r="AC139" s="287"/>
      <c r="AD139" s="313">
        <f t="shared" si="707"/>
        <v>0</v>
      </c>
      <c r="AE139" s="289"/>
      <c r="AF139" s="363" t="e">
        <f t="shared" si="708"/>
        <v>#DIV/0!</v>
      </c>
      <c r="AG139" s="287"/>
      <c r="AH139" s="313" t="e">
        <f t="shared" si="709"/>
        <v>#DIV/0!</v>
      </c>
      <c r="AI139" s="289"/>
      <c r="AJ139" s="363">
        <f t="shared" si="710"/>
        <v>0</v>
      </c>
      <c r="AK139" s="289"/>
      <c r="AL139" s="363">
        <f t="shared" si="711"/>
        <v>0</v>
      </c>
      <c r="AM139" s="289"/>
      <c r="AN139" s="363">
        <f t="shared" si="712"/>
        <v>0</v>
      </c>
      <c r="AO139" s="289"/>
      <c r="AP139" s="363" t="e">
        <f t="shared" si="713"/>
        <v>#DIV/0!</v>
      </c>
      <c r="AQ139" s="323" t="e">
        <f t="shared" si="695"/>
        <v>#DIV/0!</v>
      </c>
      <c r="AR139" s="81">
        <f t="shared" si="714"/>
        <v>-0.31000000000130967</v>
      </c>
      <c r="AS139" s="81"/>
      <c r="AT139" s="84">
        <f t="shared" si="715"/>
        <v>0</v>
      </c>
      <c r="AU139" s="85"/>
      <c r="AV139" s="48">
        <f t="shared" si="716"/>
        <v>0</v>
      </c>
      <c r="AW139" s="81"/>
      <c r="AX139" s="84">
        <f t="shared" si="717"/>
        <v>0</v>
      </c>
      <c r="AY139" s="85"/>
      <c r="AZ139" s="84">
        <f t="shared" si="718"/>
        <v>0</v>
      </c>
      <c r="BA139" s="81"/>
      <c r="BB139" s="84">
        <f t="shared" si="719"/>
        <v>0</v>
      </c>
      <c r="BC139" s="85"/>
      <c r="BD139" s="84">
        <f t="shared" si="720"/>
        <v>0</v>
      </c>
      <c r="BE139" s="85"/>
      <c r="BF139" s="84">
        <f t="shared" si="721"/>
        <v>0</v>
      </c>
      <c r="BG139" s="85"/>
      <c r="BH139" s="84">
        <f t="shared" si="722"/>
        <v>0</v>
      </c>
      <c r="BI139" s="85"/>
      <c r="BJ139" s="84">
        <f t="shared" si="723"/>
        <v>0</v>
      </c>
      <c r="BK139" s="85"/>
      <c r="BL139" s="84">
        <f t="shared" si="724"/>
        <v>0</v>
      </c>
      <c r="BM139" s="85"/>
      <c r="BN139" s="84">
        <f t="shared" si="725"/>
        <v>0</v>
      </c>
      <c r="BO139" s="81"/>
      <c r="BP139" s="214">
        <f t="shared" si="726"/>
        <v>0</v>
      </c>
    </row>
    <row r="140" spans="1:68" ht="14.25" hidden="1" customHeight="1" x14ac:dyDescent="0.35">
      <c r="B140" s="159" t="s">
        <v>473</v>
      </c>
      <c r="C140" s="180"/>
      <c r="D140" s="83">
        <f>'2020-21'!AS53</f>
        <v>0</v>
      </c>
      <c r="E140" s="107">
        <f t="shared" si="696"/>
        <v>0</v>
      </c>
      <c r="F140" s="304">
        <f t="shared" si="696"/>
        <v>0</v>
      </c>
      <c r="G140" s="289"/>
      <c r="H140" s="363" t="e">
        <f t="shared" si="697"/>
        <v>#DIV/0!</v>
      </c>
      <c r="I140" s="287"/>
      <c r="J140" s="313" t="e">
        <f t="shared" si="698"/>
        <v>#DIV/0!</v>
      </c>
      <c r="K140" s="287"/>
      <c r="L140" s="288" t="e">
        <f t="shared" si="694"/>
        <v>#DIV/0!</v>
      </c>
      <c r="M140" s="289"/>
      <c r="N140" s="290" t="e">
        <f t="shared" si="699"/>
        <v>#DIV/0!</v>
      </c>
      <c r="O140" s="287"/>
      <c r="P140" s="288" t="e">
        <f t="shared" si="700"/>
        <v>#DIV/0!</v>
      </c>
      <c r="Q140" s="289"/>
      <c r="R140" s="290" t="e">
        <f t="shared" si="701"/>
        <v>#DIV/0!</v>
      </c>
      <c r="S140" s="287"/>
      <c r="T140" s="288" t="e">
        <f t="shared" si="702"/>
        <v>#DIV/0!</v>
      </c>
      <c r="U140" s="287"/>
      <c r="V140" s="288" t="e">
        <f t="shared" si="703"/>
        <v>#DIV/0!</v>
      </c>
      <c r="W140" s="289"/>
      <c r="X140" s="290" t="e">
        <f t="shared" si="704"/>
        <v>#DIV/0!</v>
      </c>
      <c r="Y140" s="287"/>
      <c r="Z140" s="313" t="e">
        <f t="shared" si="705"/>
        <v>#DIV/0!</v>
      </c>
      <c r="AA140" s="289"/>
      <c r="AB140" s="363" t="e">
        <f t="shared" si="706"/>
        <v>#DIV/0!</v>
      </c>
      <c r="AC140" s="287"/>
      <c r="AD140" s="313" t="e">
        <f t="shared" si="707"/>
        <v>#DIV/0!</v>
      </c>
      <c r="AE140" s="289"/>
      <c r="AF140" s="363" t="e">
        <f t="shared" si="708"/>
        <v>#DIV/0!</v>
      </c>
      <c r="AG140" s="287"/>
      <c r="AH140" s="313" t="e">
        <f t="shared" si="709"/>
        <v>#DIV/0!</v>
      </c>
      <c r="AI140" s="289"/>
      <c r="AJ140" s="363" t="e">
        <f t="shared" si="710"/>
        <v>#DIV/0!</v>
      </c>
      <c r="AK140" s="289"/>
      <c r="AL140" s="363" t="e">
        <f t="shared" si="711"/>
        <v>#DIV/0!</v>
      </c>
      <c r="AM140" s="289"/>
      <c r="AN140" s="363" t="e">
        <f t="shared" si="712"/>
        <v>#DIV/0!</v>
      </c>
      <c r="AO140" s="289"/>
      <c r="AP140" s="363" t="e">
        <f t="shared" si="713"/>
        <v>#DIV/0!</v>
      </c>
      <c r="AQ140" s="323" t="e">
        <f t="shared" si="695"/>
        <v>#DIV/0!</v>
      </c>
      <c r="AR140" s="81">
        <f t="shared" si="714"/>
        <v>0</v>
      </c>
      <c r="AS140" s="81"/>
      <c r="AT140" s="84">
        <f t="shared" si="715"/>
        <v>0</v>
      </c>
      <c r="AU140" s="85"/>
      <c r="AV140" s="48">
        <f t="shared" si="716"/>
        <v>0</v>
      </c>
      <c r="AW140" s="81"/>
      <c r="AX140" s="84">
        <f t="shared" si="717"/>
        <v>0</v>
      </c>
      <c r="AY140" s="85"/>
      <c r="AZ140" s="84">
        <f t="shared" si="718"/>
        <v>0</v>
      </c>
      <c r="BA140" s="81"/>
      <c r="BB140" s="84">
        <f t="shared" si="719"/>
        <v>0</v>
      </c>
      <c r="BC140" s="85"/>
      <c r="BD140" s="84">
        <f t="shared" si="720"/>
        <v>0</v>
      </c>
      <c r="BE140" s="85"/>
      <c r="BF140" s="84">
        <f t="shared" si="721"/>
        <v>0</v>
      </c>
      <c r="BG140" s="85"/>
      <c r="BH140" s="84">
        <f t="shared" si="722"/>
        <v>0</v>
      </c>
      <c r="BI140" s="85"/>
      <c r="BJ140" s="84">
        <f t="shared" si="723"/>
        <v>0</v>
      </c>
      <c r="BK140" s="85"/>
      <c r="BL140" s="84">
        <f t="shared" si="724"/>
        <v>0</v>
      </c>
      <c r="BM140" s="85"/>
      <c r="BN140" s="84">
        <f t="shared" si="725"/>
        <v>0</v>
      </c>
      <c r="BO140" s="81"/>
      <c r="BP140" s="214">
        <f t="shared" si="726"/>
        <v>0</v>
      </c>
    </row>
    <row r="141" spans="1:68" ht="14.25" hidden="1" customHeight="1" x14ac:dyDescent="0.35">
      <c r="B141" s="211" t="s">
        <v>445</v>
      </c>
      <c r="C141" s="180"/>
      <c r="D141" s="83">
        <f>'2020-21'!AS54</f>
        <v>0</v>
      </c>
      <c r="E141" s="107">
        <f t="shared" si="696"/>
        <v>0</v>
      </c>
      <c r="F141" s="304">
        <f t="shared" si="696"/>
        <v>0</v>
      </c>
      <c r="G141" s="289"/>
      <c r="H141" s="363" t="e">
        <f t="shared" si="697"/>
        <v>#DIV/0!</v>
      </c>
      <c r="I141" s="287"/>
      <c r="J141" s="313" t="e">
        <f t="shared" si="698"/>
        <v>#DIV/0!</v>
      </c>
      <c r="K141" s="287"/>
      <c r="L141" s="288" t="e">
        <f t="shared" si="694"/>
        <v>#DIV/0!</v>
      </c>
      <c r="M141" s="289"/>
      <c r="N141" s="290" t="e">
        <f t="shared" si="699"/>
        <v>#DIV/0!</v>
      </c>
      <c r="O141" s="287"/>
      <c r="P141" s="288" t="e">
        <f t="shared" si="700"/>
        <v>#DIV/0!</v>
      </c>
      <c r="Q141" s="289"/>
      <c r="R141" s="290" t="e">
        <f t="shared" si="701"/>
        <v>#DIV/0!</v>
      </c>
      <c r="S141" s="287"/>
      <c r="T141" s="288" t="e">
        <f t="shared" si="702"/>
        <v>#DIV/0!</v>
      </c>
      <c r="U141" s="287"/>
      <c r="V141" s="288" t="e">
        <f t="shared" si="703"/>
        <v>#DIV/0!</v>
      </c>
      <c r="W141" s="289"/>
      <c r="X141" s="290" t="e">
        <f t="shared" si="704"/>
        <v>#DIV/0!</v>
      </c>
      <c r="Y141" s="287"/>
      <c r="Z141" s="313" t="e">
        <f t="shared" si="705"/>
        <v>#DIV/0!</v>
      </c>
      <c r="AA141" s="289"/>
      <c r="AB141" s="363" t="e">
        <f t="shared" si="706"/>
        <v>#DIV/0!</v>
      </c>
      <c r="AC141" s="287"/>
      <c r="AD141" s="313" t="e">
        <f t="shared" si="707"/>
        <v>#DIV/0!</v>
      </c>
      <c r="AE141" s="289"/>
      <c r="AF141" s="363" t="e">
        <f t="shared" si="708"/>
        <v>#DIV/0!</v>
      </c>
      <c r="AG141" s="287"/>
      <c r="AH141" s="313" t="e">
        <f t="shared" si="709"/>
        <v>#DIV/0!</v>
      </c>
      <c r="AI141" s="289"/>
      <c r="AJ141" s="363" t="e">
        <f t="shared" si="710"/>
        <v>#DIV/0!</v>
      </c>
      <c r="AK141" s="289"/>
      <c r="AL141" s="363" t="e">
        <f t="shared" si="711"/>
        <v>#DIV/0!</v>
      </c>
      <c r="AM141" s="289"/>
      <c r="AN141" s="363" t="e">
        <f t="shared" si="712"/>
        <v>#DIV/0!</v>
      </c>
      <c r="AO141" s="289"/>
      <c r="AP141" s="363" t="e">
        <f t="shared" si="713"/>
        <v>#DIV/0!</v>
      </c>
      <c r="AQ141" s="323" t="e">
        <f t="shared" si="695"/>
        <v>#DIV/0!</v>
      </c>
      <c r="AR141" s="81">
        <f t="shared" si="714"/>
        <v>0</v>
      </c>
      <c r="AS141" s="81"/>
      <c r="AT141" s="84">
        <f t="shared" si="715"/>
        <v>0</v>
      </c>
      <c r="AU141" s="85"/>
      <c r="AV141" s="48">
        <f t="shared" si="716"/>
        <v>0</v>
      </c>
      <c r="AW141" s="81"/>
      <c r="AX141" s="84">
        <f t="shared" si="717"/>
        <v>0</v>
      </c>
      <c r="AY141" s="85"/>
      <c r="AZ141" s="84">
        <f t="shared" si="718"/>
        <v>0</v>
      </c>
      <c r="BA141" s="81"/>
      <c r="BB141" s="84">
        <f t="shared" si="719"/>
        <v>0</v>
      </c>
      <c r="BC141" s="85"/>
      <c r="BD141" s="84">
        <f t="shared" si="720"/>
        <v>0</v>
      </c>
      <c r="BE141" s="85"/>
      <c r="BF141" s="84">
        <f t="shared" si="721"/>
        <v>0</v>
      </c>
      <c r="BG141" s="85"/>
      <c r="BH141" s="84">
        <f t="shared" si="722"/>
        <v>0</v>
      </c>
      <c r="BI141" s="85"/>
      <c r="BJ141" s="84">
        <f t="shared" si="723"/>
        <v>0</v>
      </c>
      <c r="BK141" s="85"/>
      <c r="BL141" s="84">
        <f t="shared" si="724"/>
        <v>0</v>
      </c>
      <c r="BM141" s="85"/>
      <c r="BN141" s="84">
        <f t="shared" si="725"/>
        <v>0</v>
      </c>
      <c r="BO141" s="81"/>
      <c r="BP141" s="214">
        <f t="shared" si="726"/>
        <v>0</v>
      </c>
    </row>
    <row r="142" spans="1:68" ht="14.25" hidden="1" customHeight="1" x14ac:dyDescent="0.35">
      <c r="B142" s="41" t="s">
        <v>349</v>
      </c>
      <c r="C142" s="174"/>
      <c r="D142" s="83">
        <f>'2020-21'!AS55</f>
        <v>0</v>
      </c>
      <c r="E142" s="107">
        <f t="shared" si="696"/>
        <v>0</v>
      </c>
      <c r="F142" s="304">
        <f t="shared" si="696"/>
        <v>0</v>
      </c>
      <c r="G142" s="289"/>
      <c r="H142" s="363" t="e">
        <f t="shared" si="697"/>
        <v>#DIV/0!</v>
      </c>
      <c r="I142" s="287"/>
      <c r="J142" s="313" t="e">
        <f t="shared" si="698"/>
        <v>#DIV/0!</v>
      </c>
      <c r="K142" s="287"/>
      <c r="L142" s="288" t="e">
        <f t="shared" si="694"/>
        <v>#DIV/0!</v>
      </c>
      <c r="M142" s="289"/>
      <c r="N142" s="290" t="e">
        <f t="shared" si="699"/>
        <v>#DIV/0!</v>
      </c>
      <c r="O142" s="287"/>
      <c r="P142" s="288" t="e">
        <f t="shared" si="700"/>
        <v>#DIV/0!</v>
      </c>
      <c r="Q142" s="289"/>
      <c r="R142" s="290" t="e">
        <f t="shared" si="701"/>
        <v>#DIV/0!</v>
      </c>
      <c r="S142" s="287"/>
      <c r="T142" s="288" t="e">
        <f t="shared" si="702"/>
        <v>#DIV/0!</v>
      </c>
      <c r="U142" s="287"/>
      <c r="V142" s="288" t="e">
        <f t="shared" si="703"/>
        <v>#DIV/0!</v>
      </c>
      <c r="W142" s="289"/>
      <c r="X142" s="290" t="e">
        <f t="shared" si="704"/>
        <v>#DIV/0!</v>
      </c>
      <c r="Y142" s="287"/>
      <c r="Z142" s="313" t="e">
        <f t="shared" si="705"/>
        <v>#DIV/0!</v>
      </c>
      <c r="AA142" s="289"/>
      <c r="AB142" s="363" t="e">
        <f t="shared" si="706"/>
        <v>#DIV/0!</v>
      </c>
      <c r="AC142" s="287"/>
      <c r="AD142" s="313" t="e">
        <f t="shared" si="707"/>
        <v>#DIV/0!</v>
      </c>
      <c r="AE142" s="289"/>
      <c r="AF142" s="363" t="e">
        <f t="shared" si="708"/>
        <v>#DIV/0!</v>
      </c>
      <c r="AG142" s="287"/>
      <c r="AH142" s="313" t="e">
        <f t="shared" si="709"/>
        <v>#DIV/0!</v>
      </c>
      <c r="AI142" s="289"/>
      <c r="AJ142" s="363" t="e">
        <f t="shared" si="710"/>
        <v>#DIV/0!</v>
      </c>
      <c r="AK142" s="289"/>
      <c r="AL142" s="363" t="e">
        <f t="shared" si="711"/>
        <v>#DIV/0!</v>
      </c>
      <c r="AM142" s="289"/>
      <c r="AN142" s="363" t="e">
        <f t="shared" si="712"/>
        <v>#DIV/0!</v>
      </c>
      <c r="AO142" s="289"/>
      <c r="AP142" s="363" t="e">
        <f t="shared" si="713"/>
        <v>#DIV/0!</v>
      </c>
      <c r="AQ142" s="323" t="e">
        <f t="shared" si="695"/>
        <v>#DIV/0!</v>
      </c>
      <c r="AR142" s="81">
        <f t="shared" si="714"/>
        <v>0</v>
      </c>
      <c r="AS142" s="81"/>
      <c r="AT142" s="84">
        <f t="shared" si="715"/>
        <v>0</v>
      </c>
      <c r="AU142" s="85"/>
      <c r="AV142" s="48">
        <f t="shared" si="716"/>
        <v>0</v>
      </c>
      <c r="AW142" s="81"/>
      <c r="AX142" s="84">
        <f t="shared" si="717"/>
        <v>0</v>
      </c>
      <c r="AY142" s="85"/>
      <c r="AZ142" s="84">
        <f t="shared" si="718"/>
        <v>0</v>
      </c>
      <c r="BA142" s="81"/>
      <c r="BB142" s="84">
        <f t="shared" si="719"/>
        <v>0</v>
      </c>
      <c r="BC142" s="85"/>
      <c r="BD142" s="84">
        <f t="shared" si="720"/>
        <v>0</v>
      </c>
      <c r="BE142" s="85"/>
      <c r="BF142" s="84">
        <f t="shared" si="721"/>
        <v>0</v>
      </c>
      <c r="BG142" s="85"/>
      <c r="BH142" s="84">
        <f t="shared" si="722"/>
        <v>0</v>
      </c>
      <c r="BI142" s="85"/>
      <c r="BJ142" s="84">
        <f t="shared" si="723"/>
        <v>0</v>
      </c>
      <c r="BK142" s="85"/>
      <c r="BL142" s="84">
        <f t="shared" si="724"/>
        <v>0</v>
      </c>
      <c r="BM142" s="85"/>
      <c r="BN142" s="84">
        <f t="shared" si="725"/>
        <v>0</v>
      </c>
      <c r="BO142" s="81"/>
      <c r="BP142" s="214">
        <f t="shared" si="726"/>
        <v>0</v>
      </c>
    </row>
    <row r="143" spans="1:68" ht="14.25" hidden="1" customHeight="1" x14ac:dyDescent="0.35">
      <c r="B143" s="149" t="s">
        <v>395</v>
      </c>
      <c r="C143" s="180"/>
      <c r="D143" s="83">
        <f>'2020-21'!AS56</f>
        <v>0</v>
      </c>
      <c r="E143" s="107">
        <f t="shared" si="696"/>
        <v>0</v>
      </c>
      <c r="F143" s="304">
        <f t="shared" si="696"/>
        <v>0</v>
      </c>
      <c r="G143" s="289"/>
      <c r="H143" s="363" t="e">
        <f t="shared" si="697"/>
        <v>#DIV/0!</v>
      </c>
      <c r="I143" s="287"/>
      <c r="J143" s="313" t="e">
        <f t="shared" si="698"/>
        <v>#DIV/0!</v>
      </c>
      <c r="K143" s="287"/>
      <c r="L143" s="288" t="e">
        <f t="shared" si="694"/>
        <v>#DIV/0!</v>
      </c>
      <c r="M143" s="289"/>
      <c r="N143" s="290" t="e">
        <f t="shared" si="699"/>
        <v>#DIV/0!</v>
      </c>
      <c r="O143" s="287"/>
      <c r="P143" s="288" t="e">
        <f t="shared" si="700"/>
        <v>#DIV/0!</v>
      </c>
      <c r="Q143" s="289"/>
      <c r="R143" s="290" t="e">
        <f t="shared" si="701"/>
        <v>#DIV/0!</v>
      </c>
      <c r="S143" s="287"/>
      <c r="T143" s="288" t="e">
        <f t="shared" si="702"/>
        <v>#DIV/0!</v>
      </c>
      <c r="U143" s="287"/>
      <c r="V143" s="288" t="e">
        <f t="shared" si="703"/>
        <v>#DIV/0!</v>
      </c>
      <c r="W143" s="289"/>
      <c r="X143" s="290" t="e">
        <f t="shared" si="704"/>
        <v>#DIV/0!</v>
      </c>
      <c r="Y143" s="287"/>
      <c r="Z143" s="313" t="e">
        <f t="shared" si="705"/>
        <v>#DIV/0!</v>
      </c>
      <c r="AA143" s="289"/>
      <c r="AB143" s="363" t="e">
        <f t="shared" si="706"/>
        <v>#DIV/0!</v>
      </c>
      <c r="AC143" s="287"/>
      <c r="AD143" s="313" t="e">
        <f t="shared" si="707"/>
        <v>#DIV/0!</v>
      </c>
      <c r="AE143" s="289"/>
      <c r="AF143" s="363" t="e">
        <f t="shared" si="708"/>
        <v>#DIV/0!</v>
      </c>
      <c r="AG143" s="287"/>
      <c r="AH143" s="313" t="e">
        <f t="shared" si="709"/>
        <v>#DIV/0!</v>
      </c>
      <c r="AI143" s="289"/>
      <c r="AJ143" s="363" t="e">
        <f t="shared" si="710"/>
        <v>#DIV/0!</v>
      </c>
      <c r="AK143" s="289"/>
      <c r="AL143" s="363" t="e">
        <f t="shared" si="711"/>
        <v>#DIV/0!</v>
      </c>
      <c r="AM143" s="289"/>
      <c r="AN143" s="363" t="e">
        <f t="shared" si="712"/>
        <v>#DIV/0!</v>
      </c>
      <c r="AO143" s="289"/>
      <c r="AP143" s="363" t="e">
        <f t="shared" si="713"/>
        <v>#DIV/0!</v>
      </c>
      <c r="AQ143" s="323" t="e">
        <f t="shared" si="695"/>
        <v>#DIV/0!</v>
      </c>
      <c r="AR143" s="81">
        <f t="shared" si="714"/>
        <v>0</v>
      </c>
      <c r="AS143" s="81"/>
      <c r="AT143" s="84">
        <f t="shared" si="715"/>
        <v>0</v>
      </c>
      <c r="AU143" s="85"/>
      <c r="AV143" s="48">
        <f t="shared" si="716"/>
        <v>0</v>
      </c>
      <c r="AW143" s="81"/>
      <c r="AX143" s="84">
        <f t="shared" si="717"/>
        <v>0</v>
      </c>
      <c r="AY143" s="85"/>
      <c r="AZ143" s="84">
        <f t="shared" si="718"/>
        <v>0</v>
      </c>
      <c r="BA143" s="81"/>
      <c r="BB143" s="84">
        <f t="shared" si="719"/>
        <v>0</v>
      </c>
      <c r="BC143" s="85"/>
      <c r="BD143" s="84">
        <f t="shared" si="720"/>
        <v>0</v>
      </c>
      <c r="BE143" s="85"/>
      <c r="BF143" s="84">
        <f t="shared" si="721"/>
        <v>0</v>
      </c>
      <c r="BG143" s="85"/>
      <c r="BH143" s="84">
        <f t="shared" si="722"/>
        <v>0</v>
      </c>
      <c r="BI143" s="85"/>
      <c r="BJ143" s="84">
        <f t="shared" si="723"/>
        <v>0</v>
      </c>
      <c r="BK143" s="85"/>
      <c r="BL143" s="84">
        <f t="shared" si="724"/>
        <v>0</v>
      </c>
      <c r="BM143" s="85"/>
      <c r="BN143" s="84">
        <f t="shared" si="725"/>
        <v>0</v>
      </c>
      <c r="BO143" s="81"/>
      <c r="BP143" s="214">
        <f t="shared" si="726"/>
        <v>0</v>
      </c>
    </row>
    <row r="144" spans="1:68" ht="14.25" hidden="1" customHeight="1" x14ac:dyDescent="0.35">
      <c r="B144" s="159" t="s">
        <v>430</v>
      </c>
      <c r="C144" s="180"/>
      <c r="D144" s="83">
        <f>'2020-21'!AS57</f>
        <v>0</v>
      </c>
      <c r="E144" s="107">
        <f t="shared" si="696"/>
        <v>0</v>
      </c>
      <c r="F144" s="304">
        <f t="shared" si="696"/>
        <v>0</v>
      </c>
      <c r="G144" s="289"/>
      <c r="H144" s="363" t="e">
        <f t="shared" si="697"/>
        <v>#DIV/0!</v>
      </c>
      <c r="I144" s="287"/>
      <c r="J144" s="313" t="e">
        <f t="shared" si="698"/>
        <v>#DIV/0!</v>
      </c>
      <c r="K144" s="287"/>
      <c r="L144" s="288" t="e">
        <f t="shared" si="694"/>
        <v>#DIV/0!</v>
      </c>
      <c r="M144" s="289"/>
      <c r="N144" s="290" t="e">
        <f t="shared" si="699"/>
        <v>#DIV/0!</v>
      </c>
      <c r="O144" s="287"/>
      <c r="P144" s="288" t="e">
        <f t="shared" si="700"/>
        <v>#DIV/0!</v>
      </c>
      <c r="Q144" s="289"/>
      <c r="R144" s="290" t="e">
        <f t="shared" si="701"/>
        <v>#DIV/0!</v>
      </c>
      <c r="S144" s="287"/>
      <c r="T144" s="288" t="e">
        <f t="shared" si="702"/>
        <v>#DIV/0!</v>
      </c>
      <c r="U144" s="287"/>
      <c r="V144" s="288" t="e">
        <f t="shared" si="703"/>
        <v>#DIV/0!</v>
      </c>
      <c r="W144" s="289"/>
      <c r="X144" s="290" t="e">
        <f t="shared" si="704"/>
        <v>#DIV/0!</v>
      </c>
      <c r="Y144" s="287"/>
      <c r="Z144" s="313" t="e">
        <f t="shared" si="705"/>
        <v>#DIV/0!</v>
      </c>
      <c r="AA144" s="289"/>
      <c r="AB144" s="363" t="e">
        <f t="shared" si="706"/>
        <v>#DIV/0!</v>
      </c>
      <c r="AC144" s="287"/>
      <c r="AD144" s="313" t="e">
        <f t="shared" si="707"/>
        <v>#DIV/0!</v>
      </c>
      <c r="AE144" s="289"/>
      <c r="AF144" s="363" t="e">
        <f t="shared" si="708"/>
        <v>#DIV/0!</v>
      </c>
      <c r="AG144" s="287"/>
      <c r="AH144" s="313" t="e">
        <f t="shared" si="709"/>
        <v>#DIV/0!</v>
      </c>
      <c r="AI144" s="289"/>
      <c r="AJ144" s="363" t="e">
        <f t="shared" si="710"/>
        <v>#DIV/0!</v>
      </c>
      <c r="AK144" s="289"/>
      <c r="AL144" s="363" t="e">
        <f t="shared" si="711"/>
        <v>#DIV/0!</v>
      </c>
      <c r="AM144" s="289"/>
      <c r="AN144" s="363" t="e">
        <f t="shared" si="712"/>
        <v>#DIV/0!</v>
      </c>
      <c r="AO144" s="289"/>
      <c r="AP144" s="363" t="e">
        <f t="shared" si="713"/>
        <v>#DIV/0!</v>
      </c>
      <c r="AQ144" s="323" t="e">
        <f t="shared" si="695"/>
        <v>#DIV/0!</v>
      </c>
      <c r="AR144" s="81">
        <f t="shared" si="714"/>
        <v>0</v>
      </c>
      <c r="AS144" s="81"/>
      <c r="AT144" s="84">
        <f t="shared" si="715"/>
        <v>0</v>
      </c>
      <c r="AU144" s="85"/>
      <c r="AV144" s="48">
        <f t="shared" si="716"/>
        <v>0</v>
      </c>
      <c r="AW144" s="81"/>
      <c r="AX144" s="84">
        <f t="shared" si="717"/>
        <v>0</v>
      </c>
      <c r="AY144" s="85"/>
      <c r="AZ144" s="84">
        <f t="shared" si="718"/>
        <v>0</v>
      </c>
      <c r="BA144" s="81"/>
      <c r="BB144" s="84">
        <f t="shared" si="719"/>
        <v>0</v>
      </c>
      <c r="BC144" s="85"/>
      <c r="BD144" s="84">
        <f t="shared" si="720"/>
        <v>0</v>
      </c>
      <c r="BE144" s="85"/>
      <c r="BF144" s="84">
        <f t="shared" si="721"/>
        <v>0</v>
      </c>
      <c r="BG144" s="85"/>
      <c r="BH144" s="84">
        <f t="shared" si="722"/>
        <v>0</v>
      </c>
      <c r="BI144" s="85"/>
      <c r="BJ144" s="84">
        <f t="shared" si="723"/>
        <v>0</v>
      </c>
      <c r="BK144" s="85"/>
      <c r="BL144" s="84">
        <f t="shared" si="724"/>
        <v>0</v>
      </c>
      <c r="BM144" s="85"/>
      <c r="BN144" s="84">
        <f t="shared" si="725"/>
        <v>0</v>
      </c>
      <c r="BO144" s="81"/>
      <c r="BP144" s="214">
        <f t="shared" si="726"/>
        <v>0</v>
      </c>
    </row>
    <row r="145" spans="2:68" ht="14.25" hidden="1" customHeight="1" x14ac:dyDescent="0.35">
      <c r="B145" s="159" t="s">
        <v>429</v>
      </c>
      <c r="C145" s="180"/>
      <c r="D145" s="83">
        <f>'2020-21'!AS58</f>
        <v>0</v>
      </c>
      <c r="E145" s="107">
        <f t="shared" si="696"/>
        <v>0</v>
      </c>
      <c r="F145" s="304">
        <f t="shared" si="696"/>
        <v>0</v>
      </c>
      <c r="G145" s="289"/>
      <c r="H145" s="363" t="e">
        <f t="shared" si="697"/>
        <v>#DIV/0!</v>
      </c>
      <c r="I145" s="287"/>
      <c r="J145" s="313" t="e">
        <f t="shared" si="698"/>
        <v>#DIV/0!</v>
      </c>
      <c r="K145" s="287"/>
      <c r="L145" s="288" t="e">
        <f t="shared" ref="L145:L167" si="727">K145/F145</f>
        <v>#DIV/0!</v>
      </c>
      <c r="M145" s="289"/>
      <c r="N145" s="290" t="e">
        <f t="shared" ref="N145:N167" si="728">M145/F145</f>
        <v>#DIV/0!</v>
      </c>
      <c r="O145" s="287"/>
      <c r="P145" s="288" t="e">
        <f t="shared" ref="P145:P167" si="729">O145/F145</f>
        <v>#DIV/0!</v>
      </c>
      <c r="Q145" s="289"/>
      <c r="R145" s="290" t="e">
        <f t="shared" ref="R145:R167" si="730">Q145/F145</f>
        <v>#DIV/0!</v>
      </c>
      <c r="S145" s="287"/>
      <c r="T145" s="288" t="e">
        <f t="shared" si="702"/>
        <v>#DIV/0!</v>
      </c>
      <c r="U145" s="287"/>
      <c r="V145" s="288" t="e">
        <f t="shared" ref="V145:V167" si="731">U145/F145</f>
        <v>#DIV/0!</v>
      </c>
      <c r="W145" s="289"/>
      <c r="X145" s="290" t="e">
        <f t="shared" ref="X145:X167" si="732">W145/F145</f>
        <v>#DIV/0!</v>
      </c>
      <c r="Y145" s="287"/>
      <c r="Z145" s="313" t="e">
        <f t="shared" ref="Z145:Z167" si="733">Y145/F145</f>
        <v>#DIV/0!</v>
      </c>
      <c r="AA145" s="289"/>
      <c r="AB145" s="363" t="e">
        <f t="shared" si="706"/>
        <v>#DIV/0!</v>
      </c>
      <c r="AC145" s="287"/>
      <c r="AD145" s="313" t="e">
        <f t="shared" si="707"/>
        <v>#DIV/0!</v>
      </c>
      <c r="AE145" s="289"/>
      <c r="AF145" s="363" t="e">
        <f t="shared" si="708"/>
        <v>#DIV/0!</v>
      </c>
      <c r="AG145" s="287"/>
      <c r="AH145" s="313" t="e">
        <f t="shared" si="709"/>
        <v>#DIV/0!</v>
      </c>
      <c r="AI145" s="289"/>
      <c r="AJ145" s="363" t="e">
        <f t="shared" si="710"/>
        <v>#DIV/0!</v>
      </c>
      <c r="AK145" s="289"/>
      <c r="AL145" s="363" t="e">
        <f t="shared" si="711"/>
        <v>#DIV/0!</v>
      </c>
      <c r="AM145" s="289"/>
      <c r="AN145" s="363" t="e">
        <f t="shared" si="712"/>
        <v>#DIV/0!</v>
      </c>
      <c r="AO145" s="289"/>
      <c r="AP145" s="363" t="e">
        <f t="shared" si="713"/>
        <v>#DIV/0!</v>
      </c>
      <c r="AQ145" s="323" t="e">
        <f t="shared" si="695"/>
        <v>#DIV/0!</v>
      </c>
      <c r="AR145" s="81">
        <f t="shared" si="714"/>
        <v>0</v>
      </c>
      <c r="AS145" s="81"/>
      <c r="AT145" s="84">
        <f t="shared" si="715"/>
        <v>0</v>
      </c>
      <c r="AU145" s="85"/>
      <c r="AV145" s="48">
        <f t="shared" si="716"/>
        <v>0</v>
      </c>
      <c r="AW145" s="81"/>
      <c r="AX145" s="84">
        <f t="shared" si="717"/>
        <v>0</v>
      </c>
      <c r="AY145" s="85"/>
      <c r="AZ145" s="84">
        <f t="shared" si="718"/>
        <v>0</v>
      </c>
      <c r="BA145" s="81"/>
      <c r="BB145" s="84">
        <f t="shared" si="719"/>
        <v>0</v>
      </c>
      <c r="BC145" s="85"/>
      <c r="BD145" s="84">
        <f t="shared" si="720"/>
        <v>0</v>
      </c>
      <c r="BE145" s="85"/>
      <c r="BF145" s="84">
        <f t="shared" si="721"/>
        <v>0</v>
      </c>
      <c r="BG145" s="85"/>
      <c r="BH145" s="84">
        <f t="shared" si="722"/>
        <v>0</v>
      </c>
      <c r="BI145" s="85"/>
      <c r="BJ145" s="84">
        <f t="shared" si="723"/>
        <v>0</v>
      </c>
      <c r="BK145" s="85"/>
      <c r="BL145" s="84">
        <f t="shared" si="724"/>
        <v>0</v>
      </c>
      <c r="BM145" s="85"/>
      <c r="BN145" s="84">
        <f t="shared" si="725"/>
        <v>0</v>
      </c>
      <c r="BO145" s="81"/>
      <c r="BP145" s="214">
        <f t="shared" si="726"/>
        <v>0</v>
      </c>
    </row>
    <row r="146" spans="2:68" ht="14.25" hidden="1" customHeight="1" x14ac:dyDescent="0.35">
      <c r="B146" s="159" t="s">
        <v>416</v>
      </c>
      <c r="C146" s="170"/>
      <c r="D146" s="83">
        <f>'2020-21'!AS59</f>
        <v>0</v>
      </c>
      <c r="E146" s="107">
        <f t="shared" si="696"/>
        <v>0</v>
      </c>
      <c r="F146" s="304">
        <f t="shared" si="696"/>
        <v>0</v>
      </c>
      <c r="G146" s="289"/>
      <c r="H146" s="363" t="e">
        <f t="shared" si="697"/>
        <v>#DIV/0!</v>
      </c>
      <c r="I146" s="287"/>
      <c r="J146" s="313" t="e">
        <f t="shared" si="698"/>
        <v>#DIV/0!</v>
      </c>
      <c r="K146" s="287"/>
      <c r="L146" s="288" t="e">
        <f t="shared" si="727"/>
        <v>#DIV/0!</v>
      </c>
      <c r="M146" s="289"/>
      <c r="N146" s="290" t="e">
        <f t="shared" si="728"/>
        <v>#DIV/0!</v>
      </c>
      <c r="O146" s="287"/>
      <c r="P146" s="288" t="e">
        <f t="shared" si="729"/>
        <v>#DIV/0!</v>
      </c>
      <c r="Q146" s="289"/>
      <c r="R146" s="290" t="e">
        <f t="shared" si="730"/>
        <v>#DIV/0!</v>
      </c>
      <c r="S146" s="287"/>
      <c r="T146" s="288" t="e">
        <f t="shared" si="702"/>
        <v>#DIV/0!</v>
      </c>
      <c r="U146" s="287"/>
      <c r="V146" s="288" t="e">
        <f t="shared" si="731"/>
        <v>#DIV/0!</v>
      </c>
      <c r="W146" s="289"/>
      <c r="X146" s="290" t="e">
        <f t="shared" si="732"/>
        <v>#DIV/0!</v>
      </c>
      <c r="Y146" s="287"/>
      <c r="Z146" s="313" t="e">
        <f t="shared" si="733"/>
        <v>#DIV/0!</v>
      </c>
      <c r="AA146" s="289"/>
      <c r="AB146" s="363" t="e">
        <f t="shared" si="706"/>
        <v>#DIV/0!</v>
      </c>
      <c r="AC146" s="287"/>
      <c r="AD146" s="313" t="e">
        <f t="shared" si="707"/>
        <v>#DIV/0!</v>
      </c>
      <c r="AE146" s="289"/>
      <c r="AF146" s="363" t="e">
        <f t="shared" si="708"/>
        <v>#DIV/0!</v>
      </c>
      <c r="AG146" s="287"/>
      <c r="AH146" s="313" t="e">
        <f t="shared" si="709"/>
        <v>#DIV/0!</v>
      </c>
      <c r="AI146" s="289"/>
      <c r="AJ146" s="363" t="e">
        <f t="shared" si="710"/>
        <v>#DIV/0!</v>
      </c>
      <c r="AK146" s="289"/>
      <c r="AL146" s="363" t="e">
        <f t="shared" si="711"/>
        <v>#DIV/0!</v>
      </c>
      <c r="AM146" s="289"/>
      <c r="AN146" s="363" t="e">
        <f t="shared" si="712"/>
        <v>#DIV/0!</v>
      </c>
      <c r="AO146" s="289"/>
      <c r="AP146" s="363" t="e">
        <f t="shared" si="713"/>
        <v>#DIV/0!</v>
      </c>
      <c r="AQ146" s="323" t="e">
        <f t="shared" si="695"/>
        <v>#DIV/0!</v>
      </c>
      <c r="AR146" s="81">
        <f t="shared" si="714"/>
        <v>0</v>
      </c>
      <c r="AS146" s="81"/>
      <c r="AT146" s="84">
        <f t="shared" si="715"/>
        <v>0</v>
      </c>
      <c r="AU146" s="85"/>
      <c r="AV146" s="48">
        <f t="shared" si="716"/>
        <v>0</v>
      </c>
      <c r="AW146" s="81"/>
      <c r="AX146" s="84">
        <f t="shared" si="717"/>
        <v>0</v>
      </c>
      <c r="AY146" s="85"/>
      <c r="AZ146" s="84">
        <f t="shared" si="718"/>
        <v>0</v>
      </c>
      <c r="BA146" s="81"/>
      <c r="BB146" s="84">
        <f t="shared" si="719"/>
        <v>0</v>
      </c>
      <c r="BC146" s="85"/>
      <c r="BD146" s="84">
        <f t="shared" si="720"/>
        <v>0</v>
      </c>
      <c r="BE146" s="85"/>
      <c r="BF146" s="84">
        <f t="shared" si="721"/>
        <v>0</v>
      </c>
      <c r="BG146" s="85"/>
      <c r="BH146" s="84">
        <f t="shared" si="722"/>
        <v>0</v>
      </c>
      <c r="BI146" s="85"/>
      <c r="BJ146" s="84">
        <f t="shared" si="723"/>
        <v>0</v>
      </c>
      <c r="BK146" s="85"/>
      <c r="BL146" s="84">
        <f t="shared" si="724"/>
        <v>0</v>
      </c>
      <c r="BM146" s="85"/>
      <c r="BN146" s="84">
        <f t="shared" si="725"/>
        <v>0</v>
      </c>
      <c r="BO146" s="81"/>
      <c r="BP146" s="214">
        <f t="shared" si="726"/>
        <v>0</v>
      </c>
    </row>
    <row r="147" spans="2:68" ht="14.25" hidden="1" customHeight="1" x14ac:dyDescent="0.35">
      <c r="B147" s="149" t="s">
        <v>396</v>
      </c>
      <c r="C147" s="170"/>
      <c r="D147" s="83">
        <f>'2020-21'!AS60</f>
        <v>0</v>
      </c>
      <c r="E147" s="107">
        <f t="shared" si="696"/>
        <v>0</v>
      </c>
      <c r="F147" s="304">
        <f t="shared" si="696"/>
        <v>0</v>
      </c>
      <c r="G147" s="289"/>
      <c r="H147" s="363" t="e">
        <f t="shared" si="697"/>
        <v>#DIV/0!</v>
      </c>
      <c r="I147" s="287"/>
      <c r="J147" s="313" t="e">
        <f t="shared" si="698"/>
        <v>#DIV/0!</v>
      </c>
      <c r="K147" s="287"/>
      <c r="L147" s="288" t="e">
        <f t="shared" si="727"/>
        <v>#DIV/0!</v>
      </c>
      <c r="M147" s="289"/>
      <c r="N147" s="290" t="e">
        <f t="shared" si="728"/>
        <v>#DIV/0!</v>
      </c>
      <c r="O147" s="287"/>
      <c r="P147" s="288" t="e">
        <f t="shared" si="729"/>
        <v>#DIV/0!</v>
      </c>
      <c r="Q147" s="289"/>
      <c r="R147" s="290" t="e">
        <f t="shared" si="730"/>
        <v>#DIV/0!</v>
      </c>
      <c r="S147" s="287"/>
      <c r="T147" s="288" t="e">
        <f t="shared" si="702"/>
        <v>#DIV/0!</v>
      </c>
      <c r="U147" s="287"/>
      <c r="V147" s="288" t="e">
        <f t="shared" si="731"/>
        <v>#DIV/0!</v>
      </c>
      <c r="W147" s="289"/>
      <c r="X147" s="290" t="e">
        <f t="shared" si="732"/>
        <v>#DIV/0!</v>
      </c>
      <c r="Y147" s="287"/>
      <c r="Z147" s="313" t="e">
        <f t="shared" si="733"/>
        <v>#DIV/0!</v>
      </c>
      <c r="AA147" s="289"/>
      <c r="AB147" s="363" t="e">
        <f t="shared" si="706"/>
        <v>#DIV/0!</v>
      </c>
      <c r="AC147" s="287"/>
      <c r="AD147" s="313" t="e">
        <f t="shared" si="707"/>
        <v>#DIV/0!</v>
      </c>
      <c r="AE147" s="289"/>
      <c r="AF147" s="363" t="e">
        <f t="shared" si="708"/>
        <v>#DIV/0!</v>
      </c>
      <c r="AG147" s="287"/>
      <c r="AH147" s="313" t="e">
        <f t="shared" si="709"/>
        <v>#DIV/0!</v>
      </c>
      <c r="AI147" s="289"/>
      <c r="AJ147" s="363" t="e">
        <f t="shared" si="710"/>
        <v>#DIV/0!</v>
      </c>
      <c r="AK147" s="289"/>
      <c r="AL147" s="363" t="e">
        <f t="shared" si="711"/>
        <v>#DIV/0!</v>
      </c>
      <c r="AM147" s="289"/>
      <c r="AN147" s="363" t="e">
        <f t="shared" si="712"/>
        <v>#DIV/0!</v>
      </c>
      <c r="AO147" s="289"/>
      <c r="AP147" s="363" t="e">
        <f t="shared" si="713"/>
        <v>#DIV/0!</v>
      </c>
      <c r="AQ147" s="323" t="e">
        <f t="shared" si="695"/>
        <v>#DIV/0!</v>
      </c>
      <c r="AR147" s="81">
        <f t="shared" si="714"/>
        <v>0</v>
      </c>
      <c r="AS147" s="81"/>
      <c r="AT147" s="84">
        <f t="shared" si="715"/>
        <v>0</v>
      </c>
      <c r="AU147" s="85"/>
      <c r="AV147" s="48">
        <f t="shared" si="716"/>
        <v>0</v>
      </c>
      <c r="AW147" s="81"/>
      <c r="AX147" s="84">
        <f t="shared" si="717"/>
        <v>0</v>
      </c>
      <c r="AY147" s="85"/>
      <c r="AZ147" s="84">
        <f t="shared" si="718"/>
        <v>0</v>
      </c>
      <c r="BA147" s="81"/>
      <c r="BB147" s="84">
        <f t="shared" si="719"/>
        <v>0</v>
      </c>
      <c r="BC147" s="85"/>
      <c r="BD147" s="84">
        <f t="shared" si="720"/>
        <v>0</v>
      </c>
      <c r="BE147" s="85"/>
      <c r="BF147" s="84">
        <f t="shared" si="721"/>
        <v>0</v>
      </c>
      <c r="BG147" s="85"/>
      <c r="BH147" s="84">
        <f t="shared" si="722"/>
        <v>0</v>
      </c>
      <c r="BI147" s="85"/>
      <c r="BJ147" s="84">
        <f t="shared" si="723"/>
        <v>0</v>
      </c>
      <c r="BK147" s="85"/>
      <c r="BL147" s="84">
        <f t="shared" si="724"/>
        <v>0</v>
      </c>
      <c r="BM147" s="85"/>
      <c r="BN147" s="84">
        <f t="shared" si="725"/>
        <v>0</v>
      </c>
      <c r="BO147" s="81"/>
      <c r="BP147" s="214">
        <f t="shared" si="726"/>
        <v>0</v>
      </c>
    </row>
    <row r="148" spans="2:68" ht="14.25" hidden="1" customHeight="1" x14ac:dyDescent="0.35">
      <c r="B148" s="159" t="s">
        <v>382</v>
      </c>
      <c r="C148" s="170"/>
      <c r="D148" s="83">
        <f>'2020-21'!AS61</f>
        <v>0</v>
      </c>
      <c r="E148" s="107">
        <f t="shared" si="696"/>
        <v>0</v>
      </c>
      <c r="F148" s="304">
        <f t="shared" si="696"/>
        <v>0</v>
      </c>
      <c r="G148" s="289"/>
      <c r="H148" s="363" t="e">
        <f t="shared" si="697"/>
        <v>#DIV/0!</v>
      </c>
      <c r="I148" s="287"/>
      <c r="J148" s="313" t="e">
        <f t="shared" si="698"/>
        <v>#DIV/0!</v>
      </c>
      <c r="K148" s="287"/>
      <c r="L148" s="288" t="e">
        <f t="shared" si="727"/>
        <v>#DIV/0!</v>
      </c>
      <c r="M148" s="289"/>
      <c r="N148" s="290" t="e">
        <f t="shared" si="728"/>
        <v>#DIV/0!</v>
      </c>
      <c r="O148" s="287"/>
      <c r="P148" s="288" t="e">
        <f t="shared" si="729"/>
        <v>#DIV/0!</v>
      </c>
      <c r="Q148" s="289"/>
      <c r="R148" s="290" t="e">
        <f t="shared" si="730"/>
        <v>#DIV/0!</v>
      </c>
      <c r="S148" s="287"/>
      <c r="T148" s="288" t="e">
        <f t="shared" si="702"/>
        <v>#DIV/0!</v>
      </c>
      <c r="U148" s="287"/>
      <c r="V148" s="288" t="e">
        <f t="shared" si="731"/>
        <v>#DIV/0!</v>
      </c>
      <c r="W148" s="289"/>
      <c r="X148" s="290" t="e">
        <f t="shared" si="732"/>
        <v>#DIV/0!</v>
      </c>
      <c r="Y148" s="287"/>
      <c r="Z148" s="313" t="e">
        <f t="shared" si="733"/>
        <v>#DIV/0!</v>
      </c>
      <c r="AA148" s="289"/>
      <c r="AB148" s="363" t="e">
        <f t="shared" si="706"/>
        <v>#DIV/0!</v>
      </c>
      <c r="AC148" s="287"/>
      <c r="AD148" s="313" t="e">
        <f t="shared" si="707"/>
        <v>#DIV/0!</v>
      </c>
      <c r="AE148" s="289"/>
      <c r="AF148" s="363" t="e">
        <f t="shared" si="708"/>
        <v>#DIV/0!</v>
      </c>
      <c r="AG148" s="287"/>
      <c r="AH148" s="313" t="e">
        <f t="shared" si="709"/>
        <v>#DIV/0!</v>
      </c>
      <c r="AI148" s="289"/>
      <c r="AJ148" s="363" t="e">
        <f t="shared" si="710"/>
        <v>#DIV/0!</v>
      </c>
      <c r="AK148" s="289"/>
      <c r="AL148" s="363" t="e">
        <f t="shared" si="711"/>
        <v>#DIV/0!</v>
      </c>
      <c r="AM148" s="289"/>
      <c r="AN148" s="363" t="e">
        <f t="shared" si="712"/>
        <v>#DIV/0!</v>
      </c>
      <c r="AO148" s="289"/>
      <c r="AP148" s="363" t="e">
        <f t="shared" si="713"/>
        <v>#DIV/0!</v>
      </c>
      <c r="AQ148" s="323" t="e">
        <f t="shared" si="695"/>
        <v>#DIV/0!</v>
      </c>
      <c r="AR148" s="81">
        <f t="shared" si="714"/>
        <v>0</v>
      </c>
      <c r="AS148" s="81"/>
      <c r="AT148" s="84">
        <f t="shared" si="715"/>
        <v>0</v>
      </c>
      <c r="AU148" s="85"/>
      <c r="AV148" s="48">
        <f t="shared" si="716"/>
        <v>0</v>
      </c>
      <c r="AW148" s="81"/>
      <c r="AX148" s="84">
        <f t="shared" si="717"/>
        <v>0</v>
      </c>
      <c r="AY148" s="85"/>
      <c r="AZ148" s="84">
        <f t="shared" si="718"/>
        <v>0</v>
      </c>
      <c r="BA148" s="81"/>
      <c r="BB148" s="84">
        <f t="shared" si="719"/>
        <v>0</v>
      </c>
      <c r="BC148" s="85"/>
      <c r="BD148" s="84">
        <f t="shared" si="720"/>
        <v>0</v>
      </c>
      <c r="BE148" s="85"/>
      <c r="BF148" s="84">
        <f t="shared" si="721"/>
        <v>0</v>
      </c>
      <c r="BG148" s="85"/>
      <c r="BH148" s="84">
        <f t="shared" si="722"/>
        <v>0</v>
      </c>
      <c r="BI148" s="85"/>
      <c r="BJ148" s="84">
        <f t="shared" si="723"/>
        <v>0</v>
      </c>
      <c r="BK148" s="85"/>
      <c r="BL148" s="84">
        <f t="shared" si="724"/>
        <v>0</v>
      </c>
      <c r="BM148" s="85"/>
      <c r="BN148" s="84">
        <f t="shared" si="725"/>
        <v>0</v>
      </c>
      <c r="BO148" s="81"/>
      <c r="BP148" s="214">
        <f t="shared" si="726"/>
        <v>0</v>
      </c>
    </row>
    <row r="149" spans="2:68" ht="14.25" hidden="1" customHeight="1" x14ac:dyDescent="0.35">
      <c r="B149" s="160" t="s">
        <v>433</v>
      </c>
      <c r="C149" s="170"/>
      <c r="D149" s="83">
        <f>'2020-21'!AS62</f>
        <v>0</v>
      </c>
      <c r="E149" s="107">
        <f t="shared" si="696"/>
        <v>0</v>
      </c>
      <c r="F149" s="304">
        <f t="shared" si="696"/>
        <v>0</v>
      </c>
      <c r="G149" s="289"/>
      <c r="H149" s="363" t="e">
        <f t="shared" si="697"/>
        <v>#DIV/0!</v>
      </c>
      <c r="I149" s="287"/>
      <c r="J149" s="313" t="e">
        <f t="shared" si="698"/>
        <v>#DIV/0!</v>
      </c>
      <c r="K149" s="287"/>
      <c r="L149" s="288" t="e">
        <f t="shared" si="727"/>
        <v>#DIV/0!</v>
      </c>
      <c r="M149" s="289"/>
      <c r="N149" s="290" t="e">
        <f t="shared" si="728"/>
        <v>#DIV/0!</v>
      </c>
      <c r="O149" s="287"/>
      <c r="P149" s="288" t="e">
        <f t="shared" si="729"/>
        <v>#DIV/0!</v>
      </c>
      <c r="Q149" s="289"/>
      <c r="R149" s="290" t="e">
        <f t="shared" si="730"/>
        <v>#DIV/0!</v>
      </c>
      <c r="S149" s="287"/>
      <c r="T149" s="288" t="e">
        <f t="shared" si="702"/>
        <v>#DIV/0!</v>
      </c>
      <c r="U149" s="287"/>
      <c r="V149" s="288" t="e">
        <f t="shared" si="731"/>
        <v>#DIV/0!</v>
      </c>
      <c r="W149" s="289"/>
      <c r="X149" s="290" t="e">
        <f t="shared" si="732"/>
        <v>#DIV/0!</v>
      </c>
      <c r="Y149" s="287"/>
      <c r="Z149" s="313" t="e">
        <f t="shared" si="733"/>
        <v>#DIV/0!</v>
      </c>
      <c r="AA149" s="289"/>
      <c r="AB149" s="363" t="e">
        <f t="shared" si="706"/>
        <v>#DIV/0!</v>
      </c>
      <c r="AC149" s="287"/>
      <c r="AD149" s="313" t="e">
        <f t="shared" si="707"/>
        <v>#DIV/0!</v>
      </c>
      <c r="AE149" s="289"/>
      <c r="AF149" s="363" t="e">
        <f t="shared" si="708"/>
        <v>#DIV/0!</v>
      </c>
      <c r="AG149" s="287"/>
      <c r="AH149" s="313" t="e">
        <f t="shared" si="709"/>
        <v>#DIV/0!</v>
      </c>
      <c r="AI149" s="289"/>
      <c r="AJ149" s="363" t="e">
        <f t="shared" si="710"/>
        <v>#DIV/0!</v>
      </c>
      <c r="AK149" s="289"/>
      <c r="AL149" s="363" t="e">
        <f t="shared" si="711"/>
        <v>#DIV/0!</v>
      </c>
      <c r="AM149" s="289"/>
      <c r="AN149" s="363" t="e">
        <f t="shared" si="712"/>
        <v>#DIV/0!</v>
      </c>
      <c r="AO149" s="289"/>
      <c r="AP149" s="363" t="e">
        <f t="shared" si="713"/>
        <v>#DIV/0!</v>
      </c>
      <c r="AQ149" s="323" t="e">
        <f t="shared" si="695"/>
        <v>#DIV/0!</v>
      </c>
      <c r="AR149" s="81">
        <f t="shared" si="714"/>
        <v>0</v>
      </c>
      <c r="AS149" s="81"/>
      <c r="AT149" s="84">
        <f t="shared" si="715"/>
        <v>0</v>
      </c>
      <c r="AU149" s="85"/>
      <c r="AV149" s="48">
        <f t="shared" si="716"/>
        <v>0</v>
      </c>
      <c r="AW149" s="81"/>
      <c r="AX149" s="84">
        <f t="shared" si="717"/>
        <v>0</v>
      </c>
      <c r="AY149" s="85"/>
      <c r="AZ149" s="84">
        <f t="shared" si="718"/>
        <v>0</v>
      </c>
      <c r="BA149" s="81"/>
      <c r="BB149" s="84">
        <f t="shared" si="719"/>
        <v>0</v>
      </c>
      <c r="BC149" s="85"/>
      <c r="BD149" s="84">
        <f t="shared" si="720"/>
        <v>0</v>
      </c>
      <c r="BE149" s="85"/>
      <c r="BF149" s="84">
        <f t="shared" si="721"/>
        <v>0</v>
      </c>
      <c r="BG149" s="85"/>
      <c r="BH149" s="84">
        <f t="shared" si="722"/>
        <v>0</v>
      </c>
      <c r="BI149" s="85"/>
      <c r="BJ149" s="84">
        <f t="shared" si="723"/>
        <v>0</v>
      </c>
      <c r="BK149" s="85"/>
      <c r="BL149" s="84">
        <f t="shared" si="724"/>
        <v>0</v>
      </c>
      <c r="BM149" s="85"/>
      <c r="BN149" s="84">
        <f t="shared" si="725"/>
        <v>0</v>
      </c>
      <c r="BO149" s="81"/>
      <c r="BP149" s="214">
        <f t="shared" si="726"/>
        <v>0</v>
      </c>
    </row>
    <row r="150" spans="2:68" ht="14.25" hidden="1" customHeight="1" x14ac:dyDescent="0.35">
      <c r="B150" s="100" t="s">
        <v>356</v>
      </c>
      <c r="C150" s="172"/>
      <c r="D150" s="83">
        <f>'2020-21'!AS63</f>
        <v>0</v>
      </c>
      <c r="E150" s="107">
        <f t="shared" si="696"/>
        <v>0</v>
      </c>
      <c r="F150" s="304">
        <f t="shared" si="696"/>
        <v>0</v>
      </c>
      <c r="G150" s="289"/>
      <c r="H150" s="363" t="e">
        <f t="shared" si="697"/>
        <v>#DIV/0!</v>
      </c>
      <c r="I150" s="287"/>
      <c r="J150" s="313" t="e">
        <f t="shared" si="698"/>
        <v>#DIV/0!</v>
      </c>
      <c r="K150" s="287"/>
      <c r="L150" s="288" t="e">
        <f t="shared" si="727"/>
        <v>#DIV/0!</v>
      </c>
      <c r="M150" s="289"/>
      <c r="N150" s="290" t="e">
        <f t="shared" si="728"/>
        <v>#DIV/0!</v>
      </c>
      <c r="O150" s="287"/>
      <c r="P150" s="288" t="e">
        <f t="shared" si="729"/>
        <v>#DIV/0!</v>
      </c>
      <c r="Q150" s="289"/>
      <c r="R150" s="290" t="e">
        <f t="shared" si="730"/>
        <v>#DIV/0!</v>
      </c>
      <c r="S150" s="287"/>
      <c r="T150" s="288" t="e">
        <f t="shared" si="702"/>
        <v>#DIV/0!</v>
      </c>
      <c r="U150" s="287"/>
      <c r="V150" s="288" t="e">
        <f t="shared" si="731"/>
        <v>#DIV/0!</v>
      </c>
      <c r="W150" s="289"/>
      <c r="X150" s="290" t="e">
        <f t="shared" si="732"/>
        <v>#DIV/0!</v>
      </c>
      <c r="Y150" s="287"/>
      <c r="Z150" s="313" t="e">
        <f t="shared" si="733"/>
        <v>#DIV/0!</v>
      </c>
      <c r="AA150" s="289"/>
      <c r="AB150" s="363" t="e">
        <f t="shared" si="706"/>
        <v>#DIV/0!</v>
      </c>
      <c r="AC150" s="287"/>
      <c r="AD150" s="313" t="e">
        <f t="shared" si="707"/>
        <v>#DIV/0!</v>
      </c>
      <c r="AE150" s="289"/>
      <c r="AF150" s="363" t="e">
        <f t="shared" si="708"/>
        <v>#DIV/0!</v>
      </c>
      <c r="AG150" s="287"/>
      <c r="AH150" s="313" t="e">
        <f t="shared" si="709"/>
        <v>#DIV/0!</v>
      </c>
      <c r="AI150" s="289"/>
      <c r="AJ150" s="363" t="e">
        <f t="shared" si="710"/>
        <v>#DIV/0!</v>
      </c>
      <c r="AK150" s="289"/>
      <c r="AL150" s="363" t="e">
        <f t="shared" si="711"/>
        <v>#DIV/0!</v>
      </c>
      <c r="AM150" s="289"/>
      <c r="AN150" s="363" t="e">
        <f t="shared" si="712"/>
        <v>#DIV/0!</v>
      </c>
      <c r="AO150" s="289"/>
      <c r="AP150" s="363" t="e">
        <f t="shared" si="713"/>
        <v>#DIV/0!</v>
      </c>
      <c r="AQ150" s="323" t="e">
        <f t="shared" si="695"/>
        <v>#DIV/0!</v>
      </c>
      <c r="AR150" s="81">
        <f t="shared" si="714"/>
        <v>0</v>
      </c>
      <c r="AS150" s="81"/>
      <c r="AT150" s="84">
        <f t="shared" si="715"/>
        <v>0</v>
      </c>
      <c r="AU150" s="85"/>
      <c r="AV150" s="48">
        <f t="shared" si="716"/>
        <v>0</v>
      </c>
      <c r="AW150" s="81"/>
      <c r="AX150" s="84">
        <f t="shared" si="717"/>
        <v>0</v>
      </c>
      <c r="AY150" s="85"/>
      <c r="AZ150" s="84">
        <f t="shared" si="718"/>
        <v>0</v>
      </c>
      <c r="BA150" s="81"/>
      <c r="BB150" s="84">
        <f t="shared" si="719"/>
        <v>0</v>
      </c>
      <c r="BC150" s="85"/>
      <c r="BD150" s="84">
        <f t="shared" si="720"/>
        <v>0</v>
      </c>
      <c r="BE150" s="85"/>
      <c r="BF150" s="84">
        <f t="shared" si="721"/>
        <v>0</v>
      </c>
      <c r="BG150" s="85"/>
      <c r="BH150" s="84">
        <f t="shared" si="722"/>
        <v>0</v>
      </c>
      <c r="BI150" s="85"/>
      <c r="BJ150" s="84">
        <f t="shared" si="723"/>
        <v>0</v>
      </c>
      <c r="BK150" s="85"/>
      <c r="BL150" s="84">
        <f t="shared" si="724"/>
        <v>0</v>
      </c>
      <c r="BM150" s="85"/>
      <c r="BN150" s="84">
        <f t="shared" si="725"/>
        <v>0</v>
      </c>
      <c r="BO150" s="81"/>
      <c r="BP150" s="214">
        <f t="shared" si="726"/>
        <v>0</v>
      </c>
    </row>
    <row r="151" spans="2:68" ht="14.25" hidden="1" customHeight="1" x14ac:dyDescent="0.35">
      <c r="B151" s="160" t="s">
        <v>423</v>
      </c>
      <c r="C151" s="170"/>
      <c r="D151" s="83">
        <f>'2020-21'!AS64</f>
        <v>0</v>
      </c>
      <c r="E151" s="107">
        <f t="shared" si="696"/>
        <v>0</v>
      </c>
      <c r="F151" s="304">
        <f t="shared" si="696"/>
        <v>0</v>
      </c>
      <c r="G151" s="289"/>
      <c r="H151" s="363" t="e">
        <f t="shared" si="697"/>
        <v>#DIV/0!</v>
      </c>
      <c r="I151" s="287"/>
      <c r="J151" s="313" t="e">
        <f t="shared" si="698"/>
        <v>#DIV/0!</v>
      </c>
      <c r="K151" s="287"/>
      <c r="L151" s="288" t="e">
        <f t="shared" si="727"/>
        <v>#DIV/0!</v>
      </c>
      <c r="M151" s="289"/>
      <c r="N151" s="290" t="e">
        <f t="shared" si="728"/>
        <v>#DIV/0!</v>
      </c>
      <c r="O151" s="287"/>
      <c r="P151" s="288" t="e">
        <f t="shared" si="729"/>
        <v>#DIV/0!</v>
      </c>
      <c r="Q151" s="289"/>
      <c r="R151" s="290" t="e">
        <f t="shared" si="730"/>
        <v>#DIV/0!</v>
      </c>
      <c r="S151" s="287"/>
      <c r="T151" s="288" t="e">
        <f t="shared" si="702"/>
        <v>#DIV/0!</v>
      </c>
      <c r="U151" s="287"/>
      <c r="V151" s="288" t="e">
        <f t="shared" si="731"/>
        <v>#DIV/0!</v>
      </c>
      <c r="W151" s="289"/>
      <c r="X151" s="290" t="e">
        <f t="shared" si="732"/>
        <v>#DIV/0!</v>
      </c>
      <c r="Y151" s="287"/>
      <c r="Z151" s="313" t="e">
        <f t="shared" si="733"/>
        <v>#DIV/0!</v>
      </c>
      <c r="AA151" s="289"/>
      <c r="AB151" s="363" t="e">
        <f t="shared" si="706"/>
        <v>#DIV/0!</v>
      </c>
      <c r="AC151" s="287"/>
      <c r="AD151" s="313" t="e">
        <f t="shared" si="707"/>
        <v>#DIV/0!</v>
      </c>
      <c r="AE151" s="289"/>
      <c r="AF151" s="363" t="e">
        <f t="shared" si="708"/>
        <v>#DIV/0!</v>
      </c>
      <c r="AG151" s="287"/>
      <c r="AH151" s="313" t="e">
        <f t="shared" si="709"/>
        <v>#DIV/0!</v>
      </c>
      <c r="AI151" s="289"/>
      <c r="AJ151" s="363" t="e">
        <f t="shared" si="710"/>
        <v>#DIV/0!</v>
      </c>
      <c r="AK151" s="289"/>
      <c r="AL151" s="363" t="e">
        <f t="shared" si="711"/>
        <v>#DIV/0!</v>
      </c>
      <c r="AM151" s="289"/>
      <c r="AN151" s="363" t="e">
        <f t="shared" si="712"/>
        <v>#DIV/0!</v>
      </c>
      <c r="AO151" s="289"/>
      <c r="AP151" s="363" t="e">
        <f t="shared" si="713"/>
        <v>#DIV/0!</v>
      </c>
      <c r="AQ151" s="323" t="e">
        <f t="shared" si="695"/>
        <v>#DIV/0!</v>
      </c>
      <c r="AR151" s="81">
        <f t="shared" si="714"/>
        <v>0</v>
      </c>
      <c r="AS151" s="81"/>
      <c r="AT151" s="84">
        <f t="shared" si="715"/>
        <v>0</v>
      </c>
      <c r="AU151" s="85"/>
      <c r="AV151" s="48">
        <f t="shared" si="716"/>
        <v>0</v>
      </c>
      <c r="AW151" s="81"/>
      <c r="AX151" s="84">
        <f t="shared" si="717"/>
        <v>0</v>
      </c>
      <c r="AY151" s="85"/>
      <c r="AZ151" s="84">
        <f t="shared" si="718"/>
        <v>0</v>
      </c>
      <c r="BA151" s="81"/>
      <c r="BB151" s="84">
        <f t="shared" si="719"/>
        <v>0</v>
      </c>
      <c r="BC151" s="85"/>
      <c r="BD151" s="84">
        <f t="shared" si="720"/>
        <v>0</v>
      </c>
      <c r="BE151" s="85"/>
      <c r="BF151" s="84">
        <f t="shared" si="721"/>
        <v>0</v>
      </c>
      <c r="BG151" s="85"/>
      <c r="BH151" s="84">
        <f t="shared" si="722"/>
        <v>0</v>
      </c>
      <c r="BI151" s="85"/>
      <c r="BJ151" s="84">
        <f t="shared" si="723"/>
        <v>0</v>
      </c>
      <c r="BK151" s="85"/>
      <c r="BL151" s="84">
        <f t="shared" si="724"/>
        <v>0</v>
      </c>
      <c r="BM151" s="85"/>
      <c r="BN151" s="84">
        <f t="shared" si="725"/>
        <v>0</v>
      </c>
      <c r="BO151" s="81"/>
      <c r="BP151" s="214">
        <f t="shared" si="726"/>
        <v>0</v>
      </c>
    </row>
    <row r="152" spans="2:68" ht="14.25" hidden="1" customHeight="1" x14ac:dyDescent="0.35">
      <c r="B152" s="151" t="s">
        <v>421</v>
      </c>
      <c r="C152" s="170"/>
      <c r="D152" s="83">
        <f>'2020-21'!AS65</f>
        <v>0</v>
      </c>
      <c r="E152" s="107">
        <f t="shared" si="696"/>
        <v>0</v>
      </c>
      <c r="F152" s="304">
        <f t="shared" si="696"/>
        <v>0</v>
      </c>
      <c r="G152" s="289"/>
      <c r="H152" s="363" t="e">
        <f t="shared" si="697"/>
        <v>#DIV/0!</v>
      </c>
      <c r="I152" s="287"/>
      <c r="J152" s="313" t="e">
        <f t="shared" si="698"/>
        <v>#DIV/0!</v>
      </c>
      <c r="K152" s="287"/>
      <c r="L152" s="288" t="e">
        <f t="shared" si="727"/>
        <v>#DIV/0!</v>
      </c>
      <c r="M152" s="289"/>
      <c r="N152" s="290" t="e">
        <f t="shared" si="728"/>
        <v>#DIV/0!</v>
      </c>
      <c r="O152" s="287"/>
      <c r="P152" s="288" t="e">
        <f t="shared" si="729"/>
        <v>#DIV/0!</v>
      </c>
      <c r="Q152" s="289"/>
      <c r="R152" s="290" t="e">
        <f t="shared" si="730"/>
        <v>#DIV/0!</v>
      </c>
      <c r="S152" s="287"/>
      <c r="T152" s="288" t="e">
        <f t="shared" si="702"/>
        <v>#DIV/0!</v>
      </c>
      <c r="U152" s="287"/>
      <c r="V152" s="288" t="e">
        <f t="shared" si="731"/>
        <v>#DIV/0!</v>
      </c>
      <c r="W152" s="289"/>
      <c r="X152" s="290" t="e">
        <f t="shared" si="732"/>
        <v>#DIV/0!</v>
      </c>
      <c r="Y152" s="287"/>
      <c r="Z152" s="313" t="e">
        <f t="shared" si="733"/>
        <v>#DIV/0!</v>
      </c>
      <c r="AA152" s="289"/>
      <c r="AB152" s="363" t="e">
        <f t="shared" si="706"/>
        <v>#DIV/0!</v>
      </c>
      <c r="AC152" s="287"/>
      <c r="AD152" s="313" t="e">
        <f t="shared" si="707"/>
        <v>#DIV/0!</v>
      </c>
      <c r="AE152" s="289"/>
      <c r="AF152" s="363" t="e">
        <f t="shared" si="708"/>
        <v>#DIV/0!</v>
      </c>
      <c r="AG152" s="287"/>
      <c r="AH152" s="313" t="e">
        <f t="shared" si="709"/>
        <v>#DIV/0!</v>
      </c>
      <c r="AI152" s="289"/>
      <c r="AJ152" s="363" t="e">
        <f t="shared" si="710"/>
        <v>#DIV/0!</v>
      </c>
      <c r="AK152" s="289"/>
      <c r="AL152" s="363" t="e">
        <f t="shared" si="711"/>
        <v>#DIV/0!</v>
      </c>
      <c r="AM152" s="289"/>
      <c r="AN152" s="363" t="e">
        <f t="shared" si="712"/>
        <v>#DIV/0!</v>
      </c>
      <c r="AO152" s="289"/>
      <c r="AP152" s="363" t="e">
        <f t="shared" si="713"/>
        <v>#DIV/0!</v>
      </c>
      <c r="AQ152" s="323" t="e">
        <f t="shared" si="695"/>
        <v>#DIV/0!</v>
      </c>
      <c r="AR152" s="81">
        <f t="shared" si="714"/>
        <v>0</v>
      </c>
      <c r="AS152" s="81"/>
      <c r="AT152" s="84">
        <f t="shared" si="715"/>
        <v>0</v>
      </c>
      <c r="AU152" s="51"/>
      <c r="AV152" s="48">
        <f t="shared" si="716"/>
        <v>0</v>
      </c>
      <c r="AW152" s="81"/>
      <c r="AX152" s="84">
        <f t="shared" si="717"/>
        <v>0</v>
      </c>
      <c r="AY152" s="85"/>
      <c r="AZ152" s="84">
        <f t="shared" si="718"/>
        <v>0</v>
      </c>
      <c r="BA152" s="81"/>
      <c r="BB152" s="84">
        <f t="shared" si="719"/>
        <v>0</v>
      </c>
      <c r="BC152" s="85"/>
      <c r="BD152" s="84">
        <f t="shared" si="720"/>
        <v>0</v>
      </c>
      <c r="BE152" s="85"/>
      <c r="BF152" s="84">
        <f t="shared" si="721"/>
        <v>0</v>
      </c>
      <c r="BG152" s="85"/>
      <c r="BH152" s="84">
        <f t="shared" si="722"/>
        <v>0</v>
      </c>
      <c r="BI152" s="85"/>
      <c r="BJ152" s="84">
        <f t="shared" si="723"/>
        <v>0</v>
      </c>
      <c r="BK152" s="85"/>
      <c r="BL152" s="84">
        <f t="shared" si="724"/>
        <v>0</v>
      </c>
      <c r="BM152" s="85"/>
      <c r="BN152" s="84">
        <f t="shared" si="725"/>
        <v>0</v>
      </c>
      <c r="BO152" s="81"/>
      <c r="BP152" s="214">
        <f t="shared" si="726"/>
        <v>0</v>
      </c>
    </row>
    <row r="153" spans="2:68" ht="14.25" hidden="1" customHeight="1" x14ac:dyDescent="0.35">
      <c r="B153" s="160" t="s">
        <v>422</v>
      </c>
      <c r="C153" s="170"/>
      <c r="D153" s="83">
        <f>'2020-21'!AS66</f>
        <v>0</v>
      </c>
      <c r="E153" s="107">
        <f t="shared" si="696"/>
        <v>0</v>
      </c>
      <c r="F153" s="304">
        <f t="shared" si="696"/>
        <v>0</v>
      </c>
      <c r="G153" s="289"/>
      <c r="H153" s="363" t="e">
        <f t="shared" si="697"/>
        <v>#DIV/0!</v>
      </c>
      <c r="I153" s="287"/>
      <c r="J153" s="313" t="e">
        <f t="shared" si="698"/>
        <v>#DIV/0!</v>
      </c>
      <c r="K153" s="287"/>
      <c r="L153" s="288" t="e">
        <f t="shared" si="727"/>
        <v>#DIV/0!</v>
      </c>
      <c r="M153" s="289"/>
      <c r="N153" s="290" t="e">
        <f t="shared" si="728"/>
        <v>#DIV/0!</v>
      </c>
      <c r="O153" s="287"/>
      <c r="P153" s="288" t="e">
        <f t="shared" si="729"/>
        <v>#DIV/0!</v>
      </c>
      <c r="Q153" s="289"/>
      <c r="R153" s="290" t="e">
        <f t="shared" si="730"/>
        <v>#DIV/0!</v>
      </c>
      <c r="S153" s="287"/>
      <c r="T153" s="288" t="e">
        <f t="shared" si="702"/>
        <v>#DIV/0!</v>
      </c>
      <c r="U153" s="287"/>
      <c r="V153" s="288" t="e">
        <f t="shared" si="731"/>
        <v>#DIV/0!</v>
      </c>
      <c r="W153" s="289"/>
      <c r="X153" s="290" t="e">
        <f t="shared" si="732"/>
        <v>#DIV/0!</v>
      </c>
      <c r="Y153" s="287"/>
      <c r="Z153" s="313" t="e">
        <f t="shared" si="733"/>
        <v>#DIV/0!</v>
      </c>
      <c r="AA153" s="289"/>
      <c r="AB153" s="363" t="e">
        <f t="shared" si="706"/>
        <v>#DIV/0!</v>
      </c>
      <c r="AC153" s="287"/>
      <c r="AD153" s="313" t="e">
        <f t="shared" si="707"/>
        <v>#DIV/0!</v>
      </c>
      <c r="AE153" s="289"/>
      <c r="AF153" s="363" t="e">
        <f t="shared" si="708"/>
        <v>#DIV/0!</v>
      </c>
      <c r="AG153" s="287"/>
      <c r="AH153" s="313" t="e">
        <f t="shared" si="709"/>
        <v>#DIV/0!</v>
      </c>
      <c r="AI153" s="289"/>
      <c r="AJ153" s="363" t="e">
        <f t="shared" si="710"/>
        <v>#DIV/0!</v>
      </c>
      <c r="AK153" s="289"/>
      <c r="AL153" s="363" t="e">
        <f t="shared" si="711"/>
        <v>#DIV/0!</v>
      </c>
      <c r="AM153" s="289"/>
      <c r="AN153" s="363" t="e">
        <f t="shared" si="712"/>
        <v>#DIV/0!</v>
      </c>
      <c r="AO153" s="289"/>
      <c r="AP153" s="363" t="e">
        <f t="shared" si="713"/>
        <v>#DIV/0!</v>
      </c>
      <c r="AQ153" s="323" t="e">
        <f t="shared" si="695"/>
        <v>#DIV/0!</v>
      </c>
      <c r="AR153" s="81">
        <f t="shared" si="714"/>
        <v>0</v>
      </c>
      <c r="AS153" s="81"/>
      <c r="AT153" s="84">
        <f t="shared" si="715"/>
        <v>0</v>
      </c>
      <c r="AU153" s="85"/>
      <c r="AV153" s="48">
        <f t="shared" si="716"/>
        <v>0</v>
      </c>
      <c r="AW153" s="81"/>
      <c r="AX153" s="84">
        <f t="shared" si="717"/>
        <v>0</v>
      </c>
      <c r="AY153" s="85"/>
      <c r="AZ153" s="84">
        <f t="shared" si="718"/>
        <v>0</v>
      </c>
      <c r="BA153" s="81"/>
      <c r="BB153" s="84">
        <f t="shared" si="719"/>
        <v>0</v>
      </c>
      <c r="BC153" s="85"/>
      <c r="BD153" s="84">
        <f t="shared" si="720"/>
        <v>0</v>
      </c>
      <c r="BE153" s="85"/>
      <c r="BF153" s="84">
        <f t="shared" si="721"/>
        <v>0</v>
      </c>
      <c r="BG153" s="85"/>
      <c r="BH153" s="84">
        <f t="shared" si="722"/>
        <v>0</v>
      </c>
      <c r="BI153" s="85"/>
      <c r="BJ153" s="84">
        <f t="shared" si="723"/>
        <v>0</v>
      </c>
      <c r="BK153" s="85"/>
      <c r="BL153" s="84">
        <f t="shared" si="724"/>
        <v>0</v>
      </c>
      <c r="BM153" s="85"/>
      <c r="BN153" s="84">
        <f t="shared" si="725"/>
        <v>0</v>
      </c>
      <c r="BO153" s="81"/>
      <c r="BP153" s="214">
        <f t="shared" si="726"/>
        <v>0</v>
      </c>
    </row>
    <row r="154" spans="2:68" ht="14.25" hidden="1" customHeight="1" x14ac:dyDescent="0.35">
      <c r="B154" s="151" t="s">
        <v>467</v>
      </c>
      <c r="C154" s="180"/>
      <c r="D154" s="83">
        <f>'2020-21'!AS67</f>
        <v>0</v>
      </c>
      <c r="E154" s="107">
        <f t="shared" si="696"/>
        <v>0</v>
      </c>
      <c r="F154" s="304">
        <f t="shared" si="696"/>
        <v>0</v>
      </c>
      <c r="G154" s="289"/>
      <c r="H154" s="363" t="e">
        <f t="shared" si="697"/>
        <v>#DIV/0!</v>
      </c>
      <c r="I154" s="287"/>
      <c r="J154" s="313" t="e">
        <f t="shared" si="698"/>
        <v>#DIV/0!</v>
      </c>
      <c r="K154" s="287"/>
      <c r="L154" s="288" t="e">
        <f t="shared" si="727"/>
        <v>#DIV/0!</v>
      </c>
      <c r="M154" s="289"/>
      <c r="N154" s="290" t="e">
        <f t="shared" si="728"/>
        <v>#DIV/0!</v>
      </c>
      <c r="O154" s="287"/>
      <c r="P154" s="288" t="e">
        <f t="shared" si="729"/>
        <v>#DIV/0!</v>
      </c>
      <c r="Q154" s="289"/>
      <c r="R154" s="290" t="e">
        <f t="shared" si="730"/>
        <v>#DIV/0!</v>
      </c>
      <c r="S154" s="287"/>
      <c r="T154" s="288" t="e">
        <f t="shared" si="702"/>
        <v>#DIV/0!</v>
      </c>
      <c r="U154" s="287"/>
      <c r="V154" s="288" t="e">
        <f t="shared" si="731"/>
        <v>#DIV/0!</v>
      </c>
      <c r="W154" s="289"/>
      <c r="X154" s="290" t="e">
        <f t="shared" si="732"/>
        <v>#DIV/0!</v>
      </c>
      <c r="Y154" s="287"/>
      <c r="Z154" s="313" t="e">
        <f t="shared" si="733"/>
        <v>#DIV/0!</v>
      </c>
      <c r="AA154" s="289"/>
      <c r="AB154" s="363" t="e">
        <f t="shared" si="706"/>
        <v>#DIV/0!</v>
      </c>
      <c r="AC154" s="287"/>
      <c r="AD154" s="313" t="e">
        <f t="shared" si="707"/>
        <v>#DIV/0!</v>
      </c>
      <c r="AE154" s="289"/>
      <c r="AF154" s="363" t="e">
        <f t="shared" si="708"/>
        <v>#DIV/0!</v>
      </c>
      <c r="AG154" s="287"/>
      <c r="AH154" s="313" t="e">
        <f t="shared" si="709"/>
        <v>#DIV/0!</v>
      </c>
      <c r="AI154" s="289"/>
      <c r="AJ154" s="363" t="e">
        <f t="shared" si="710"/>
        <v>#DIV/0!</v>
      </c>
      <c r="AK154" s="289"/>
      <c r="AL154" s="363" t="e">
        <f t="shared" si="711"/>
        <v>#DIV/0!</v>
      </c>
      <c r="AM154" s="289"/>
      <c r="AN154" s="363" t="e">
        <f t="shared" si="712"/>
        <v>#DIV/0!</v>
      </c>
      <c r="AO154" s="289"/>
      <c r="AP154" s="363" t="e">
        <f t="shared" si="713"/>
        <v>#DIV/0!</v>
      </c>
      <c r="AQ154" s="323" t="e">
        <f t="shared" si="695"/>
        <v>#DIV/0!</v>
      </c>
      <c r="AR154" s="81">
        <f t="shared" si="714"/>
        <v>0</v>
      </c>
      <c r="AS154" s="81"/>
      <c r="AT154" s="84">
        <f t="shared" si="715"/>
        <v>0</v>
      </c>
      <c r="AU154" s="85"/>
      <c r="AV154" s="48">
        <f t="shared" si="716"/>
        <v>0</v>
      </c>
      <c r="AW154" s="81"/>
      <c r="AX154" s="84">
        <f t="shared" si="717"/>
        <v>0</v>
      </c>
      <c r="AY154" s="85"/>
      <c r="AZ154" s="84">
        <f t="shared" si="718"/>
        <v>0</v>
      </c>
      <c r="BA154" s="81"/>
      <c r="BB154" s="84">
        <f t="shared" si="719"/>
        <v>0</v>
      </c>
      <c r="BC154" s="85"/>
      <c r="BD154" s="84">
        <f t="shared" si="720"/>
        <v>0</v>
      </c>
      <c r="BE154" s="85"/>
      <c r="BF154" s="84">
        <f t="shared" si="721"/>
        <v>0</v>
      </c>
      <c r="BG154" s="85"/>
      <c r="BH154" s="84">
        <f t="shared" si="722"/>
        <v>0</v>
      </c>
      <c r="BI154" s="85"/>
      <c r="BJ154" s="84">
        <f t="shared" si="723"/>
        <v>0</v>
      </c>
      <c r="BK154" s="85"/>
      <c r="BL154" s="84">
        <f t="shared" si="724"/>
        <v>0</v>
      </c>
      <c r="BM154" s="85"/>
      <c r="BN154" s="84">
        <f t="shared" si="725"/>
        <v>0</v>
      </c>
      <c r="BO154" s="81"/>
      <c r="BP154" s="214">
        <f t="shared" si="726"/>
        <v>0</v>
      </c>
    </row>
    <row r="155" spans="2:68" ht="14.25" hidden="1" customHeight="1" x14ac:dyDescent="0.35">
      <c r="B155" s="151" t="s">
        <v>308</v>
      </c>
      <c r="C155" s="180"/>
      <c r="D155" s="83">
        <f>'2020-21'!AS68</f>
        <v>0</v>
      </c>
      <c r="E155" s="107">
        <f t="shared" si="696"/>
        <v>0</v>
      </c>
      <c r="F155" s="304">
        <f t="shared" si="696"/>
        <v>0</v>
      </c>
      <c r="G155" s="289"/>
      <c r="H155" s="363" t="e">
        <f t="shared" si="697"/>
        <v>#DIV/0!</v>
      </c>
      <c r="I155" s="287"/>
      <c r="J155" s="313" t="e">
        <f t="shared" si="698"/>
        <v>#DIV/0!</v>
      </c>
      <c r="K155" s="287"/>
      <c r="L155" s="288" t="e">
        <f t="shared" si="727"/>
        <v>#DIV/0!</v>
      </c>
      <c r="M155" s="289"/>
      <c r="N155" s="290" t="e">
        <f t="shared" si="728"/>
        <v>#DIV/0!</v>
      </c>
      <c r="O155" s="287"/>
      <c r="P155" s="288" t="e">
        <f t="shared" si="729"/>
        <v>#DIV/0!</v>
      </c>
      <c r="Q155" s="289"/>
      <c r="R155" s="290" t="e">
        <f t="shared" si="730"/>
        <v>#DIV/0!</v>
      </c>
      <c r="S155" s="287"/>
      <c r="T155" s="288" t="e">
        <f t="shared" si="702"/>
        <v>#DIV/0!</v>
      </c>
      <c r="U155" s="287"/>
      <c r="V155" s="288" t="e">
        <f t="shared" si="731"/>
        <v>#DIV/0!</v>
      </c>
      <c r="W155" s="289"/>
      <c r="X155" s="290" t="e">
        <f t="shared" si="732"/>
        <v>#DIV/0!</v>
      </c>
      <c r="Y155" s="287"/>
      <c r="Z155" s="313" t="e">
        <f t="shared" si="733"/>
        <v>#DIV/0!</v>
      </c>
      <c r="AA155" s="289"/>
      <c r="AB155" s="363" t="e">
        <f t="shared" si="706"/>
        <v>#DIV/0!</v>
      </c>
      <c r="AC155" s="287"/>
      <c r="AD155" s="313" t="e">
        <f t="shared" si="707"/>
        <v>#DIV/0!</v>
      </c>
      <c r="AE155" s="289"/>
      <c r="AF155" s="363" t="e">
        <f t="shared" si="708"/>
        <v>#DIV/0!</v>
      </c>
      <c r="AG155" s="287"/>
      <c r="AH155" s="313" t="e">
        <f t="shared" si="709"/>
        <v>#DIV/0!</v>
      </c>
      <c r="AI155" s="289"/>
      <c r="AJ155" s="363" t="e">
        <f t="shared" si="710"/>
        <v>#DIV/0!</v>
      </c>
      <c r="AK155" s="289"/>
      <c r="AL155" s="363" t="e">
        <f t="shared" si="711"/>
        <v>#DIV/0!</v>
      </c>
      <c r="AM155" s="289"/>
      <c r="AN155" s="363" t="e">
        <f t="shared" si="712"/>
        <v>#DIV/0!</v>
      </c>
      <c r="AO155" s="289"/>
      <c r="AP155" s="363" t="e">
        <f t="shared" si="713"/>
        <v>#DIV/0!</v>
      </c>
      <c r="AQ155" s="323" t="e">
        <f t="shared" si="695"/>
        <v>#DIV/0!</v>
      </c>
      <c r="AR155" s="81">
        <f t="shared" si="714"/>
        <v>0</v>
      </c>
      <c r="AS155" s="81"/>
      <c r="AT155" s="84">
        <f t="shared" si="715"/>
        <v>0</v>
      </c>
      <c r="AU155" s="85"/>
      <c r="AV155" s="48">
        <f t="shared" si="716"/>
        <v>0</v>
      </c>
      <c r="AW155" s="81"/>
      <c r="AX155" s="84">
        <f t="shared" si="717"/>
        <v>0</v>
      </c>
      <c r="AY155" s="85"/>
      <c r="AZ155" s="84">
        <f t="shared" si="718"/>
        <v>0</v>
      </c>
      <c r="BA155" s="81"/>
      <c r="BB155" s="84">
        <f t="shared" si="719"/>
        <v>0</v>
      </c>
      <c r="BC155" s="85"/>
      <c r="BD155" s="84">
        <f t="shared" si="720"/>
        <v>0</v>
      </c>
      <c r="BE155" s="85"/>
      <c r="BF155" s="84">
        <f t="shared" si="721"/>
        <v>0</v>
      </c>
      <c r="BG155" s="85"/>
      <c r="BH155" s="84">
        <f t="shared" si="722"/>
        <v>0</v>
      </c>
      <c r="BI155" s="85"/>
      <c r="BJ155" s="84">
        <f t="shared" si="723"/>
        <v>0</v>
      </c>
      <c r="BK155" s="85"/>
      <c r="BL155" s="84">
        <f t="shared" si="724"/>
        <v>0</v>
      </c>
      <c r="BM155" s="85"/>
      <c r="BN155" s="84">
        <f t="shared" si="725"/>
        <v>0</v>
      </c>
      <c r="BO155" s="81"/>
      <c r="BP155" s="214">
        <f t="shared" si="726"/>
        <v>0</v>
      </c>
    </row>
    <row r="156" spans="2:68" ht="14.25" hidden="1" customHeight="1" x14ac:dyDescent="0.35">
      <c r="B156" s="187" t="s">
        <v>381</v>
      </c>
      <c r="C156" s="170"/>
      <c r="D156" s="83">
        <f>'2020-21'!AS69</f>
        <v>0</v>
      </c>
      <c r="E156" s="107">
        <f t="shared" si="696"/>
        <v>0</v>
      </c>
      <c r="F156" s="304">
        <f t="shared" si="696"/>
        <v>0</v>
      </c>
      <c r="G156" s="289"/>
      <c r="H156" s="363" t="e">
        <f t="shared" si="697"/>
        <v>#DIV/0!</v>
      </c>
      <c r="I156" s="287"/>
      <c r="J156" s="313" t="e">
        <f t="shared" si="698"/>
        <v>#DIV/0!</v>
      </c>
      <c r="K156" s="287"/>
      <c r="L156" s="288" t="e">
        <f t="shared" si="727"/>
        <v>#DIV/0!</v>
      </c>
      <c r="M156" s="289"/>
      <c r="N156" s="290" t="e">
        <f t="shared" si="728"/>
        <v>#DIV/0!</v>
      </c>
      <c r="O156" s="287"/>
      <c r="P156" s="288" t="e">
        <f t="shared" si="729"/>
        <v>#DIV/0!</v>
      </c>
      <c r="Q156" s="289"/>
      <c r="R156" s="290" t="e">
        <f t="shared" si="730"/>
        <v>#DIV/0!</v>
      </c>
      <c r="S156" s="287"/>
      <c r="T156" s="288" t="e">
        <f t="shared" si="702"/>
        <v>#DIV/0!</v>
      </c>
      <c r="U156" s="287"/>
      <c r="V156" s="288" t="e">
        <f t="shared" si="731"/>
        <v>#DIV/0!</v>
      </c>
      <c r="W156" s="289"/>
      <c r="X156" s="290" t="e">
        <f t="shared" si="732"/>
        <v>#DIV/0!</v>
      </c>
      <c r="Y156" s="287"/>
      <c r="Z156" s="313" t="e">
        <f t="shared" si="733"/>
        <v>#DIV/0!</v>
      </c>
      <c r="AA156" s="289"/>
      <c r="AB156" s="363" t="e">
        <f t="shared" si="706"/>
        <v>#DIV/0!</v>
      </c>
      <c r="AC156" s="287"/>
      <c r="AD156" s="313" t="e">
        <f t="shared" si="707"/>
        <v>#DIV/0!</v>
      </c>
      <c r="AE156" s="289"/>
      <c r="AF156" s="363" t="e">
        <f t="shared" si="708"/>
        <v>#DIV/0!</v>
      </c>
      <c r="AG156" s="287"/>
      <c r="AH156" s="313" t="e">
        <f t="shared" si="709"/>
        <v>#DIV/0!</v>
      </c>
      <c r="AI156" s="289"/>
      <c r="AJ156" s="363" t="e">
        <f t="shared" si="710"/>
        <v>#DIV/0!</v>
      </c>
      <c r="AK156" s="289"/>
      <c r="AL156" s="363" t="e">
        <f t="shared" si="711"/>
        <v>#DIV/0!</v>
      </c>
      <c r="AM156" s="289"/>
      <c r="AN156" s="363" t="e">
        <f t="shared" si="712"/>
        <v>#DIV/0!</v>
      </c>
      <c r="AO156" s="289"/>
      <c r="AP156" s="363" t="e">
        <f t="shared" si="713"/>
        <v>#DIV/0!</v>
      </c>
      <c r="AQ156" s="323" t="e">
        <f t="shared" si="695"/>
        <v>#DIV/0!</v>
      </c>
      <c r="AR156" s="81">
        <f t="shared" si="714"/>
        <v>0</v>
      </c>
      <c r="AS156" s="81"/>
      <c r="AT156" s="84">
        <f t="shared" si="715"/>
        <v>0</v>
      </c>
      <c r="AU156" s="85"/>
      <c r="AV156" s="48">
        <f t="shared" si="716"/>
        <v>0</v>
      </c>
      <c r="AW156" s="81"/>
      <c r="AX156" s="84">
        <f t="shared" si="717"/>
        <v>0</v>
      </c>
      <c r="AY156" s="85"/>
      <c r="AZ156" s="84">
        <f t="shared" si="718"/>
        <v>0</v>
      </c>
      <c r="BA156" s="81"/>
      <c r="BB156" s="84">
        <f t="shared" si="719"/>
        <v>0</v>
      </c>
      <c r="BC156" s="85"/>
      <c r="BD156" s="84">
        <f t="shared" si="720"/>
        <v>0</v>
      </c>
      <c r="BE156" s="85"/>
      <c r="BF156" s="84">
        <f t="shared" si="721"/>
        <v>0</v>
      </c>
      <c r="BG156" s="85"/>
      <c r="BH156" s="84">
        <f t="shared" si="722"/>
        <v>0</v>
      </c>
      <c r="BI156" s="85"/>
      <c r="BJ156" s="84">
        <f t="shared" si="723"/>
        <v>0</v>
      </c>
      <c r="BK156" s="85"/>
      <c r="BL156" s="84">
        <f t="shared" si="724"/>
        <v>0</v>
      </c>
      <c r="BM156" s="85"/>
      <c r="BN156" s="84">
        <f t="shared" si="725"/>
        <v>0</v>
      </c>
      <c r="BO156" s="81"/>
      <c r="BP156" s="214">
        <f t="shared" si="726"/>
        <v>0</v>
      </c>
    </row>
    <row r="157" spans="2:68" ht="14.25" hidden="1" customHeight="1" x14ac:dyDescent="0.35">
      <c r="B157" s="159" t="s">
        <v>399</v>
      </c>
      <c r="C157" s="170"/>
      <c r="D157" s="83">
        <f>'2020-21'!AS70</f>
        <v>0</v>
      </c>
      <c r="E157" s="107">
        <f t="shared" si="696"/>
        <v>0</v>
      </c>
      <c r="F157" s="304">
        <f t="shared" si="696"/>
        <v>0</v>
      </c>
      <c r="G157" s="289"/>
      <c r="H157" s="363" t="e">
        <f t="shared" si="697"/>
        <v>#DIV/0!</v>
      </c>
      <c r="I157" s="287"/>
      <c r="J157" s="313" t="e">
        <f t="shared" si="698"/>
        <v>#DIV/0!</v>
      </c>
      <c r="K157" s="287"/>
      <c r="L157" s="288" t="e">
        <f t="shared" si="727"/>
        <v>#DIV/0!</v>
      </c>
      <c r="M157" s="289"/>
      <c r="N157" s="290" t="e">
        <f t="shared" si="728"/>
        <v>#DIV/0!</v>
      </c>
      <c r="O157" s="287"/>
      <c r="P157" s="288" t="e">
        <f t="shared" si="729"/>
        <v>#DIV/0!</v>
      </c>
      <c r="Q157" s="289"/>
      <c r="R157" s="290" t="e">
        <f t="shared" si="730"/>
        <v>#DIV/0!</v>
      </c>
      <c r="S157" s="287"/>
      <c r="T157" s="288" t="e">
        <f t="shared" si="702"/>
        <v>#DIV/0!</v>
      </c>
      <c r="U157" s="287"/>
      <c r="V157" s="288" t="e">
        <f t="shared" si="731"/>
        <v>#DIV/0!</v>
      </c>
      <c r="W157" s="289"/>
      <c r="X157" s="290" t="e">
        <f t="shared" si="732"/>
        <v>#DIV/0!</v>
      </c>
      <c r="Y157" s="287"/>
      <c r="Z157" s="313" t="e">
        <f t="shared" si="733"/>
        <v>#DIV/0!</v>
      </c>
      <c r="AA157" s="289"/>
      <c r="AB157" s="363" t="e">
        <f t="shared" si="706"/>
        <v>#DIV/0!</v>
      </c>
      <c r="AC157" s="287"/>
      <c r="AD157" s="313" t="e">
        <f t="shared" si="707"/>
        <v>#DIV/0!</v>
      </c>
      <c r="AE157" s="289"/>
      <c r="AF157" s="363" t="e">
        <f t="shared" si="708"/>
        <v>#DIV/0!</v>
      </c>
      <c r="AG157" s="287"/>
      <c r="AH157" s="313" t="e">
        <f t="shared" si="709"/>
        <v>#DIV/0!</v>
      </c>
      <c r="AI157" s="289"/>
      <c r="AJ157" s="363" t="e">
        <f t="shared" si="710"/>
        <v>#DIV/0!</v>
      </c>
      <c r="AK157" s="289"/>
      <c r="AL157" s="363" t="e">
        <f t="shared" si="711"/>
        <v>#DIV/0!</v>
      </c>
      <c r="AM157" s="289"/>
      <c r="AN157" s="363" t="e">
        <f t="shared" si="712"/>
        <v>#DIV/0!</v>
      </c>
      <c r="AO157" s="289"/>
      <c r="AP157" s="363" t="e">
        <f t="shared" si="713"/>
        <v>#DIV/0!</v>
      </c>
      <c r="AQ157" s="323" t="e">
        <f t="shared" si="695"/>
        <v>#DIV/0!</v>
      </c>
      <c r="AR157" s="81">
        <f t="shared" si="714"/>
        <v>0</v>
      </c>
      <c r="AS157" s="81"/>
      <c r="AT157" s="84">
        <f t="shared" si="715"/>
        <v>0</v>
      </c>
      <c r="AU157" s="85"/>
      <c r="AV157" s="48">
        <f t="shared" si="716"/>
        <v>0</v>
      </c>
      <c r="AW157" s="81"/>
      <c r="AX157" s="84">
        <f t="shared" si="717"/>
        <v>0</v>
      </c>
      <c r="AY157" s="85"/>
      <c r="AZ157" s="84">
        <f t="shared" si="718"/>
        <v>0</v>
      </c>
      <c r="BA157" s="81"/>
      <c r="BB157" s="84">
        <f t="shared" si="719"/>
        <v>0</v>
      </c>
      <c r="BC157" s="85"/>
      <c r="BD157" s="84">
        <f t="shared" si="720"/>
        <v>0</v>
      </c>
      <c r="BE157" s="85"/>
      <c r="BF157" s="84">
        <f t="shared" si="721"/>
        <v>0</v>
      </c>
      <c r="BG157" s="85"/>
      <c r="BH157" s="84">
        <f t="shared" si="722"/>
        <v>0</v>
      </c>
      <c r="BI157" s="85"/>
      <c r="BJ157" s="84">
        <f t="shared" si="723"/>
        <v>0</v>
      </c>
      <c r="BK157" s="85"/>
      <c r="BL157" s="84">
        <f t="shared" si="724"/>
        <v>0</v>
      </c>
      <c r="BM157" s="85"/>
      <c r="BN157" s="84">
        <f t="shared" si="725"/>
        <v>0</v>
      </c>
      <c r="BO157" s="81"/>
      <c r="BP157" s="214">
        <f t="shared" si="726"/>
        <v>0</v>
      </c>
    </row>
    <row r="158" spans="2:68" ht="14.25" hidden="1" customHeight="1" x14ac:dyDescent="0.35">
      <c r="B158" s="161" t="s">
        <v>397</v>
      </c>
      <c r="C158" s="170"/>
      <c r="D158" s="83">
        <f>'2020-21'!AS71</f>
        <v>0</v>
      </c>
      <c r="E158" s="107">
        <f t="shared" si="696"/>
        <v>0</v>
      </c>
      <c r="F158" s="304">
        <f t="shared" si="696"/>
        <v>0</v>
      </c>
      <c r="G158" s="289"/>
      <c r="H158" s="363" t="e">
        <f t="shared" si="697"/>
        <v>#DIV/0!</v>
      </c>
      <c r="I158" s="287"/>
      <c r="J158" s="313" t="e">
        <f t="shared" si="698"/>
        <v>#DIV/0!</v>
      </c>
      <c r="K158" s="287"/>
      <c r="L158" s="288" t="e">
        <f t="shared" si="727"/>
        <v>#DIV/0!</v>
      </c>
      <c r="M158" s="289"/>
      <c r="N158" s="290" t="e">
        <f t="shared" si="728"/>
        <v>#DIV/0!</v>
      </c>
      <c r="O158" s="287"/>
      <c r="P158" s="288" t="e">
        <f t="shared" si="729"/>
        <v>#DIV/0!</v>
      </c>
      <c r="Q158" s="289"/>
      <c r="R158" s="290" t="e">
        <f t="shared" si="730"/>
        <v>#DIV/0!</v>
      </c>
      <c r="S158" s="287"/>
      <c r="T158" s="288" t="e">
        <f t="shared" si="702"/>
        <v>#DIV/0!</v>
      </c>
      <c r="U158" s="287"/>
      <c r="V158" s="288" t="e">
        <f t="shared" si="731"/>
        <v>#DIV/0!</v>
      </c>
      <c r="W158" s="289"/>
      <c r="X158" s="290" t="e">
        <f t="shared" si="732"/>
        <v>#DIV/0!</v>
      </c>
      <c r="Y158" s="287"/>
      <c r="Z158" s="313" t="e">
        <f t="shared" si="733"/>
        <v>#DIV/0!</v>
      </c>
      <c r="AA158" s="289"/>
      <c r="AB158" s="363" t="e">
        <f t="shared" si="706"/>
        <v>#DIV/0!</v>
      </c>
      <c r="AC158" s="287"/>
      <c r="AD158" s="313" t="e">
        <f t="shared" si="707"/>
        <v>#DIV/0!</v>
      </c>
      <c r="AE158" s="289"/>
      <c r="AF158" s="363" t="e">
        <f t="shared" si="708"/>
        <v>#DIV/0!</v>
      </c>
      <c r="AG158" s="287"/>
      <c r="AH158" s="313" t="e">
        <f t="shared" si="709"/>
        <v>#DIV/0!</v>
      </c>
      <c r="AI158" s="289"/>
      <c r="AJ158" s="363" t="e">
        <f t="shared" si="710"/>
        <v>#DIV/0!</v>
      </c>
      <c r="AK158" s="289"/>
      <c r="AL158" s="363" t="e">
        <f t="shared" si="711"/>
        <v>#DIV/0!</v>
      </c>
      <c r="AM158" s="289"/>
      <c r="AN158" s="363" t="e">
        <f t="shared" si="712"/>
        <v>#DIV/0!</v>
      </c>
      <c r="AO158" s="289"/>
      <c r="AP158" s="363" t="e">
        <f t="shared" si="713"/>
        <v>#DIV/0!</v>
      </c>
      <c r="AQ158" s="323" t="e">
        <f t="shared" si="695"/>
        <v>#DIV/0!</v>
      </c>
      <c r="AR158" s="81">
        <f t="shared" si="714"/>
        <v>0</v>
      </c>
      <c r="AS158" s="81"/>
      <c r="AT158" s="84">
        <f t="shared" si="715"/>
        <v>0</v>
      </c>
      <c r="AU158" s="85"/>
      <c r="AV158" s="48">
        <f t="shared" si="716"/>
        <v>0</v>
      </c>
      <c r="AW158" s="81"/>
      <c r="AX158" s="84">
        <f t="shared" si="717"/>
        <v>0</v>
      </c>
      <c r="AY158" s="85"/>
      <c r="AZ158" s="84">
        <f t="shared" si="718"/>
        <v>0</v>
      </c>
      <c r="BA158" s="81"/>
      <c r="BB158" s="84">
        <f t="shared" si="719"/>
        <v>0</v>
      </c>
      <c r="BC158" s="85"/>
      <c r="BD158" s="84">
        <f t="shared" si="720"/>
        <v>0</v>
      </c>
      <c r="BE158" s="85"/>
      <c r="BF158" s="84">
        <f t="shared" si="721"/>
        <v>0</v>
      </c>
      <c r="BG158" s="85"/>
      <c r="BH158" s="84">
        <f t="shared" si="722"/>
        <v>0</v>
      </c>
      <c r="BI158" s="85"/>
      <c r="BJ158" s="84">
        <f t="shared" si="723"/>
        <v>0</v>
      </c>
      <c r="BK158" s="85"/>
      <c r="BL158" s="84">
        <f t="shared" si="724"/>
        <v>0</v>
      </c>
      <c r="BM158" s="85"/>
      <c r="BN158" s="84">
        <f t="shared" si="725"/>
        <v>0</v>
      </c>
      <c r="BO158" s="81"/>
      <c r="BP158" s="214">
        <f t="shared" si="726"/>
        <v>0</v>
      </c>
    </row>
    <row r="159" spans="2:68" ht="14.25" hidden="1" customHeight="1" x14ac:dyDescent="0.35">
      <c r="B159" s="159" t="s">
        <v>428</v>
      </c>
      <c r="C159" s="180"/>
      <c r="D159" s="83">
        <f>'2020-21'!AS72</f>
        <v>0</v>
      </c>
      <c r="E159" s="107">
        <f t="shared" si="696"/>
        <v>0</v>
      </c>
      <c r="F159" s="304">
        <f t="shared" si="696"/>
        <v>0</v>
      </c>
      <c r="G159" s="289"/>
      <c r="H159" s="363" t="e">
        <f t="shared" si="697"/>
        <v>#DIV/0!</v>
      </c>
      <c r="I159" s="287"/>
      <c r="J159" s="313" t="e">
        <f t="shared" si="698"/>
        <v>#DIV/0!</v>
      </c>
      <c r="K159" s="287"/>
      <c r="L159" s="288" t="e">
        <f t="shared" si="727"/>
        <v>#DIV/0!</v>
      </c>
      <c r="M159" s="289"/>
      <c r="N159" s="290" t="e">
        <f t="shared" si="728"/>
        <v>#DIV/0!</v>
      </c>
      <c r="O159" s="287"/>
      <c r="P159" s="288" t="e">
        <f t="shared" si="729"/>
        <v>#DIV/0!</v>
      </c>
      <c r="Q159" s="289"/>
      <c r="R159" s="290" t="e">
        <f t="shared" si="730"/>
        <v>#DIV/0!</v>
      </c>
      <c r="S159" s="287"/>
      <c r="T159" s="288" t="e">
        <f t="shared" si="702"/>
        <v>#DIV/0!</v>
      </c>
      <c r="U159" s="287"/>
      <c r="V159" s="288" t="e">
        <f t="shared" si="731"/>
        <v>#DIV/0!</v>
      </c>
      <c r="W159" s="289"/>
      <c r="X159" s="290" t="e">
        <f t="shared" si="732"/>
        <v>#DIV/0!</v>
      </c>
      <c r="Y159" s="287"/>
      <c r="Z159" s="313" t="e">
        <f t="shared" si="733"/>
        <v>#DIV/0!</v>
      </c>
      <c r="AA159" s="289"/>
      <c r="AB159" s="363" t="e">
        <f t="shared" si="706"/>
        <v>#DIV/0!</v>
      </c>
      <c r="AC159" s="287"/>
      <c r="AD159" s="313" t="e">
        <f t="shared" si="707"/>
        <v>#DIV/0!</v>
      </c>
      <c r="AE159" s="289"/>
      <c r="AF159" s="363" t="e">
        <f t="shared" si="708"/>
        <v>#DIV/0!</v>
      </c>
      <c r="AG159" s="287"/>
      <c r="AH159" s="313" t="e">
        <f t="shared" si="709"/>
        <v>#DIV/0!</v>
      </c>
      <c r="AI159" s="289"/>
      <c r="AJ159" s="363" t="e">
        <f t="shared" si="710"/>
        <v>#DIV/0!</v>
      </c>
      <c r="AK159" s="289"/>
      <c r="AL159" s="363" t="e">
        <f t="shared" si="711"/>
        <v>#DIV/0!</v>
      </c>
      <c r="AM159" s="289"/>
      <c r="AN159" s="363" t="e">
        <f t="shared" si="712"/>
        <v>#DIV/0!</v>
      </c>
      <c r="AO159" s="289"/>
      <c r="AP159" s="363" t="e">
        <f t="shared" si="713"/>
        <v>#DIV/0!</v>
      </c>
      <c r="AQ159" s="323" t="e">
        <f t="shared" si="695"/>
        <v>#DIV/0!</v>
      </c>
      <c r="AR159" s="81">
        <f t="shared" si="714"/>
        <v>0</v>
      </c>
      <c r="AS159" s="81"/>
      <c r="AT159" s="84">
        <f t="shared" si="715"/>
        <v>0</v>
      </c>
      <c r="AU159" s="85"/>
      <c r="AV159" s="48">
        <f t="shared" si="716"/>
        <v>0</v>
      </c>
      <c r="AW159" s="81"/>
      <c r="AX159" s="84">
        <f t="shared" si="717"/>
        <v>0</v>
      </c>
      <c r="AY159" s="85"/>
      <c r="AZ159" s="84">
        <f t="shared" si="718"/>
        <v>0</v>
      </c>
      <c r="BA159" s="81"/>
      <c r="BB159" s="84">
        <f t="shared" si="719"/>
        <v>0</v>
      </c>
      <c r="BC159" s="85"/>
      <c r="BD159" s="84">
        <f t="shared" si="720"/>
        <v>0</v>
      </c>
      <c r="BE159" s="85"/>
      <c r="BF159" s="84">
        <f t="shared" si="721"/>
        <v>0</v>
      </c>
      <c r="BG159" s="85"/>
      <c r="BH159" s="84">
        <f t="shared" si="722"/>
        <v>0</v>
      </c>
      <c r="BI159" s="85"/>
      <c r="BJ159" s="84">
        <f t="shared" si="723"/>
        <v>0</v>
      </c>
      <c r="BK159" s="85"/>
      <c r="BL159" s="84">
        <f t="shared" si="724"/>
        <v>0</v>
      </c>
      <c r="BM159" s="85"/>
      <c r="BN159" s="84">
        <f t="shared" si="725"/>
        <v>0</v>
      </c>
      <c r="BO159" s="81"/>
      <c r="BP159" s="214">
        <f t="shared" si="726"/>
        <v>0</v>
      </c>
    </row>
    <row r="160" spans="2:68" ht="14.25" hidden="1" customHeight="1" x14ac:dyDescent="0.35">
      <c r="B160" s="159" t="s">
        <v>410</v>
      </c>
      <c r="C160" s="172"/>
      <c r="D160" s="83">
        <f>'2020-21'!AS73</f>
        <v>0</v>
      </c>
      <c r="E160" s="107">
        <f t="shared" si="696"/>
        <v>0</v>
      </c>
      <c r="F160" s="304">
        <f t="shared" si="696"/>
        <v>0</v>
      </c>
      <c r="G160" s="289"/>
      <c r="H160" s="363" t="e">
        <f t="shared" si="697"/>
        <v>#DIV/0!</v>
      </c>
      <c r="I160" s="287"/>
      <c r="J160" s="313" t="e">
        <f t="shared" si="698"/>
        <v>#DIV/0!</v>
      </c>
      <c r="K160" s="287"/>
      <c r="L160" s="288" t="e">
        <f t="shared" si="727"/>
        <v>#DIV/0!</v>
      </c>
      <c r="M160" s="289"/>
      <c r="N160" s="290" t="e">
        <f t="shared" si="728"/>
        <v>#DIV/0!</v>
      </c>
      <c r="O160" s="287"/>
      <c r="P160" s="288" t="e">
        <f t="shared" si="729"/>
        <v>#DIV/0!</v>
      </c>
      <c r="Q160" s="289"/>
      <c r="R160" s="290" t="e">
        <f t="shared" si="730"/>
        <v>#DIV/0!</v>
      </c>
      <c r="S160" s="287"/>
      <c r="T160" s="288" t="e">
        <f t="shared" si="702"/>
        <v>#DIV/0!</v>
      </c>
      <c r="U160" s="287"/>
      <c r="V160" s="288" t="e">
        <f t="shared" si="731"/>
        <v>#DIV/0!</v>
      </c>
      <c r="W160" s="289"/>
      <c r="X160" s="290" t="e">
        <f t="shared" si="732"/>
        <v>#DIV/0!</v>
      </c>
      <c r="Y160" s="287"/>
      <c r="Z160" s="313" t="e">
        <f t="shared" si="733"/>
        <v>#DIV/0!</v>
      </c>
      <c r="AA160" s="289"/>
      <c r="AB160" s="363" t="e">
        <f t="shared" si="706"/>
        <v>#DIV/0!</v>
      </c>
      <c r="AC160" s="287"/>
      <c r="AD160" s="313" t="e">
        <f t="shared" si="707"/>
        <v>#DIV/0!</v>
      </c>
      <c r="AE160" s="289"/>
      <c r="AF160" s="363" t="e">
        <f t="shared" si="708"/>
        <v>#DIV/0!</v>
      </c>
      <c r="AG160" s="287"/>
      <c r="AH160" s="313" t="e">
        <f t="shared" si="709"/>
        <v>#DIV/0!</v>
      </c>
      <c r="AI160" s="289"/>
      <c r="AJ160" s="363" t="e">
        <f t="shared" si="710"/>
        <v>#DIV/0!</v>
      </c>
      <c r="AK160" s="289"/>
      <c r="AL160" s="363" t="e">
        <f t="shared" si="711"/>
        <v>#DIV/0!</v>
      </c>
      <c r="AM160" s="289"/>
      <c r="AN160" s="363" t="e">
        <f t="shared" si="712"/>
        <v>#DIV/0!</v>
      </c>
      <c r="AO160" s="289"/>
      <c r="AP160" s="363" t="e">
        <f t="shared" si="713"/>
        <v>#DIV/0!</v>
      </c>
      <c r="AQ160" s="323" t="e">
        <f t="shared" si="695"/>
        <v>#DIV/0!</v>
      </c>
      <c r="AR160" s="81">
        <f t="shared" si="714"/>
        <v>0</v>
      </c>
      <c r="AS160" s="81"/>
      <c r="AT160" s="84">
        <f t="shared" si="715"/>
        <v>0</v>
      </c>
      <c r="AU160" s="85"/>
      <c r="AV160" s="48">
        <f t="shared" si="716"/>
        <v>0</v>
      </c>
      <c r="AW160" s="81"/>
      <c r="AX160" s="84">
        <f t="shared" si="717"/>
        <v>0</v>
      </c>
      <c r="AY160" s="85"/>
      <c r="AZ160" s="84">
        <f t="shared" si="718"/>
        <v>0</v>
      </c>
      <c r="BA160" s="81"/>
      <c r="BB160" s="84">
        <f t="shared" si="719"/>
        <v>0</v>
      </c>
      <c r="BC160" s="85"/>
      <c r="BD160" s="84">
        <f t="shared" si="720"/>
        <v>0</v>
      </c>
      <c r="BE160" s="85"/>
      <c r="BF160" s="84">
        <f t="shared" si="721"/>
        <v>0</v>
      </c>
      <c r="BG160" s="85"/>
      <c r="BH160" s="84">
        <f t="shared" si="722"/>
        <v>0</v>
      </c>
      <c r="BI160" s="85"/>
      <c r="BJ160" s="84">
        <f t="shared" si="723"/>
        <v>0</v>
      </c>
      <c r="BK160" s="85"/>
      <c r="BL160" s="84">
        <f t="shared" si="724"/>
        <v>0</v>
      </c>
      <c r="BM160" s="85"/>
      <c r="BN160" s="84">
        <f t="shared" si="725"/>
        <v>0</v>
      </c>
      <c r="BO160" s="81"/>
      <c r="BP160" s="214">
        <f t="shared" si="726"/>
        <v>0</v>
      </c>
    </row>
    <row r="161" spans="2:68" ht="14.25" hidden="1" customHeight="1" x14ac:dyDescent="0.35">
      <c r="B161" s="100" t="s">
        <v>363</v>
      </c>
      <c r="C161" s="172"/>
      <c r="D161" s="83">
        <f>'2020-21'!AS74</f>
        <v>0</v>
      </c>
      <c r="E161" s="107">
        <f t="shared" si="696"/>
        <v>0</v>
      </c>
      <c r="F161" s="304">
        <f t="shared" si="696"/>
        <v>0</v>
      </c>
      <c r="G161" s="289"/>
      <c r="H161" s="363" t="e">
        <f t="shared" si="697"/>
        <v>#DIV/0!</v>
      </c>
      <c r="I161" s="287"/>
      <c r="J161" s="313" t="e">
        <f t="shared" si="698"/>
        <v>#DIV/0!</v>
      </c>
      <c r="K161" s="287"/>
      <c r="L161" s="288" t="e">
        <f t="shared" si="727"/>
        <v>#DIV/0!</v>
      </c>
      <c r="M161" s="289"/>
      <c r="N161" s="290" t="e">
        <f t="shared" si="728"/>
        <v>#DIV/0!</v>
      </c>
      <c r="O161" s="287"/>
      <c r="P161" s="288" t="e">
        <f t="shared" si="729"/>
        <v>#DIV/0!</v>
      </c>
      <c r="Q161" s="289"/>
      <c r="R161" s="290" t="e">
        <f t="shared" si="730"/>
        <v>#DIV/0!</v>
      </c>
      <c r="S161" s="287"/>
      <c r="T161" s="288" t="e">
        <f t="shared" si="702"/>
        <v>#DIV/0!</v>
      </c>
      <c r="U161" s="287"/>
      <c r="V161" s="288" t="e">
        <f t="shared" si="731"/>
        <v>#DIV/0!</v>
      </c>
      <c r="W161" s="289"/>
      <c r="X161" s="290" t="e">
        <f t="shared" si="732"/>
        <v>#DIV/0!</v>
      </c>
      <c r="Y161" s="287"/>
      <c r="Z161" s="313" t="e">
        <f t="shared" si="733"/>
        <v>#DIV/0!</v>
      </c>
      <c r="AA161" s="289"/>
      <c r="AB161" s="363" t="e">
        <f t="shared" si="706"/>
        <v>#DIV/0!</v>
      </c>
      <c r="AC161" s="287"/>
      <c r="AD161" s="313" t="e">
        <f t="shared" si="707"/>
        <v>#DIV/0!</v>
      </c>
      <c r="AE161" s="289"/>
      <c r="AF161" s="363" t="e">
        <f t="shared" si="708"/>
        <v>#DIV/0!</v>
      </c>
      <c r="AG161" s="287"/>
      <c r="AH161" s="313" t="e">
        <f t="shared" si="709"/>
        <v>#DIV/0!</v>
      </c>
      <c r="AI161" s="289"/>
      <c r="AJ161" s="363" t="e">
        <f t="shared" si="710"/>
        <v>#DIV/0!</v>
      </c>
      <c r="AK161" s="289"/>
      <c r="AL161" s="363" t="e">
        <f t="shared" si="711"/>
        <v>#DIV/0!</v>
      </c>
      <c r="AM161" s="289"/>
      <c r="AN161" s="363" t="e">
        <f t="shared" si="712"/>
        <v>#DIV/0!</v>
      </c>
      <c r="AO161" s="289"/>
      <c r="AP161" s="363" t="e">
        <f t="shared" si="713"/>
        <v>#DIV/0!</v>
      </c>
      <c r="AQ161" s="323" t="e">
        <f t="shared" si="695"/>
        <v>#DIV/0!</v>
      </c>
      <c r="AR161" s="81">
        <f t="shared" si="714"/>
        <v>0</v>
      </c>
      <c r="AS161" s="81"/>
      <c r="AT161" s="84">
        <f t="shared" si="715"/>
        <v>0</v>
      </c>
      <c r="AU161" s="85"/>
      <c r="AV161" s="48">
        <f t="shared" si="716"/>
        <v>0</v>
      </c>
      <c r="AW161" s="81"/>
      <c r="AX161" s="84">
        <f t="shared" si="717"/>
        <v>0</v>
      </c>
      <c r="AY161" s="85"/>
      <c r="AZ161" s="84">
        <f t="shared" si="718"/>
        <v>0</v>
      </c>
      <c r="BA161" s="81"/>
      <c r="BB161" s="84">
        <f t="shared" si="719"/>
        <v>0</v>
      </c>
      <c r="BC161" s="85"/>
      <c r="BD161" s="84">
        <f t="shared" si="720"/>
        <v>0</v>
      </c>
      <c r="BE161" s="85"/>
      <c r="BF161" s="84">
        <f t="shared" si="721"/>
        <v>0</v>
      </c>
      <c r="BG161" s="85"/>
      <c r="BH161" s="84">
        <f t="shared" si="722"/>
        <v>0</v>
      </c>
      <c r="BI161" s="85"/>
      <c r="BJ161" s="84">
        <f t="shared" si="723"/>
        <v>0</v>
      </c>
      <c r="BK161" s="85"/>
      <c r="BL161" s="84">
        <f t="shared" si="724"/>
        <v>0</v>
      </c>
      <c r="BM161" s="85"/>
      <c r="BN161" s="84">
        <f t="shared" si="725"/>
        <v>0</v>
      </c>
      <c r="BO161" s="81"/>
      <c r="BP161" s="214">
        <f t="shared" si="726"/>
        <v>0</v>
      </c>
    </row>
    <row r="162" spans="2:68" ht="14.25" hidden="1" customHeight="1" x14ac:dyDescent="0.35">
      <c r="B162" s="159" t="s">
        <v>402</v>
      </c>
      <c r="C162" s="170"/>
      <c r="D162" s="83">
        <f>'2020-21'!AS75</f>
        <v>0</v>
      </c>
      <c r="E162" s="107">
        <f t="shared" si="696"/>
        <v>0</v>
      </c>
      <c r="F162" s="304">
        <f t="shared" si="696"/>
        <v>0</v>
      </c>
      <c r="G162" s="289"/>
      <c r="H162" s="363" t="e">
        <f t="shared" si="697"/>
        <v>#DIV/0!</v>
      </c>
      <c r="I162" s="287"/>
      <c r="J162" s="313" t="e">
        <f t="shared" si="698"/>
        <v>#DIV/0!</v>
      </c>
      <c r="K162" s="287"/>
      <c r="L162" s="288" t="e">
        <f t="shared" si="727"/>
        <v>#DIV/0!</v>
      </c>
      <c r="M162" s="289"/>
      <c r="N162" s="290" t="e">
        <f t="shared" si="728"/>
        <v>#DIV/0!</v>
      </c>
      <c r="O162" s="287"/>
      <c r="P162" s="288" t="e">
        <f t="shared" si="729"/>
        <v>#DIV/0!</v>
      </c>
      <c r="Q162" s="289"/>
      <c r="R162" s="290" t="e">
        <f t="shared" si="730"/>
        <v>#DIV/0!</v>
      </c>
      <c r="S162" s="287"/>
      <c r="T162" s="288" t="e">
        <f t="shared" si="702"/>
        <v>#DIV/0!</v>
      </c>
      <c r="U162" s="287"/>
      <c r="V162" s="288" t="e">
        <f t="shared" si="731"/>
        <v>#DIV/0!</v>
      </c>
      <c r="W162" s="289"/>
      <c r="X162" s="290" t="e">
        <f t="shared" si="732"/>
        <v>#DIV/0!</v>
      </c>
      <c r="Y162" s="287"/>
      <c r="Z162" s="313" t="e">
        <f t="shared" si="733"/>
        <v>#DIV/0!</v>
      </c>
      <c r="AA162" s="289"/>
      <c r="AB162" s="363" t="e">
        <f t="shared" si="706"/>
        <v>#DIV/0!</v>
      </c>
      <c r="AC162" s="287"/>
      <c r="AD162" s="313" t="e">
        <f t="shared" si="707"/>
        <v>#DIV/0!</v>
      </c>
      <c r="AE162" s="289"/>
      <c r="AF162" s="363" t="e">
        <f t="shared" si="708"/>
        <v>#DIV/0!</v>
      </c>
      <c r="AG162" s="287"/>
      <c r="AH162" s="313" t="e">
        <f t="shared" si="709"/>
        <v>#DIV/0!</v>
      </c>
      <c r="AI162" s="289"/>
      <c r="AJ162" s="363" t="e">
        <f t="shared" si="710"/>
        <v>#DIV/0!</v>
      </c>
      <c r="AK162" s="289"/>
      <c r="AL162" s="363" t="e">
        <f t="shared" si="711"/>
        <v>#DIV/0!</v>
      </c>
      <c r="AM162" s="289"/>
      <c r="AN162" s="363" t="e">
        <f t="shared" si="712"/>
        <v>#DIV/0!</v>
      </c>
      <c r="AO162" s="289"/>
      <c r="AP162" s="363" t="e">
        <f t="shared" si="713"/>
        <v>#DIV/0!</v>
      </c>
      <c r="AQ162" s="323" t="e">
        <f t="shared" si="695"/>
        <v>#DIV/0!</v>
      </c>
      <c r="AR162" s="81">
        <f t="shared" si="714"/>
        <v>0</v>
      </c>
      <c r="AS162" s="81"/>
      <c r="AT162" s="84">
        <f t="shared" si="715"/>
        <v>0</v>
      </c>
      <c r="AU162" s="85"/>
      <c r="AV162" s="48">
        <f t="shared" si="716"/>
        <v>0</v>
      </c>
      <c r="AW162" s="81"/>
      <c r="AX162" s="84">
        <f t="shared" si="717"/>
        <v>0</v>
      </c>
      <c r="AY162" s="85"/>
      <c r="AZ162" s="84">
        <f t="shared" si="718"/>
        <v>0</v>
      </c>
      <c r="BA162" s="81"/>
      <c r="BB162" s="84">
        <f t="shared" si="719"/>
        <v>0</v>
      </c>
      <c r="BC162" s="85"/>
      <c r="BD162" s="84">
        <f t="shared" si="720"/>
        <v>0</v>
      </c>
      <c r="BE162" s="85"/>
      <c r="BF162" s="84">
        <f t="shared" si="721"/>
        <v>0</v>
      </c>
      <c r="BG162" s="85"/>
      <c r="BH162" s="84">
        <f t="shared" si="722"/>
        <v>0</v>
      </c>
      <c r="BI162" s="85"/>
      <c r="BJ162" s="84">
        <f t="shared" si="723"/>
        <v>0</v>
      </c>
      <c r="BK162" s="85"/>
      <c r="BL162" s="84">
        <f t="shared" si="724"/>
        <v>0</v>
      </c>
      <c r="BM162" s="85"/>
      <c r="BN162" s="84">
        <f t="shared" si="725"/>
        <v>0</v>
      </c>
      <c r="BO162" s="81"/>
      <c r="BP162" s="214">
        <f t="shared" si="726"/>
        <v>0</v>
      </c>
    </row>
    <row r="163" spans="2:68" ht="14.25" hidden="1" customHeight="1" x14ac:dyDescent="0.35">
      <c r="B163" s="41" t="s">
        <v>221</v>
      </c>
      <c r="C163" s="172"/>
      <c r="D163" s="83">
        <f>'2020-21'!AS76</f>
        <v>0</v>
      </c>
      <c r="E163" s="107">
        <f t="shared" si="696"/>
        <v>0</v>
      </c>
      <c r="F163" s="304">
        <f t="shared" si="696"/>
        <v>0</v>
      </c>
      <c r="G163" s="289"/>
      <c r="H163" s="363" t="e">
        <f t="shared" si="697"/>
        <v>#DIV/0!</v>
      </c>
      <c r="I163" s="287"/>
      <c r="J163" s="313" t="e">
        <f t="shared" si="698"/>
        <v>#DIV/0!</v>
      </c>
      <c r="K163" s="287"/>
      <c r="L163" s="288" t="e">
        <f t="shared" si="727"/>
        <v>#DIV/0!</v>
      </c>
      <c r="M163" s="289"/>
      <c r="N163" s="290" t="e">
        <f t="shared" si="728"/>
        <v>#DIV/0!</v>
      </c>
      <c r="O163" s="287"/>
      <c r="P163" s="288" t="e">
        <f t="shared" si="729"/>
        <v>#DIV/0!</v>
      </c>
      <c r="Q163" s="289"/>
      <c r="R163" s="290" t="e">
        <f t="shared" si="730"/>
        <v>#DIV/0!</v>
      </c>
      <c r="S163" s="287"/>
      <c r="T163" s="288" t="e">
        <f t="shared" si="702"/>
        <v>#DIV/0!</v>
      </c>
      <c r="U163" s="287"/>
      <c r="V163" s="288" t="e">
        <f t="shared" si="731"/>
        <v>#DIV/0!</v>
      </c>
      <c r="W163" s="289"/>
      <c r="X163" s="290" t="e">
        <f t="shared" si="732"/>
        <v>#DIV/0!</v>
      </c>
      <c r="Y163" s="287"/>
      <c r="Z163" s="313" t="e">
        <f t="shared" si="733"/>
        <v>#DIV/0!</v>
      </c>
      <c r="AA163" s="289"/>
      <c r="AB163" s="363" t="e">
        <f t="shared" si="706"/>
        <v>#DIV/0!</v>
      </c>
      <c r="AC163" s="287"/>
      <c r="AD163" s="313" t="e">
        <f t="shared" si="707"/>
        <v>#DIV/0!</v>
      </c>
      <c r="AE163" s="289"/>
      <c r="AF163" s="363" t="e">
        <f t="shared" si="708"/>
        <v>#DIV/0!</v>
      </c>
      <c r="AG163" s="287"/>
      <c r="AH163" s="313" t="e">
        <f t="shared" si="709"/>
        <v>#DIV/0!</v>
      </c>
      <c r="AI163" s="289"/>
      <c r="AJ163" s="363" t="e">
        <f t="shared" si="710"/>
        <v>#DIV/0!</v>
      </c>
      <c r="AK163" s="289"/>
      <c r="AL163" s="363" t="e">
        <f t="shared" si="711"/>
        <v>#DIV/0!</v>
      </c>
      <c r="AM163" s="289"/>
      <c r="AN163" s="363" t="e">
        <f t="shared" si="712"/>
        <v>#DIV/0!</v>
      </c>
      <c r="AO163" s="289"/>
      <c r="AP163" s="363" t="e">
        <f t="shared" si="713"/>
        <v>#DIV/0!</v>
      </c>
      <c r="AQ163" s="323" t="e">
        <f t="shared" si="695"/>
        <v>#DIV/0!</v>
      </c>
      <c r="AR163" s="81">
        <f t="shared" si="714"/>
        <v>0</v>
      </c>
      <c r="AS163" s="81"/>
      <c r="AT163" s="84">
        <f t="shared" si="715"/>
        <v>0</v>
      </c>
      <c r="AU163" s="85"/>
      <c r="AV163" s="48">
        <f t="shared" si="716"/>
        <v>0</v>
      </c>
      <c r="AW163" s="81"/>
      <c r="AX163" s="84">
        <f t="shared" si="717"/>
        <v>0</v>
      </c>
      <c r="AY163" s="85"/>
      <c r="AZ163" s="84">
        <f t="shared" si="718"/>
        <v>0</v>
      </c>
      <c r="BA163" s="81"/>
      <c r="BB163" s="84">
        <f t="shared" si="719"/>
        <v>0</v>
      </c>
      <c r="BC163" s="85"/>
      <c r="BD163" s="84">
        <f t="shared" si="720"/>
        <v>0</v>
      </c>
      <c r="BE163" s="85"/>
      <c r="BF163" s="84">
        <f t="shared" si="721"/>
        <v>0</v>
      </c>
      <c r="BG163" s="85"/>
      <c r="BH163" s="84">
        <f t="shared" si="722"/>
        <v>0</v>
      </c>
      <c r="BI163" s="85"/>
      <c r="BJ163" s="84">
        <f t="shared" si="723"/>
        <v>0</v>
      </c>
      <c r="BK163" s="85"/>
      <c r="BL163" s="84">
        <f t="shared" si="724"/>
        <v>0</v>
      </c>
      <c r="BM163" s="85"/>
      <c r="BN163" s="84">
        <f t="shared" si="725"/>
        <v>0</v>
      </c>
      <c r="BO163" s="81"/>
      <c r="BP163" s="214">
        <f t="shared" si="726"/>
        <v>0</v>
      </c>
    </row>
    <row r="164" spans="2:68" ht="14.25" hidden="1" customHeight="1" x14ac:dyDescent="0.35">
      <c r="B164" s="66" t="s">
        <v>434</v>
      </c>
      <c r="C164" s="174"/>
      <c r="D164" s="83">
        <f>'2020-21'!AS77</f>
        <v>0</v>
      </c>
      <c r="E164" s="107">
        <f t="shared" si="696"/>
        <v>0</v>
      </c>
      <c r="F164" s="304">
        <f t="shared" si="696"/>
        <v>0</v>
      </c>
      <c r="G164" s="289"/>
      <c r="H164" s="363" t="e">
        <f t="shared" si="697"/>
        <v>#DIV/0!</v>
      </c>
      <c r="I164" s="287"/>
      <c r="J164" s="313" t="e">
        <f t="shared" si="698"/>
        <v>#DIV/0!</v>
      </c>
      <c r="K164" s="287"/>
      <c r="L164" s="288" t="e">
        <f t="shared" si="727"/>
        <v>#DIV/0!</v>
      </c>
      <c r="M164" s="289"/>
      <c r="N164" s="290" t="e">
        <f t="shared" si="728"/>
        <v>#DIV/0!</v>
      </c>
      <c r="O164" s="287"/>
      <c r="P164" s="288" t="e">
        <f t="shared" si="729"/>
        <v>#DIV/0!</v>
      </c>
      <c r="Q164" s="289"/>
      <c r="R164" s="290" t="e">
        <f t="shared" si="730"/>
        <v>#DIV/0!</v>
      </c>
      <c r="S164" s="287"/>
      <c r="T164" s="288" t="e">
        <f t="shared" si="702"/>
        <v>#DIV/0!</v>
      </c>
      <c r="U164" s="287"/>
      <c r="V164" s="288" t="e">
        <f t="shared" si="731"/>
        <v>#DIV/0!</v>
      </c>
      <c r="W164" s="289"/>
      <c r="X164" s="290" t="e">
        <f t="shared" si="732"/>
        <v>#DIV/0!</v>
      </c>
      <c r="Y164" s="287"/>
      <c r="Z164" s="313" t="e">
        <f t="shared" si="733"/>
        <v>#DIV/0!</v>
      </c>
      <c r="AA164" s="289"/>
      <c r="AB164" s="363" t="e">
        <f t="shared" si="706"/>
        <v>#DIV/0!</v>
      </c>
      <c r="AC164" s="287"/>
      <c r="AD164" s="313" t="e">
        <f t="shared" si="707"/>
        <v>#DIV/0!</v>
      </c>
      <c r="AE164" s="289"/>
      <c r="AF164" s="363" t="e">
        <f t="shared" si="708"/>
        <v>#DIV/0!</v>
      </c>
      <c r="AG164" s="287"/>
      <c r="AH164" s="313" t="e">
        <f t="shared" si="709"/>
        <v>#DIV/0!</v>
      </c>
      <c r="AI164" s="289"/>
      <c r="AJ164" s="363" t="e">
        <f t="shared" si="710"/>
        <v>#DIV/0!</v>
      </c>
      <c r="AK164" s="289"/>
      <c r="AL164" s="363" t="e">
        <f t="shared" si="711"/>
        <v>#DIV/0!</v>
      </c>
      <c r="AM164" s="289"/>
      <c r="AN164" s="363" t="e">
        <f t="shared" si="712"/>
        <v>#DIV/0!</v>
      </c>
      <c r="AO164" s="289"/>
      <c r="AP164" s="363" t="e">
        <f t="shared" si="713"/>
        <v>#DIV/0!</v>
      </c>
      <c r="AQ164" s="323" t="e">
        <f t="shared" si="695"/>
        <v>#DIV/0!</v>
      </c>
      <c r="AR164" s="81">
        <f t="shared" si="714"/>
        <v>0</v>
      </c>
      <c r="AS164" s="81"/>
      <c r="AT164" s="84">
        <f t="shared" si="715"/>
        <v>0</v>
      </c>
      <c r="AU164" s="85"/>
      <c r="AV164" s="48">
        <f t="shared" si="716"/>
        <v>0</v>
      </c>
      <c r="AW164" s="81"/>
      <c r="AX164" s="84">
        <f t="shared" si="717"/>
        <v>0</v>
      </c>
      <c r="AY164" s="85"/>
      <c r="AZ164" s="84">
        <f t="shared" si="718"/>
        <v>0</v>
      </c>
      <c r="BA164" s="81"/>
      <c r="BB164" s="84">
        <f t="shared" si="719"/>
        <v>0</v>
      </c>
      <c r="BC164" s="85"/>
      <c r="BD164" s="84">
        <f t="shared" si="720"/>
        <v>0</v>
      </c>
      <c r="BE164" s="85"/>
      <c r="BF164" s="84">
        <f t="shared" si="721"/>
        <v>0</v>
      </c>
      <c r="BG164" s="85"/>
      <c r="BH164" s="84">
        <f t="shared" si="722"/>
        <v>0</v>
      </c>
      <c r="BI164" s="85"/>
      <c r="BJ164" s="84">
        <f t="shared" si="723"/>
        <v>0</v>
      </c>
      <c r="BK164" s="85"/>
      <c r="BL164" s="84">
        <f t="shared" si="724"/>
        <v>0</v>
      </c>
      <c r="BM164" s="85"/>
      <c r="BN164" s="84">
        <f t="shared" si="725"/>
        <v>0</v>
      </c>
      <c r="BO164" s="81"/>
      <c r="BP164" s="214">
        <f t="shared" si="726"/>
        <v>0</v>
      </c>
    </row>
    <row r="165" spans="2:68" ht="14.25" hidden="1" customHeight="1" x14ac:dyDescent="0.35">
      <c r="B165" s="161" t="s">
        <v>414</v>
      </c>
      <c r="C165" s="177"/>
      <c r="D165" s="83">
        <f>'2020-21'!AS78</f>
        <v>0</v>
      </c>
      <c r="E165" s="107">
        <f t="shared" si="696"/>
        <v>0</v>
      </c>
      <c r="F165" s="304">
        <f t="shared" si="696"/>
        <v>0</v>
      </c>
      <c r="G165" s="289"/>
      <c r="H165" s="363" t="e">
        <f t="shared" si="697"/>
        <v>#DIV/0!</v>
      </c>
      <c r="I165" s="287"/>
      <c r="J165" s="313" t="e">
        <f t="shared" si="698"/>
        <v>#DIV/0!</v>
      </c>
      <c r="K165" s="287"/>
      <c r="L165" s="288" t="e">
        <f t="shared" si="727"/>
        <v>#DIV/0!</v>
      </c>
      <c r="M165" s="289"/>
      <c r="N165" s="290" t="e">
        <f t="shared" si="728"/>
        <v>#DIV/0!</v>
      </c>
      <c r="O165" s="287"/>
      <c r="P165" s="288" t="e">
        <f t="shared" si="729"/>
        <v>#DIV/0!</v>
      </c>
      <c r="Q165" s="289"/>
      <c r="R165" s="290" t="e">
        <f t="shared" si="730"/>
        <v>#DIV/0!</v>
      </c>
      <c r="S165" s="287"/>
      <c r="T165" s="288" t="e">
        <f t="shared" si="702"/>
        <v>#DIV/0!</v>
      </c>
      <c r="U165" s="287"/>
      <c r="V165" s="288" t="e">
        <f t="shared" si="731"/>
        <v>#DIV/0!</v>
      </c>
      <c r="W165" s="289"/>
      <c r="X165" s="290" t="e">
        <f t="shared" si="732"/>
        <v>#DIV/0!</v>
      </c>
      <c r="Y165" s="287"/>
      <c r="Z165" s="313" t="e">
        <f t="shared" si="733"/>
        <v>#DIV/0!</v>
      </c>
      <c r="AA165" s="289"/>
      <c r="AB165" s="363" t="e">
        <f t="shared" si="706"/>
        <v>#DIV/0!</v>
      </c>
      <c r="AC165" s="287"/>
      <c r="AD165" s="313" t="e">
        <f t="shared" si="707"/>
        <v>#DIV/0!</v>
      </c>
      <c r="AE165" s="289"/>
      <c r="AF165" s="363" t="e">
        <f t="shared" si="708"/>
        <v>#DIV/0!</v>
      </c>
      <c r="AG165" s="287"/>
      <c r="AH165" s="313" t="e">
        <f t="shared" si="709"/>
        <v>#DIV/0!</v>
      </c>
      <c r="AI165" s="289"/>
      <c r="AJ165" s="363" t="e">
        <f t="shared" si="710"/>
        <v>#DIV/0!</v>
      </c>
      <c r="AK165" s="289"/>
      <c r="AL165" s="363" t="e">
        <f t="shared" si="711"/>
        <v>#DIV/0!</v>
      </c>
      <c r="AM165" s="289"/>
      <c r="AN165" s="363" t="e">
        <f t="shared" si="712"/>
        <v>#DIV/0!</v>
      </c>
      <c r="AO165" s="289"/>
      <c r="AP165" s="363" t="e">
        <f t="shared" si="713"/>
        <v>#DIV/0!</v>
      </c>
      <c r="AQ165" s="323" t="e">
        <f t="shared" si="695"/>
        <v>#DIV/0!</v>
      </c>
      <c r="AR165" s="81">
        <f t="shared" si="714"/>
        <v>0</v>
      </c>
      <c r="AS165" s="81"/>
      <c r="AT165" s="84">
        <f t="shared" si="715"/>
        <v>0</v>
      </c>
      <c r="AU165" s="85"/>
      <c r="AV165" s="48">
        <f t="shared" si="716"/>
        <v>0</v>
      </c>
      <c r="AW165" s="81"/>
      <c r="AX165" s="84">
        <f t="shared" si="717"/>
        <v>0</v>
      </c>
      <c r="AY165" s="85"/>
      <c r="AZ165" s="84">
        <f t="shared" si="718"/>
        <v>0</v>
      </c>
      <c r="BA165" s="81"/>
      <c r="BB165" s="84">
        <f t="shared" si="719"/>
        <v>0</v>
      </c>
      <c r="BC165" s="85"/>
      <c r="BD165" s="84">
        <f t="shared" si="720"/>
        <v>0</v>
      </c>
      <c r="BE165" s="85"/>
      <c r="BF165" s="84">
        <f t="shared" si="721"/>
        <v>0</v>
      </c>
      <c r="BG165" s="85"/>
      <c r="BH165" s="84">
        <f t="shared" si="722"/>
        <v>0</v>
      </c>
      <c r="BI165" s="85"/>
      <c r="BJ165" s="84">
        <f t="shared" si="723"/>
        <v>0</v>
      </c>
      <c r="BK165" s="85"/>
      <c r="BL165" s="84">
        <f t="shared" si="724"/>
        <v>0</v>
      </c>
      <c r="BM165" s="85"/>
      <c r="BN165" s="84">
        <f t="shared" si="725"/>
        <v>0</v>
      </c>
      <c r="BO165" s="81"/>
      <c r="BP165" s="214">
        <f t="shared" si="726"/>
        <v>0</v>
      </c>
    </row>
    <row r="166" spans="2:68" ht="14.25" hidden="1" customHeight="1" x14ac:dyDescent="0.35">
      <c r="B166" s="159" t="s">
        <v>387</v>
      </c>
      <c r="C166" s="174"/>
      <c r="D166" s="83">
        <f>'2020-21'!AS79</f>
        <v>0</v>
      </c>
      <c r="E166" s="107">
        <f t="shared" si="696"/>
        <v>0</v>
      </c>
      <c r="F166" s="304">
        <f t="shared" si="696"/>
        <v>0</v>
      </c>
      <c r="G166" s="289"/>
      <c r="H166" s="363" t="e">
        <f t="shared" si="697"/>
        <v>#DIV/0!</v>
      </c>
      <c r="I166" s="287"/>
      <c r="J166" s="313" t="e">
        <f t="shared" si="698"/>
        <v>#DIV/0!</v>
      </c>
      <c r="K166" s="287"/>
      <c r="L166" s="288" t="e">
        <f t="shared" si="727"/>
        <v>#DIV/0!</v>
      </c>
      <c r="M166" s="289"/>
      <c r="N166" s="290" t="e">
        <f t="shared" si="728"/>
        <v>#DIV/0!</v>
      </c>
      <c r="O166" s="287"/>
      <c r="P166" s="288" t="e">
        <f t="shared" si="729"/>
        <v>#DIV/0!</v>
      </c>
      <c r="Q166" s="289"/>
      <c r="R166" s="290" t="e">
        <f t="shared" si="730"/>
        <v>#DIV/0!</v>
      </c>
      <c r="S166" s="287"/>
      <c r="T166" s="288" t="e">
        <f t="shared" si="702"/>
        <v>#DIV/0!</v>
      </c>
      <c r="U166" s="287"/>
      <c r="V166" s="288" t="e">
        <f t="shared" si="731"/>
        <v>#DIV/0!</v>
      </c>
      <c r="W166" s="289"/>
      <c r="X166" s="290" t="e">
        <f t="shared" si="732"/>
        <v>#DIV/0!</v>
      </c>
      <c r="Y166" s="287"/>
      <c r="Z166" s="313" t="e">
        <f t="shared" si="733"/>
        <v>#DIV/0!</v>
      </c>
      <c r="AA166" s="289"/>
      <c r="AB166" s="363" t="e">
        <f t="shared" si="706"/>
        <v>#DIV/0!</v>
      </c>
      <c r="AC166" s="287"/>
      <c r="AD166" s="313" t="e">
        <f t="shared" si="707"/>
        <v>#DIV/0!</v>
      </c>
      <c r="AE166" s="289"/>
      <c r="AF166" s="363" t="e">
        <f t="shared" si="708"/>
        <v>#DIV/0!</v>
      </c>
      <c r="AG166" s="287"/>
      <c r="AH166" s="313" t="e">
        <f t="shared" si="709"/>
        <v>#DIV/0!</v>
      </c>
      <c r="AI166" s="289"/>
      <c r="AJ166" s="363" t="e">
        <f t="shared" si="710"/>
        <v>#DIV/0!</v>
      </c>
      <c r="AK166" s="289"/>
      <c r="AL166" s="363" t="e">
        <f t="shared" si="711"/>
        <v>#DIV/0!</v>
      </c>
      <c r="AM166" s="289"/>
      <c r="AN166" s="363" t="e">
        <f t="shared" si="712"/>
        <v>#DIV/0!</v>
      </c>
      <c r="AO166" s="289"/>
      <c r="AP166" s="363" t="e">
        <f t="shared" si="713"/>
        <v>#DIV/0!</v>
      </c>
      <c r="AQ166" s="323" t="e">
        <f t="shared" si="695"/>
        <v>#DIV/0!</v>
      </c>
      <c r="AR166" s="81">
        <f t="shared" si="714"/>
        <v>0</v>
      </c>
      <c r="AS166" s="81"/>
      <c r="AT166" s="84">
        <f t="shared" si="715"/>
        <v>0</v>
      </c>
      <c r="AU166" s="85"/>
      <c r="AV166" s="48">
        <f t="shared" si="716"/>
        <v>0</v>
      </c>
      <c r="AW166" s="81"/>
      <c r="AX166" s="84">
        <f t="shared" si="717"/>
        <v>0</v>
      </c>
      <c r="AY166" s="85"/>
      <c r="AZ166" s="84">
        <f t="shared" si="718"/>
        <v>0</v>
      </c>
      <c r="BA166" s="81"/>
      <c r="BB166" s="84">
        <f t="shared" si="719"/>
        <v>0</v>
      </c>
      <c r="BC166" s="85"/>
      <c r="BD166" s="84">
        <f t="shared" si="720"/>
        <v>0</v>
      </c>
      <c r="BE166" s="85"/>
      <c r="BF166" s="84">
        <f t="shared" si="721"/>
        <v>0</v>
      </c>
      <c r="BG166" s="85"/>
      <c r="BH166" s="84">
        <f t="shared" si="722"/>
        <v>0</v>
      </c>
      <c r="BI166" s="85"/>
      <c r="BJ166" s="84">
        <f t="shared" si="723"/>
        <v>0</v>
      </c>
      <c r="BK166" s="85"/>
      <c r="BL166" s="84">
        <f t="shared" si="724"/>
        <v>0</v>
      </c>
      <c r="BM166" s="85"/>
      <c r="BN166" s="84">
        <f t="shared" si="725"/>
        <v>0</v>
      </c>
      <c r="BO166" s="81"/>
      <c r="BP166" s="214">
        <f t="shared" si="726"/>
        <v>0</v>
      </c>
    </row>
    <row r="167" spans="2:68" ht="14.25" hidden="1" customHeight="1" x14ac:dyDescent="0.35">
      <c r="B167" s="187" t="s">
        <v>408</v>
      </c>
      <c r="C167" s="173"/>
      <c r="D167" s="83">
        <f>'2020-21'!AS80</f>
        <v>0</v>
      </c>
      <c r="E167" s="107">
        <f t="shared" si="696"/>
        <v>0</v>
      </c>
      <c r="F167" s="304">
        <f t="shared" si="696"/>
        <v>0</v>
      </c>
      <c r="G167" s="289"/>
      <c r="H167" s="363" t="e">
        <f t="shared" si="697"/>
        <v>#DIV/0!</v>
      </c>
      <c r="I167" s="287"/>
      <c r="J167" s="313" t="e">
        <f t="shared" si="698"/>
        <v>#DIV/0!</v>
      </c>
      <c r="K167" s="287"/>
      <c r="L167" s="288" t="e">
        <f t="shared" si="727"/>
        <v>#DIV/0!</v>
      </c>
      <c r="M167" s="289"/>
      <c r="N167" s="290" t="e">
        <f t="shared" si="728"/>
        <v>#DIV/0!</v>
      </c>
      <c r="O167" s="287"/>
      <c r="P167" s="288" t="e">
        <f t="shared" si="729"/>
        <v>#DIV/0!</v>
      </c>
      <c r="Q167" s="289"/>
      <c r="R167" s="290" t="e">
        <f t="shared" si="730"/>
        <v>#DIV/0!</v>
      </c>
      <c r="S167" s="287"/>
      <c r="T167" s="288" t="e">
        <f t="shared" si="702"/>
        <v>#DIV/0!</v>
      </c>
      <c r="U167" s="287"/>
      <c r="V167" s="288" t="e">
        <f t="shared" si="731"/>
        <v>#DIV/0!</v>
      </c>
      <c r="W167" s="289"/>
      <c r="X167" s="290" t="e">
        <f t="shared" si="732"/>
        <v>#DIV/0!</v>
      </c>
      <c r="Y167" s="287"/>
      <c r="Z167" s="313" t="e">
        <f t="shared" si="733"/>
        <v>#DIV/0!</v>
      </c>
      <c r="AA167" s="289"/>
      <c r="AB167" s="363" t="e">
        <f t="shared" si="706"/>
        <v>#DIV/0!</v>
      </c>
      <c r="AC167" s="287"/>
      <c r="AD167" s="313" t="e">
        <f t="shared" si="707"/>
        <v>#DIV/0!</v>
      </c>
      <c r="AE167" s="289"/>
      <c r="AF167" s="363" t="e">
        <f t="shared" si="708"/>
        <v>#DIV/0!</v>
      </c>
      <c r="AG167" s="287"/>
      <c r="AH167" s="313" t="e">
        <f t="shared" si="709"/>
        <v>#DIV/0!</v>
      </c>
      <c r="AI167" s="289"/>
      <c r="AJ167" s="363" t="e">
        <f t="shared" si="710"/>
        <v>#DIV/0!</v>
      </c>
      <c r="AK167" s="289"/>
      <c r="AL167" s="363" t="e">
        <f t="shared" si="711"/>
        <v>#DIV/0!</v>
      </c>
      <c r="AM167" s="289"/>
      <c r="AN167" s="363" t="e">
        <f t="shared" si="712"/>
        <v>#DIV/0!</v>
      </c>
      <c r="AO167" s="289"/>
      <c r="AP167" s="363" t="e">
        <f t="shared" si="713"/>
        <v>#DIV/0!</v>
      </c>
      <c r="AQ167" s="323" t="e">
        <f t="shared" si="695"/>
        <v>#DIV/0!</v>
      </c>
      <c r="AR167" s="81">
        <f t="shared" si="714"/>
        <v>0</v>
      </c>
      <c r="AS167" s="81"/>
      <c r="AT167" s="84">
        <f t="shared" si="715"/>
        <v>0</v>
      </c>
      <c r="AU167" s="85"/>
      <c r="AV167" s="48">
        <f t="shared" si="716"/>
        <v>0</v>
      </c>
      <c r="AW167" s="81"/>
      <c r="AX167" s="84">
        <f t="shared" si="717"/>
        <v>0</v>
      </c>
      <c r="AY167" s="85"/>
      <c r="AZ167" s="84">
        <f t="shared" si="718"/>
        <v>0</v>
      </c>
      <c r="BA167" s="81"/>
      <c r="BB167" s="84">
        <f t="shared" si="719"/>
        <v>0</v>
      </c>
      <c r="BC167" s="85"/>
      <c r="BD167" s="84">
        <f t="shared" si="720"/>
        <v>0</v>
      </c>
      <c r="BE167" s="85"/>
      <c r="BF167" s="84">
        <f t="shared" si="721"/>
        <v>0</v>
      </c>
      <c r="BG167" s="85"/>
      <c r="BH167" s="84">
        <f t="shared" si="722"/>
        <v>0</v>
      </c>
      <c r="BI167" s="85"/>
      <c r="BJ167" s="84">
        <f t="shared" si="723"/>
        <v>0</v>
      </c>
      <c r="BK167" s="85"/>
      <c r="BL167" s="84">
        <f t="shared" si="724"/>
        <v>0</v>
      </c>
      <c r="BM167" s="85"/>
      <c r="BN167" s="84">
        <f t="shared" si="725"/>
        <v>0</v>
      </c>
      <c r="BO167" s="81"/>
      <c r="BP167" s="214">
        <f t="shared" si="726"/>
        <v>0</v>
      </c>
    </row>
    <row r="168" spans="2:68" ht="14.25" hidden="1" customHeight="1" x14ac:dyDescent="0.35">
      <c r="B168" s="100"/>
      <c r="C168" s="172"/>
      <c r="D168" s="107"/>
      <c r="E168" s="107"/>
      <c r="F168" s="304"/>
      <c r="G168" s="289"/>
      <c r="H168" s="363" t="e">
        <f t="shared" si="697"/>
        <v>#DIV/0!</v>
      </c>
      <c r="I168" s="287"/>
      <c r="J168" s="313" t="e">
        <f t="shared" si="698"/>
        <v>#DIV/0!</v>
      </c>
      <c r="K168" s="287"/>
      <c r="L168" s="288"/>
      <c r="M168" s="289"/>
      <c r="N168" s="289"/>
      <c r="O168" s="287"/>
      <c r="P168" s="287"/>
      <c r="Q168" s="289"/>
      <c r="R168" s="289"/>
      <c r="S168" s="287"/>
      <c r="T168" s="287"/>
      <c r="U168" s="287"/>
      <c r="V168" s="287"/>
      <c r="W168" s="289"/>
      <c r="X168" s="289"/>
      <c r="Y168" s="287"/>
      <c r="Z168" s="314"/>
      <c r="AA168" s="289"/>
      <c r="AB168" s="364"/>
      <c r="AC168" s="287"/>
      <c r="AD168" s="313" t="e">
        <f t="shared" si="707"/>
        <v>#DIV/0!</v>
      </c>
      <c r="AE168" s="289"/>
      <c r="AF168" s="364"/>
      <c r="AG168" s="287"/>
      <c r="AH168" s="313" t="e">
        <f t="shared" si="709"/>
        <v>#DIV/0!</v>
      </c>
      <c r="AI168" s="289"/>
      <c r="AJ168" s="363" t="e">
        <f t="shared" si="710"/>
        <v>#DIV/0!</v>
      </c>
      <c r="AK168" s="289"/>
      <c r="AL168" s="363" t="e">
        <f t="shared" si="711"/>
        <v>#DIV/0!</v>
      </c>
      <c r="AM168" s="289"/>
      <c r="AN168" s="363" t="e">
        <f t="shared" si="712"/>
        <v>#DIV/0!</v>
      </c>
      <c r="AO168" s="289"/>
      <c r="AP168" s="363" t="e">
        <f t="shared" si="713"/>
        <v>#DIV/0!</v>
      </c>
      <c r="AQ168" s="323" t="e">
        <f t="shared" si="695"/>
        <v>#DIV/0!</v>
      </c>
      <c r="AR168" s="81"/>
      <c r="AS168" s="81"/>
      <c r="AT168" s="84"/>
      <c r="AU168" s="85"/>
      <c r="AV168" s="81"/>
      <c r="AW168" s="81"/>
      <c r="AX168" s="84"/>
      <c r="AY168" s="85"/>
      <c r="AZ168" s="84"/>
      <c r="BA168" s="81"/>
      <c r="BB168" s="84"/>
      <c r="BC168" s="85"/>
      <c r="BD168" s="84"/>
      <c r="BE168" s="85"/>
      <c r="BF168" s="84"/>
      <c r="BG168" s="85"/>
      <c r="BH168" s="84"/>
      <c r="BI168" s="85"/>
      <c r="BJ168" s="84"/>
      <c r="BK168" s="85"/>
      <c r="BL168" s="84"/>
      <c r="BM168" s="85"/>
      <c r="BN168" s="84"/>
      <c r="BO168" s="81"/>
      <c r="BP168" s="214"/>
    </row>
    <row r="169" spans="2:68" x14ac:dyDescent="0.35">
      <c r="B169" s="159"/>
      <c r="C169" s="172"/>
      <c r="D169" s="107"/>
      <c r="E169" s="107"/>
      <c r="F169" s="304"/>
      <c r="G169" s="293"/>
      <c r="H169" s="365"/>
      <c r="I169" s="291"/>
      <c r="J169" s="315"/>
      <c r="K169" s="291"/>
      <c r="L169" s="292"/>
      <c r="M169" s="293"/>
      <c r="N169" s="293"/>
      <c r="O169" s="291"/>
      <c r="P169" s="291"/>
      <c r="Q169" s="293"/>
      <c r="R169" s="293"/>
      <c r="S169" s="291"/>
      <c r="T169" s="291"/>
      <c r="U169" s="291"/>
      <c r="V169" s="291"/>
      <c r="W169" s="293"/>
      <c r="X169" s="293"/>
      <c r="Y169" s="291"/>
      <c r="Z169" s="315"/>
      <c r="AA169" s="293"/>
      <c r="AB169" s="365"/>
      <c r="AC169" s="291"/>
      <c r="AD169" s="313"/>
      <c r="AE169" s="293"/>
      <c r="AF169" s="365"/>
      <c r="AG169" s="291"/>
      <c r="AH169" s="313"/>
      <c r="AI169" s="293"/>
      <c r="AJ169" s="363"/>
      <c r="AK169" s="293"/>
      <c r="AL169" s="363"/>
      <c r="AM169" s="293"/>
      <c r="AN169" s="363"/>
      <c r="AO169" s="293"/>
      <c r="AP169" s="363"/>
      <c r="AQ169" s="323">
        <f t="shared" si="695"/>
        <v>0</v>
      </c>
      <c r="AR169" s="81"/>
      <c r="AS169" s="81"/>
      <c r="AT169" s="84"/>
      <c r="AU169" s="85"/>
      <c r="AV169" s="81"/>
      <c r="AW169" s="81"/>
      <c r="AX169" s="84"/>
      <c r="AY169" s="85"/>
      <c r="AZ169" s="84"/>
      <c r="BA169" s="81"/>
      <c r="BB169" s="84"/>
      <c r="BC169" s="85"/>
      <c r="BD169" s="84"/>
      <c r="BE169" s="85"/>
      <c r="BF169" s="84"/>
      <c r="BG169" s="85"/>
      <c r="BH169" s="84"/>
      <c r="BI169" s="85"/>
      <c r="BJ169" s="84"/>
      <c r="BK169" s="85"/>
      <c r="BL169" s="84"/>
      <c r="BM169" s="85"/>
      <c r="BN169" s="84"/>
      <c r="BO169" s="81"/>
      <c r="BP169" s="214"/>
    </row>
    <row r="170" spans="2:68" x14ac:dyDescent="0.35">
      <c r="B170" s="159"/>
      <c r="C170" s="173"/>
      <c r="D170" s="83"/>
      <c r="E170" s="83"/>
      <c r="F170" s="301"/>
      <c r="G170" s="286"/>
      <c r="H170" s="360"/>
      <c r="I170" s="285"/>
      <c r="J170" s="312"/>
      <c r="K170" s="285"/>
      <c r="L170" s="294"/>
      <c r="M170" s="286"/>
      <c r="N170" s="286"/>
      <c r="O170" s="285"/>
      <c r="P170" s="285"/>
      <c r="Q170" s="286"/>
      <c r="R170" s="286"/>
      <c r="S170" s="285"/>
      <c r="T170" s="285"/>
      <c r="U170" s="285"/>
      <c r="V170" s="285"/>
      <c r="W170" s="286"/>
      <c r="X170" s="286"/>
      <c r="Y170" s="285"/>
      <c r="Z170" s="312"/>
      <c r="AA170" s="286"/>
      <c r="AB170" s="360"/>
      <c r="AC170" s="285"/>
      <c r="AD170" s="313"/>
      <c r="AE170" s="286"/>
      <c r="AF170" s="360"/>
      <c r="AG170" s="285"/>
      <c r="AH170" s="313"/>
      <c r="AI170" s="286"/>
      <c r="AJ170" s="360"/>
      <c r="AK170" s="286"/>
      <c r="AL170" s="360"/>
      <c r="AM170" s="286"/>
      <c r="AN170" s="360"/>
      <c r="AO170" s="286"/>
      <c r="AP170" s="360"/>
      <c r="AQ170" s="323">
        <f t="shared" si="695"/>
        <v>0</v>
      </c>
      <c r="AS170" s="81"/>
      <c r="AT170" s="84"/>
      <c r="AU170" s="85"/>
      <c r="AV170" s="81"/>
      <c r="AW170" s="81"/>
      <c r="AX170" s="84"/>
      <c r="AY170" s="85"/>
      <c r="AZ170" s="84"/>
      <c r="BA170" s="81"/>
      <c r="BB170" s="84"/>
      <c r="BC170" s="85"/>
      <c r="BD170" s="84"/>
      <c r="BE170" s="85"/>
      <c r="BF170" s="84"/>
      <c r="BG170" s="85"/>
      <c r="BH170" s="84"/>
      <c r="BI170" s="85"/>
      <c r="BJ170" s="84"/>
      <c r="BK170" s="85"/>
      <c r="BL170" s="84"/>
      <c r="BM170" s="85"/>
      <c r="BN170" s="84"/>
      <c r="BO170" s="81"/>
      <c r="BP170" s="214"/>
    </row>
    <row r="171" spans="2:68" ht="13.9" thickBot="1" x14ac:dyDescent="0.4">
      <c r="B171" s="159"/>
      <c r="C171" s="206"/>
      <c r="D171" s="207">
        <f>SUM(D8:D170)</f>
        <v>6334248.3599999966</v>
      </c>
      <c r="E171" s="207">
        <f>SUM(E32:E170)</f>
        <v>1517256.88</v>
      </c>
      <c r="F171" s="310">
        <f>SUM(F32:F132)</f>
        <v>2105226.2400000002</v>
      </c>
      <c r="G171" s="308">
        <f>SUM(G26:G132)</f>
        <v>54163.009999999995</v>
      </c>
      <c r="H171" s="366">
        <f>G171/F171</f>
        <v>2.5727880914119705E-2</v>
      </c>
      <c r="I171" s="306">
        <f>SUM(I26:I132)</f>
        <v>7728.89</v>
      </c>
      <c r="J171" s="316">
        <f>I171/F171</f>
        <v>3.671287129691106E-3</v>
      </c>
      <c r="K171" s="306">
        <f>SUM(K26:K132)</f>
        <v>226388.58000000002</v>
      </c>
      <c r="L171" s="307">
        <f>K171/F171</f>
        <v>0.10753646125938464</v>
      </c>
      <c r="M171" s="308">
        <f>SUM(M25:M132)</f>
        <v>205611.59000000003</v>
      </c>
      <c r="N171" s="309">
        <f>M171/F171</f>
        <v>9.7667217942333837E-2</v>
      </c>
      <c r="O171" s="306">
        <f>SUM(O26:O132)</f>
        <v>343478.97</v>
      </c>
      <c r="P171" s="307">
        <f>O171/F171</f>
        <v>0.16315537184260059</v>
      </c>
      <c r="Q171" s="308">
        <f>SUM(Q26:Q132)</f>
        <v>138228.22000000003</v>
      </c>
      <c r="R171" s="309">
        <f>Q171/F171</f>
        <v>6.5659555905972375E-2</v>
      </c>
      <c r="S171" s="306">
        <f>SUM(S26:S132)</f>
        <v>131574.36000000004</v>
      </c>
      <c r="T171" s="307">
        <f>S171/D171</f>
        <v>2.0771897867294883E-2</v>
      </c>
      <c r="U171" s="306">
        <f>SUM(U26:U132)</f>
        <v>147314.79999999996</v>
      </c>
      <c r="V171" s="307">
        <f>U171/F171</f>
        <v>6.9975757094876384E-2</v>
      </c>
      <c r="W171" s="308">
        <f>SUM(W26:W132)</f>
        <v>221483.03</v>
      </c>
      <c r="X171" s="309">
        <f>W171/F171</f>
        <v>0.1052062841473988</v>
      </c>
      <c r="Y171" s="306">
        <f>SUM(Y26:Y132)</f>
        <v>13677.21</v>
      </c>
      <c r="Z171" s="316">
        <f>Y171/F171</f>
        <v>6.4967886776862507E-3</v>
      </c>
      <c r="AA171" s="308">
        <f>SUM(AA26:AA132)</f>
        <v>86206.77</v>
      </c>
      <c r="AB171" s="366">
        <f>AA171/F171</f>
        <v>4.0948933830503652E-2</v>
      </c>
      <c r="AC171" s="306">
        <f>SUM(AC26:AC132)</f>
        <v>102315.40999999999</v>
      </c>
      <c r="AD171" s="316">
        <f>AC171/D171</f>
        <v>1.6152731024269475E-2</v>
      </c>
      <c r="AE171" s="308">
        <f>SUM(AE26:AE132)</f>
        <v>21450.3</v>
      </c>
      <c r="AF171" s="366">
        <f>AE171/J171</f>
        <v>5842719.2541066054</v>
      </c>
      <c r="AG171" s="306">
        <f>SUM(AG26:AG132)</f>
        <v>9745.1200000000008</v>
      </c>
      <c r="AH171" s="316">
        <f>AG171/F171</f>
        <v>4.6290131743750261E-3</v>
      </c>
      <c r="AI171" s="308">
        <f>SUM(AI26:AI132)</f>
        <v>53505.06</v>
      </c>
      <c r="AJ171" s="366">
        <f>AI171/F171</f>
        <v>2.5415349183563279E-2</v>
      </c>
      <c r="AK171" s="308">
        <f>SUM(AK26:AK132)</f>
        <v>11580.73</v>
      </c>
      <c r="AL171" s="366">
        <f>AK171/D171</f>
        <v>1.8282721708752206E-3</v>
      </c>
      <c r="AM171" s="308">
        <f>SUM(AM26:AM132)</f>
        <v>16841.879999999997</v>
      </c>
      <c r="AN171" s="366">
        <f>AM171/F171</f>
        <v>8.0000332885837473E-3</v>
      </c>
      <c r="AO171" s="308">
        <f>SUM(AO26:AO132)</f>
        <v>93545.540000000008</v>
      </c>
      <c r="AP171" s="366">
        <f>AO171/H171</f>
        <v>3635959.7711236812</v>
      </c>
      <c r="AQ171" s="324" t="s">
        <v>401</v>
      </c>
      <c r="AR171" s="76"/>
      <c r="AS171" s="220"/>
      <c r="AT171" s="153"/>
      <c r="AU171" s="144"/>
      <c r="AV171" s="147"/>
      <c r="AW171" s="147"/>
      <c r="AX171" s="153"/>
      <c r="AY171" s="144"/>
      <c r="AZ171" s="153"/>
      <c r="BA171" s="147"/>
      <c r="BB171" s="153"/>
      <c r="BC171" s="144"/>
      <c r="BD171" s="153"/>
      <c r="BE171" s="144"/>
      <c r="BF171" s="153"/>
      <c r="BG171" s="144"/>
      <c r="BH171" s="153"/>
      <c r="BI171" s="144"/>
      <c r="BJ171" s="153"/>
      <c r="BK171" s="144"/>
      <c r="BL171" s="153"/>
      <c r="BM171" s="144"/>
      <c r="BN171" s="153"/>
      <c r="BO171" s="147"/>
      <c r="BP171" s="215"/>
    </row>
    <row r="172" spans="2:68" ht="13.9" thickTop="1" x14ac:dyDescent="0.35">
      <c r="B172" s="188"/>
      <c r="C172" s="189"/>
      <c r="D172" s="190"/>
      <c r="E172" s="190"/>
      <c r="F172" s="190"/>
      <c r="G172" s="190"/>
      <c r="H172" s="190"/>
      <c r="I172" s="190"/>
      <c r="J172" s="190"/>
      <c r="K172" s="190"/>
      <c r="L172" s="295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S172" s="48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5"/>
      <c r="BP172" s="48"/>
    </row>
    <row r="173" spans="2:68" x14ac:dyDescent="0.35">
      <c r="B173" s="88" t="s">
        <v>155</v>
      </c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53">
        <f>SUM(AR8:AR170)</f>
        <v>141621.11000000002</v>
      </c>
      <c r="AS173" s="53"/>
      <c r="AT173" s="53">
        <f>SUM(AT8:AT170)</f>
        <v>162258.07999999999</v>
      </c>
      <c r="AU173" s="53"/>
      <c r="AV173" s="53">
        <f>SUM(AV8:AV170)</f>
        <v>193367.38999999996</v>
      </c>
      <c r="AW173" s="53"/>
      <c r="AX173" s="53">
        <f>SUM(AX8:AX170)</f>
        <v>174010.94</v>
      </c>
      <c r="AY173" s="53"/>
      <c r="AZ173" s="53">
        <f>SUM(AZ8:AZ170)</f>
        <v>190690.58999999997</v>
      </c>
      <c r="BA173" s="53"/>
      <c r="BB173" s="53">
        <f>SUM(BB8:BB170)</f>
        <v>305810.76000000007</v>
      </c>
      <c r="BC173" s="53"/>
      <c r="BD173" s="53">
        <f>SUM(BD8:BD170)</f>
        <v>198381.85</v>
      </c>
      <c r="BE173" s="53"/>
      <c r="BF173" s="89">
        <f>SUM(BF8:BF168)</f>
        <v>375787.37999999995</v>
      </c>
      <c r="BG173" s="89"/>
      <c r="BH173" s="89">
        <f>SUM(BH8:BH168)</f>
        <v>188444.63</v>
      </c>
      <c r="BI173" s="89"/>
      <c r="BJ173" s="53">
        <f>SUM(BJ8:BJ172)</f>
        <v>84187.98</v>
      </c>
      <c r="BK173" s="89"/>
      <c r="BL173" s="89">
        <f>SUM(BL8:BL168)</f>
        <v>38406.259999999995</v>
      </c>
      <c r="BM173" s="89"/>
      <c r="BN173" s="89">
        <f>SUM(BN8:BN168)</f>
        <v>122029.38</v>
      </c>
      <c r="BO173" s="90"/>
    </row>
    <row r="174" spans="2:68" x14ac:dyDescent="0.35">
      <c r="B174" s="26" t="s">
        <v>808</v>
      </c>
      <c r="C174" s="157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>
        <f>SUM(AS8:AS171)</f>
        <v>141621.23000000001</v>
      </c>
      <c r="AT174" s="93"/>
      <c r="AU174" s="93">
        <f>SUM(AU8:AU171)</f>
        <v>162258.26</v>
      </c>
      <c r="AV174" s="93"/>
      <c r="AW174" s="93">
        <f>SUM(AW8:AW171)</f>
        <v>193367.02999999997</v>
      </c>
      <c r="AX174" s="93"/>
      <c r="AY174" s="93">
        <f>SUM(AY8:AY171)</f>
        <v>174011.47</v>
      </c>
      <c r="AZ174" s="93"/>
      <c r="BA174" s="93">
        <f>SUM(BA8:BA171)</f>
        <v>190690.50999999995</v>
      </c>
      <c r="BB174" s="93"/>
      <c r="BC174" s="93">
        <f>SUM(BC8:BC171)</f>
        <v>305810.76000000007</v>
      </c>
      <c r="BD174" s="93"/>
      <c r="BE174" s="93">
        <f>SUM(BE8:BE171)</f>
        <v>199822.24000000002</v>
      </c>
      <c r="BF174" s="93"/>
      <c r="BG174" s="93">
        <f>SUM(BG8:BG171)</f>
        <v>0</v>
      </c>
      <c r="BH174" s="93"/>
      <c r="BI174" s="93">
        <f>SUM(BI8:BI171)</f>
        <v>0</v>
      </c>
      <c r="BJ174" s="93"/>
      <c r="BK174" s="93">
        <f>SUM(BK8:BK171)</f>
        <v>0</v>
      </c>
      <c r="BL174" s="93"/>
      <c r="BM174" s="93">
        <f>SUM(BM8:BM171)</f>
        <v>0</v>
      </c>
      <c r="BN174" s="93"/>
      <c r="BO174" s="93">
        <f>SUM(BO8:BO171)</f>
        <v>0</v>
      </c>
      <c r="BP174" s="81"/>
    </row>
    <row r="175" spans="2:68" x14ac:dyDescent="0.35">
      <c r="B175" s="199" t="s">
        <v>439</v>
      </c>
      <c r="C175" s="200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  <c r="AQ175" s="201"/>
      <c r="AR175" s="201"/>
      <c r="AS175" s="201">
        <f>'2024-25'!AL197</f>
        <v>181874.42</v>
      </c>
      <c r="AT175" s="201"/>
      <c r="AU175" s="201">
        <f>'2024-25'!AN197</f>
        <v>123740.13</v>
      </c>
      <c r="AV175" s="201"/>
      <c r="AW175" s="201">
        <f>'2024-25'!AP197</f>
        <v>126708.18</v>
      </c>
      <c r="AX175" s="201"/>
      <c r="AY175" s="201">
        <f>'2024-25'!AR197</f>
        <v>130865.35</v>
      </c>
      <c r="AZ175" s="201"/>
      <c r="BA175" s="201">
        <f>'2024-25'!AT197</f>
        <v>162119.92000000001</v>
      </c>
      <c r="BB175" s="201"/>
      <c r="BC175" s="201">
        <f>'2024-25'!AV197</f>
        <v>150870.73000000001</v>
      </c>
      <c r="BD175" s="201"/>
      <c r="BE175" s="201">
        <f>'2024-25'!AX197</f>
        <v>190817.89</v>
      </c>
      <c r="BF175" s="201"/>
      <c r="BG175" s="201">
        <f>'2024-25'!AZ197</f>
        <v>167229.59</v>
      </c>
      <c r="BH175" s="201"/>
      <c r="BI175" s="201">
        <f>'2024-25'!BB197</f>
        <v>194809.95</v>
      </c>
      <c r="BJ175" s="201"/>
      <c r="BK175" s="201">
        <f>'2024-25'!BD197</f>
        <v>270680.03999999998</v>
      </c>
      <c r="BL175" s="201"/>
      <c r="BM175" s="201">
        <f>'2024-25'!BF197</f>
        <v>60478.32</v>
      </c>
      <c r="BN175" s="201"/>
      <c r="BO175" s="201">
        <f>'2024-25'!BH197</f>
        <v>191144.32999999996</v>
      </c>
      <c r="BP175" s="48"/>
    </row>
    <row r="176" spans="2:68" x14ac:dyDescent="0.35">
      <c r="B176" s="199" t="s">
        <v>440</v>
      </c>
      <c r="C176" s="200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>
        <f>'2024-25'!AL198</f>
        <v>158416.10999999999</v>
      </c>
      <c r="AT176" s="201"/>
      <c r="AU176" s="201">
        <f>'2024-25'!AN198</f>
        <v>180398.53</v>
      </c>
      <c r="AV176" s="201"/>
      <c r="AW176" s="201">
        <f>'2024-25'!AP198</f>
        <v>119253.95999999999</v>
      </c>
      <c r="AX176" s="201"/>
      <c r="AY176" s="201">
        <f>'2024-25'!AR198</f>
        <v>189167.12</v>
      </c>
      <c r="AZ176" s="201"/>
      <c r="BA176" s="201">
        <f>'2024-25'!AT198</f>
        <v>161943.24999999997</v>
      </c>
      <c r="BB176" s="201"/>
      <c r="BC176" s="201">
        <f>'2024-25'!AV198</f>
        <v>205372.55000000005</v>
      </c>
      <c r="BD176" s="201"/>
      <c r="BE176" s="201">
        <f>'2024-25'!AX198</f>
        <v>176570.41</v>
      </c>
      <c r="BF176" s="201"/>
      <c r="BG176" s="201">
        <f>'2024-25'!AZ198</f>
        <v>165823.42000000001</v>
      </c>
      <c r="BH176" s="201"/>
      <c r="BI176" s="201">
        <f>'2024-25'!BB198</f>
        <v>260808.57000000004</v>
      </c>
      <c r="BJ176" s="201"/>
      <c r="BK176" s="201">
        <f>'2024-25'!BD198</f>
        <v>247889.09</v>
      </c>
      <c r="BL176" s="201"/>
      <c r="BM176" s="201">
        <f>'2024-25'!BF198</f>
        <v>82500.649999999994</v>
      </c>
      <c r="BN176" s="201"/>
      <c r="BO176" s="201">
        <f>'2024-25'!BH198</f>
        <v>237189.19000000003</v>
      </c>
      <c r="BP176" s="48"/>
    </row>
    <row r="177" spans="2:68" x14ac:dyDescent="0.35"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48" t="s">
        <v>807</v>
      </c>
    </row>
    <row r="178" spans="2:68" x14ac:dyDescent="0.35">
      <c r="B178" s="88" t="s">
        <v>225</v>
      </c>
      <c r="C178" s="184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>
        <f>AR173</f>
        <v>141621.11000000002</v>
      </c>
      <c r="AS178" s="89"/>
      <c r="AT178" s="89">
        <f>AT173+AR178</f>
        <v>303879.19</v>
      </c>
      <c r="AU178" s="89"/>
      <c r="AV178" s="354">
        <f>AV173+AT178</f>
        <v>497246.57999999996</v>
      </c>
      <c r="AW178" s="89"/>
      <c r="AX178" s="89">
        <f>AX173+AV178</f>
        <v>671257.52</v>
      </c>
      <c r="AY178" s="89"/>
      <c r="AZ178" s="89">
        <f>AZ173+AX178</f>
        <v>861948.11</v>
      </c>
      <c r="BA178" s="89"/>
      <c r="BB178" s="89">
        <f>BB173+AZ178</f>
        <v>1167758.8700000001</v>
      </c>
      <c r="BC178" s="89"/>
      <c r="BD178" s="89">
        <f>BD173+BB178</f>
        <v>1366140.7200000002</v>
      </c>
      <c r="BE178" s="89"/>
      <c r="BF178" s="89">
        <f>BF173+BD178</f>
        <v>1741928.1</v>
      </c>
      <c r="BG178" s="89"/>
      <c r="BH178" s="89">
        <f>BH173+BF178</f>
        <v>1930372.73</v>
      </c>
      <c r="BI178" s="89"/>
      <c r="BJ178" s="89">
        <f>BJ173+BH178</f>
        <v>2014560.71</v>
      </c>
      <c r="BK178" s="89"/>
      <c r="BL178" s="89">
        <f>BL173+BJ178</f>
        <v>2052966.97</v>
      </c>
      <c r="BM178" s="89"/>
      <c r="BN178" s="89">
        <f>BN173+BL178</f>
        <v>2174996.35</v>
      </c>
      <c r="BO178" s="90"/>
      <c r="BP178" s="81">
        <f>SUM(BP8:BP171)</f>
        <v>0</v>
      </c>
    </row>
    <row r="179" spans="2:68" x14ac:dyDescent="0.35">
      <c r="B179" s="26" t="s">
        <v>809</v>
      </c>
      <c r="C179" s="157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>
        <f>AS174</f>
        <v>141621.23000000001</v>
      </c>
      <c r="AT179" s="93"/>
      <c r="AU179" s="93">
        <f>AU174+AS179</f>
        <v>303879.49</v>
      </c>
      <c r="AV179" s="93"/>
      <c r="AW179" s="93">
        <f>AW174+AU179</f>
        <v>497246.51999999996</v>
      </c>
      <c r="AX179" s="93"/>
      <c r="AY179" s="93">
        <f>AY174+AW179</f>
        <v>671257.99</v>
      </c>
      <c r="AZ179" s="93"/>
      <c r="BA179" s="93">
        <f>BA174+AY179</f>
        <v>861948.5</v>
      </c>
      <c r="BB179" s="93"/>
      <c r="BC179" s="93">
        <f>BC174+BA179</f>
        <v>1167759.26</v>
      </c>
      <c r="BD179" s="93"/>
      <c r="BE179" s="93">
        <f>BE174+BC179</f>
        <v>1367581.5</v>
      </c>
      <c r="BF179" s="93"/>
      <c r="BG179" s="93">
        <f>BG174+BE179</f>
        <v>1367581.5</v>
      </c>
      <c r="BH179" s="93"/>
      <c r="BI179" s="93">
        <f>BI174+BG179</f>
        <v>1367581.5</v>
      </c>
      <c r="BJ179" s="93"/>
      <c r="BK179" s="93">
        <f>BK174+BI179</f>
        <v>1367581.5</v>
      </c>
      <c r="BL179" s="93"/>
      <c r="BM179" s="93">
        <f>BM174+BK179</f>
        <v>1367581.5</v>
      </c>
      <c r="BN179" s="93"/>
      <c r="BO179" s="203">
        <f>BO174+BM179</f>
        <v>1367581.5</v>
      </c>
      <c r="BP179" s="81"/>
    </row>
    <row r="180" spans="2:68" x14ac:dyDescent="0.35">
      <c r="B180" s="191" t="s">
        <v>442</v>
      </c>
      <c r="C180" s="192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193"/>
      <c r="AL180" s="193"/>
      <c r="AM180" s="193"/>
      <c r="AN180" s="193"/>
      <c r="AO180" s="193"/>
      <c r="AP180" s="193"/>
      <c r="AQ180" s="193"/>
      <c r="AR180" s="193"/>
      <c r="AS180" s="193">
        <f>'2024-25'!AL202</f>
        <v>181874.42</v>
      </c>
      <c r="AT180" s="193"/>
      <c r="AU180" s="193">
        <f>'2024-25'!AN202</f>
        <v>305614.55000000005</v>
      </c>
      <c r="AV180" s="193"/>
      <c r="AW180" s="193">
        <f>'2024-25'!AP202</f>
        <v>432322.73000000004</v>
      </c>
      <c r="AX180" s="193"/>
      <c r="AY180" s="193">
        <f>'2024-25'!AR202</f>
        <v>563188.08000000007</v>
      </c>
      <c r="AZ180" s="193"/>
      <c r="BA180" s="193">
        <f>'2024-25'!AT202</f>
        <v>725308.00000000012</v>
      </c>
      <c r="BB180" s="193"/>
      <c r="BC180" s="193">
        <f>'2024-25'!AV202</f>
        <v>876178.7300000001</v>
      </c>
      <c r="BD180" s="193"/>
      <c r="BE180" s="193">
        <f>'2024-25'!AX202</f>
        <v>1066996.6200000001</v>
      </c>
      <c r="BF180" s="193"/>
      <c r="BG180" s="193">
        <f>'2024-25'!AZ202</f>
        <v>1234226.2100000002</v>
      </c>
      <c r="BH180" s="193"/>
      <c r="BI180" s="193">
        <f>'2024-25'!BB202</f>
        <v>1429036.1600000001</v>
      </c>
      <c r="BJ180" s="193"/>
      <c r="BK180" s="193">
        <f>'2024-25'!BD202</f>
        <v>1699716.2000000002</v>
      </c>
      <c r="BL180" s="193"/>
      <c r="BM180" s="193">
        <f>'2024-25'!BF202</f>
        <v>1760194.5200000003</v>
      </c>
      <c r="BN180" s="193"/>
      <c r="BO180" s="193">
        <f>'2024-25'!BH202</f>
        <v>1951338.85</v>
      </c>
      <c r="BP180" s="81"/>
    </row>
    <row r="181" spans="2:68" x14ac:dyDescent="0.35">
      <c r="B181" s="210" t="s">
        <v>443</v>
      </c>
      <c r="C181" s="208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209"/>
      <c r="AQ181" s="209"/>
      <c r="AR181" s="209"/>
      <c r="AS181" s="209">
        <f>'2024-25'!AL203</f>
        <v>158416.10999999999</v>
      </c>
      <c r="AT181" s="209"/>
      <c r="AU181" s="209">
        <f>'2024-25'!AN203</f>
        <v>338814.64</v>
      </c>
      <c r="AV181" s="209"/>
      <c r="AW181" s="209">
        <f>'2024-25'!AP203</f>
        <v>458068.6</v>
      </c>
      <c r="AX181" s="209"/>
      <c r="AY181" s="209">
        <f>'2024-25'!AR203</f>
        <v>647235.72</v>
      </c>
      <c r="AZ181" s="209"/>
      <c r="BA181" s="209">
        <f>'2024-25'!AT203</f>
        <v>809178.97</v>
      </c>
      <c r="BB181" s="209"/>
      <c r="BC181" s="209">
        <f>'2024-25'!AV203</f>
        <v>1014551.52</v>
      </c>
      <c r="BD181" s="209"/>
      <c r="BE181" s="209">
        <f>'2024-25'!AX203</f>
        <v>1191121.93</v>
      </c>
      <c r="BF181" s="209"/>
      <c r="BG181" s="209">
        <f>'2024-25'!AZ203</f>
        <v>1356945.3499999999</v>
      </c>
      <c r="BH181" s="209"/>
      <c r="BI181" s="209">
        <f>'2024-25'!BB203</f>
        <v>1617753.92</v>
      </c>
      <c r="BJ181" s="209"/>
      <c r="BK181" s="209">
        <f>'2024-25'!BD203</f>
        <v>1865643.01</v>
      </c>
      <c r="BL181" s="209"/>
      <c r="BM181" s="209">
        <f>'2024-25'!BF203</f>
        <v>1948143.66</v>
      </c>
      <c r="BN181" s="209"/>
      <c r="BO181" s="209">
        <f>'2024-25'!BH203</f>
        <v>2185332.85</v>
      </c>
      <c r="BP181" s="81"/>
    </row>
    <row r="182" spans="2:68" x14ac:dyDescent="0.35"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</row>
    <row r="184" spans="2:68" x14ac:dyDescent="0.35"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48"/>
    </row>
    <row r="185" spans="2:68" x14ac:dyDescent="0.35">
      <c r="AS185" s="81"/>
      <c r="AU185" s="81"/>
      <c r="AW185" s="81"/>
      <c r="AY185" s="81"/>
    </row>
    <row r="187" spans="2:68" x14ac:dyDescent="0.35">
      <c r="BA187"/>
    </row>
    <row r="190" spans="2:68" x14ac:dyDescent="0.35">
      <c r="AS190" s="81"/>
    </row>
  </sheetData>
  <mergeCells count="19">
    <mergeCell ref="AR4:AS4"/>
    <mergeCell ref="AT4:AU4"/>
    <mergeCell ref="AK4:AK5"/>
    <mergeCell ref="A4:A5"/>
    <mergeCell ref="BJ4:BK4"/>
    <mergeCell ref="AV4:AW4"/>
    <mergeCell ref="AO4:AO5"/>
    <mergeCell ref="AM4:AM5"/>
    <mergeCell ref="G4:G5"/>
    <mergeCell ref="I4:I5"/>
    <mergeCell ref="AI4:AI5"/>
    <mergeCell ref="BL4:BM4"/>
    <mergeCell ref="BN4:BO4"/>
    <mergeCell ref="AX4:AY4"/>
    <mergeCell ref="AZ4:BA4"/>
    <mergeCell ref="BB4:BC4"/>
    <mergeCell ref="BD4:BE4"/>
    <mergeCell ref="BF4:BG4"/>
    <mergeCell ref="BH4:BI4"/>
  </mergeCells>
  <pageMargins left="0.7" right="0.7" top="0.75" bottom="0.75" header="0.3" footer="0.3"/>
  <pageSetup paperSize="9" scale="21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5276-B394-4B5F-A32D-575C0DB68332}">
  <dimension ref="A1:U411"/>
  <sheetViews>
    <sheetView zoomScale="85" zoomScaleNormal="85" workbookViewId="0">
      <selection activeCell="I12" sqref="I12"/>
    </sheetView>
  </sheetViews>
  <sheetFormatPr baseColWidth="10" defaultRowHeight="13.5" x14ac:dyDescent="0.35"/>
  <cols>
    <col min="1" max="1" width="31.625" bestFit="1" customWidth="1"/>
    <col min="2" max="2" width="11.875" bestFit="1" customWidth="1"/>
    <col min="3" max="3" width="12.625" customWidth="1"/>
    <col min="4" max="4" width="10.125" style="264" bestFit="1" customWidth="1"/>
    <col min="5" max="5" width="12.625" customWidth="1"/>
    <col min="6" max="6" width="8.125" style="264" bestFit="1" customWidth="1"/>
    <col min="7" max="7" width="12.625" customWidth="1"/>
    <col min="8" max="8" width="8.125" style="264" bestFit="1" customWidth="1"/>
    <col min="9" max="9" width="12.625" customWidth="1"/>
    <col min="10" max="10" width="8.125" style="264" bestFit="1" customWidth="1"/>
    <col min="11" max="11" width="12.625" customWidth="1"/>
    <col min="12" max="12" width="8.125" style="22" bestFit="1" customWidth="1"/>
    <col min="13" max="13" width="12.625" customWidth="1"/>
    <col min="14" max="14" width="8.125" style="22" bestFit="1" customWidth="1"/>
    <col min="15" max="15" width="12.625" customWidth="1"/>
    <col min="16" max="16" width="8.125" style="22" bestFit="1" customWidth="1"/>
    <col min="17" max="17" width="12.625" customWidth="1"/>
    <col min="18" max="18" width="8.125" style="22" bestFit="1" customWidth="1"/>
    <col min="19" max="19" width="12.625" customWidth="1"/>
    <col min="20" max="20" width="8.125" style="22" bestFit="1" customWidth="1"/>
    <col min="21" max="21" width="11.625" bestFit="1" customWidth="1"/>
  </cols>
  <sheetData>
    <row r="1" spans="1:21" x14ac:dyDescent="0.35">
      <c r="B1" s="277">
        <f>B2/B2</f>
        <v>1</v>
      </c>
      <c r="C1" s="278">
        <f>C2/B2</f>
        <v>5.9751860012685544E-4</v>
      </c>
      <c r="E1" s="278">
        <f>E2/B2</f>
        <v>7.3589341713165279E-3</v>
      </c>
      <c r="G1" s="278">
        <f>G2/B2</f>
        <v>2.6470119597726579E-3</v>
      </c>
      <c r="I1" s="278">
        <f>I2/B2</f>
        <v>1.460609131351314E-3</v>
      </c>
      <c r="K1" s="278">
        <f>K2/B2</f>
        <v>5.1422085830062142E-3</v>
      </c>
      <c r="M1" s="278">
        <f>M2/B2</f>
        <v>6.8087290096562059E-3</v>
      </c>
      <c r="O1" s="278">
        <f>O2/B2</f>
        <v>0</v>
      </c>
      <c r="Q1" s="278">
        <f>Q2/B2</f>
        <v>7.1868761817441215E-3</v>
      </c>
      <c r="S1" s="278">
        <f>S2/B2</f>
        <v>1.3889935623391633E-3</v>
      </c>
    </row>
    <row r="2" spans="1:21" ht="13.9" thickBot="1" x14ac:dyDescent="0.4">
      <c r="A2" t="s">
        <v>528</v>
      </c>
      <c r="B2" s="251">
        <f>'2020-21'!C84</f>
        <v>2192400.37</v>
      </c>
      <c r="C2" s="274">
        <f>SUM(C4,C72)</f>
        <v>1310</v>
      </c>
      <c r="D2" s="250" t="s">
        <v>527</v>
      </c>
      <c r="E2" s="274">
        <f t="shared" ref="E2" si="0">SUM(E4,E72)</f>
        <v>16133.73</v>
      </c>
      <c r="F2" s="250" t="s">
        <v>527</v>
      </c>
      <c r="G2" s="274">
        <f t="shared" ref="G2" si="1">SUM(G4,G72)</f>
        <v>5803.31</v>
      </c>
      <c r="H2" s="250" t="s">
        <v>527</v>
      </c>
      <c r="I2" s="274">
        <f t="shared" ref="I2" si="2">SUM(I4,I72)</f>
        <v>3202.24</v>
      </c>
      <c r="J2" s="250" t="s">
        <v>527</v>
      </c>
      <c r="K2" s="274">
        <f t="shared" ref="K2" si="3">SUM(K4,K72)</f>
        <v>11273.78</v>
      </c>
      <c r="L2" s="250" t="s">
        <v>527</v>
      </c>
      <c r="M2" s="274">
        <f t="shared" ref="M2" si="4">SUM(M4,M72)</f>
        <v>14927.46</v>
      </c>
      <c r="N2" s="250" t="s">
        <v>527</v>
      </c>
      <c r="O2" s="274">
        <f t="shared" ref="O2" si="5">SUM(O4,O72)</f>
        <v>0</v>
      </c>
      <c r="P2" s="250" t="s">
        <v>527</v>
      </c>
      <c r="Q2" s="274">
        <f t="shared" ref="Q2" si="6">SUM(Q4,Q72)</f>
        <v>15756.51</v>
      </c>
      <c r="R2" s="250" t="s">
        <v>527</v>
      </c>
      <c r="S2" s="274">
        <f t="shared" ref="S2" si="7">SUM(S4,S72)</f>
        <v>3045.23</v>
      </c>
      <c r="T2" s="275"/>
      <c r="U2" t="s">
        <v>91</v>
      </c>
    </row>
    <row r="3" spans="1:21" ht="13.9" thickBot="1" x14ac:dyDescent="0.4">
      <c r="A3" s="252" t="s">
        <v>515</v>
      </c>
      <c r="B3" s="276" t="s">
        <v>516</v>
      </c>
      <c r="C3" s="467" t="s">
        <v>526</v>
      </c>
      <c r="D3" s="465"/>
      <c r="E3" s="465" t="s">
        <v>518</v>
      </c>
      <c r="F3" s="465"/>
      <c r="G3" s="465" t="s">
        <v>519</v>
      </c>
      <c r="H3" s="465"/>
      <c r="I3" s="465" t="s">
        <v>520</v>
      </c>
      <c r="J3" s="465"/>
      <c r="K3" s="465" t="s">
        <v>522</v>
      </c>
      <c r="L3" s="465"/>
      <c r="M3" s="465" t="s">
        <v>521</v>
      </c>
      <c r="N3" s="465"/>
      <c r="O3" s="465" t="s">
        <v>523</v>
      </c>
      <c r="P3" s="465"/>
      <c r="Q3" s="465" t="s">
        <v>524</v>
      </c>
      <c r="R3" s="465"/>
      <c r="S3" s="465" t="s">
        <v>525</v>
      </c>
      <c r="T3" s="466"/>
    </row>
    <row r="4" spans="1:21" x14ac:dyDescent="0.35">
      <c r="A4" s="260" t="e">
        <f>'2020-21'!#REF!</f>
        <v>#REF!</v>
      </c>
      <c r="B4" s="261">
        <v>71452.259999999995</v>
      </c>
      <c r="C4" s="268">
        <v>1310</v>
      </c>
      <c r="D4" s="269">
        <f t="shared" ref="D4:D35" si="8">C4/B4</f>
        <v>1.8333919738857805E-2</v>
      </c>
      <c r="E4" s="271">
        <v>16133.73</v>
      </c>
      <c r="F4" s="269">
        <f t="shared" ref="F4:F35" si="9">E4/B4</f>
        <v>0.2257973365712995</v>
      </c>
      <c r="G4" s="271">
        <v>5803.31</v>
      </c>
      <c r="H4" s="269">
        <f t="shared" ref="H4:H35" si="10">G4/B4</f>
        <v>8.1219404396725883E-2</v>
      </c>
      <c r="I4" s="271">
        <v>3202.24</v>
      </c>
      <c r="J4" s="269">
        <f t="shared" ref="J4:J35" si="11">I4/B4</f>
        <v>4.4816497056916045E-2</v>
      </c>
      <c r="K4" s="271">
        <v>11273.78</v>
      </c>
      <c r="L4" s="269">
        <f t="shared" ref="L4:L35" si="12">K4/B4</f>
        <v>0.15778059364392394</v>
      </c>
      <c r="M4" s="271">
        <v>14927.46</v>
      </c>
      <c r="N4" s="269">
        <f t="shared" ref="N4:N35" si="13">M4/B4</f>
        <v>0.20891515537787048</v>
      </c>
      <c r="O4" s="271"/>
      <c r="P4" s="269">
        <f t="shared" ref="P4:P35" si="14">O4/B4</f>
        <v>0</v>
      </c>
      <c r="Q4" s="271">
        <v>15756.51</v>
      </c>
      <c r="R4" s="269">
        <f t="shared" ref="R4:R35" si="15">Q4/B4</f>
        <v>0.22051800740802321</v>
      </c>
      <c r="S4" s="271">
        <v>3045.23</v>
      </c>
      <c r="T4" s="270">
        <f t="shared" ref="T4:T35" si="16">S4/B4</f>
        <v>4.2619085806383177E-2</v>
      </c>
      <c r="U4" s="272">
        <f>B4-C4-E4-G4-I4-K4-M4-O4-Q4-S4</f>
        <v>5.0022208597511053E-12</v>
      </c>
    </row>
    <row r="5" spans="1:21" x14ac:dyDescent="0.35">
      <c r="A5" s="254">
        <f>'2020-21'!A13</f>
        <v>0</v>
      </c>
      <c r="B5" s="251">
        <f>'2020-21'!C13</f>
        <v>0</v>
      </c>
      <c r="C5" s="273">
        <v>0</v>
      </c>
      <c r="D5" s="265" t="e">
        <f t="shared" si="8"/>
        <v>#DIV/0!</v>
      </c>
      <c r="E5" s="274">
        <v>0</v>
      </c>
      <c r="F5" s="269" t="e">
        <f t="shared" si="9"/>
        <v>#DIV/0!</v>
      </c>
      <c r="G5" s="274">
        <v>0</v>
      </c>
      <c r="H5" s="269" t="e">
        <f t="shared" si="10"/>
        <v>#DIV/0!</v>
      </c>
      <c r="I5" s="274">
        <v>0</v>
      </c>
      <c r="J5" s="269" t="e">
        <f t="shared" si="11"/>
        <v>#DIV/0!</v>
      </c>
      <c r="K5" s="274">
        <v>0</v>
      </c>
      <c r="L5" s="269" t="e">
        <f t="shared" si="12"/>
        <v>#DIV/0!</v>
      </c>
      <c r="M5" s="274">
        <v>0</v>
      </c>
      <c r="N5" s="269" t="e">
        <f t="shared" si="13"/>
        <v>#DIV/0!</v>
      </c>
      <c r="O5" s="274">
        <v>0</v>
      </c>
      <c r="P5" s="269" t="e">
        <f t="shared" si="14"/>
        <v>#DIV/0!</v>
      </c>
      <c r="Q5" s="274">
        <v>0</v>
      </c>
      <c r="R5" s="269" t="e">
        <f t="shared" si="15"/>
        <v>#DIV/0!</v>
      </c>
      <c r="S5" s="274">
        <v>0</v>
      </c>
      <c r="T5" s="270" t="e">
        <f t="shared" si="16"/>
        <v>#DIV/0!</v>
      </c>
      <c r="U5" s="272">
        <f t="shared" ref="U5:U68" si="17">B5-C5-E5-G5-I5-K5-M5-O5-Q5-S5</f>
        <v>0</v>
      </c>
    </row>
    <row r="6" spans="1:21" x14ac:dyDescent="0.35">
      <c r="A6" s="260">
        <v>0</v>
      </c>
      <c r="B6" s="261">
        <v>1</v>
      </c>
      <c r="C6" s="268">
        <v>0</v>
      </c>
      <c r="D6" s="269">
        <f t="shared" si="8"/>
        <v>0</v>
      </c>
      <c r="E6" s="271">
        <v>0</v>
      </c>
      <c r="F6" s="269">
        <f t="shared" si="9"/>
        <v>0</v>
      </c>
      <c r="G6" s="271">
        <v>0</v>
      </c>
      <c r="H6" s="269">
        <f t="shared" si="10"/>
        <v>0</v>
      </c>
      <c r="I6" s="271">
        <v>0</v>
      </c>
      <c r="J6" s="269">
        <f t="shared" si="11"/>
        <v>0</v>
      </c>
      <c r="K6" s="271">
        <v>0</v>
      </c>
      <c r="L6" s="269">
        <f t="shared" si="12"/>
        <v>0</v>
      </c>
      <c r="M6" s="271">
        <v>0</v>
      </c>
      <c r="N6" s="269">
        <f t="shared" si="13"/>
        <v>0</v>
      </c>
      <c r="O6" s="271">
        <v>0</v>
      </c>
      <c r="P6" s="269">
        <f t="shared" si="14"/>
        <v>0</v>
      </c>
      <c r="Q6" s="271">
        <v>0</v>
      </c>
      <c r="R6" s="269">
        <f t="shared" si="15"/>
        <v>0</v>
      </c>
      <c r="S6" s="271">
        <v>0</v>
      </c>
      <c r="T6" s="270">
        <f t="shared" si="16"/>
        <v>0</v>
      </c>
      <c r="U6" s="272">
        <f t="shared" si="17"/>
        <v>1</v>
      </c>
    </row>
    <row r="7" spans="1:21" x14ac:dyDescent="0.35">
      <c r="A7" s="254" t="str">
        <f>'2020-21'!A21</f>
        <v>LEMOINE</v>
      </c>
      <c r="B7" s="251">
        <v>1</v>
      </c>
      <c r="C7" s="273">
        <v>0</v>
      </c>
      <c r="D7" s="265">
        <f t="shared" si="8"/>
        <v>0</v>
      </c>
      <c r="E7" s="274">
        <v>0</v>
      </c>
      <c r="F7" s="269">
        <f t="shared" si="9"/>
        <v>0</v>
      </c>
      <c r="G7" s="274">
        <v>0</v>
      </c>
      <c r="H7" s="269">
        <f t="shared" si="10"/>
        <v>0</v>
      </c>
      <c r="I7" s="274">
        <v>0</v>
      </c>
      <c r="J7" s="269">
        <f t="shared" si="11"/>
        <v>0</v>
      </c>
      <c r="K7" s="274">
        <v>0</v>
      </c>
      <c r="L7" s="269">
        <f t="shared" si="12"/>
        <v>0</v>
      </c>
      <c r="M7" s="274">
        <v>0</v>
      </c>
      <c r="N7" s="269">
        <f t="shared" si="13"/>
        <v>0</v>
      </c>
      <c r="O7" s="274">
        <v>0</v>
      </c>
      <c r="P7" s="269">
        <f t="shared" si="14"/>
        <v>0</v>
      </c>
      <c r="Q7" s="274">
        <v>0</v>
      </c>
      <c r="R7" s="269">
        <f t="shared" si="15"/>
        <v>0</v>
      </c>
      <c r="S7" s="274">
        <v>0</v>
      </c>
      <c r="T7" s="270">
        <f t="shared" si="16"/>
        <v>0</v>
      </c>
      <c r="U7" s="272">
        <f t="shared" si="17"/>
        <v>1</v>
      </c>
    </row>
    <row r="8" spans="1:21" x14ac:dyDescent="0.35">
      <c r="A8" s="260" t="str">
        <f>'2020-21'!A22</f>
        <v>FRANCOIS</v>
      </c>
      <c r="B8" s="261">
        <v>1</v>
      </c>
      <c r="C8" s="268">
        <v>0</v>
      </c>
      <c r="D8" s="269">
        <f t="shared" si="8"/>
        <v>0</v>
      </c>
      <c r="E8" s="271">
        <v>0</v>
      </c>
      <c r="F8" s="269">
        <f t="shared" si="9"/>
        <v>0</v>
      </c>
      <c r="G8" s="271">
        <v>0</v>
      </c>
      <c r="H8" s="269">
        <f t="shared" si="10"/>
        <v>0</v>
      </c>
      <c r="I8" s="271">
        <v>0</v>
      </c>
      <c r="J8" s="269">
        <f t="shared" si="11"/>
        <v>0</v>
      </c>
      <c r="K8" s="271">
        <v>0</v>
      </c>
      <c r="L8" s="269">
        <f t="shared" si="12"/>
        <v>0</v>
      </c>
      <c r="M8" s="271">
        <v>0</v>
      </c>
      <c r="N8" s="269">
        <f t="shared" si="13"/>
        <v>0</v>
      </c>
      <c r="O8" s="271">
        <v>0</v>
      </c>
      <c r="P8" s="269">
        <f t="shared" si="14"/>
        <v>0</v>
      </c>
      <c r="Q8" s="271">
        <v>0</v>
      </c>
      <c r="R8" s="269">
        <f t="shared" si="15"/>
        <v>0</v>
      </c>
      <c r="S8" s="271">
        <v>0</v>
      </c>
      <c r="T8" s="270">
        <f t="shared" si="16"/>
        <v>0</v>
      </c>
      <c r="U8" s="272">
        <f t="shared" si="17"/>
        <v>1</v>
      </c>
    </row>
    <row r="9" spans="1:21" x14ac:dyDescent="0.35">
      <c r="A9" s="254" t="str">
        <f>'2020-21'!A23</f>
        <v>CUVIGNY</v>
      </c>
      <c r="B9" s="251">
        <f>'2020-21'!C23</f>
        <v>18000</v>
      </c>
      <c r="C9" s="273">
        <v>0</v>
      </c>
      <c r="D9" s="265">
        <f t="shared" si="8"/>
        <v>0</v>
      </c>
      <c r="E9" s="274">
        <v>0</v>
      </c>
      <c r="F9" s="269">
        <f t="shared" si="9"/>
        <v>0</v>
      </c>
      <c r="G9" s="274">
        <v>0</v>
      </c>
      <c r="H9" s="269">
        <f t="shared" si="10"/>
        <v>0</v>
      </c>
      <c r="I9" s="274">
        <v>0</v>
      </c>
      <c r="J9" s="269">
        <f t="shared" si="11"/>
        <v>0</v>
      </c>
      <c r="K9" s="274">
        <v>0</v>
      </c>
      <c r="L9" s="269">
        <f t="shared" si="12"/>
        <v>0</v>
      </c>
      <c r="M9" s="274">
        <v>0</v>
      </c>
      <c r="N9" s="269">
        <f t="shared" si="13"/>
        <v>0</v>
      </c>
      <c r="O9" s="274">
        <v>0</v>
      </c>
      <c r="P9" s="269">
        <f t="shared" si="14"/>
        <v>0</v>
      </c>
      <c r="Q9" s="274">
        <v>0</v>
      </c>
      <c r="R9" s="269">
        <f t="shared" si="15"/>
        <v>0</v>
      </c>
      <c r="S9" s="274">
        <v>0</v>
      </c>
      <c r="T9" s="270">
        <f t="shared" si="16"/>
        <v>0</v>
      </c>
      <c r="U9" s="272">
        <f t="shared" si="17"/>
        <v>18000</v>
      </c>
    </row>
    <row r="10" spans="1:21" x14ac:dyDescent="0.35">
      <c r="A10" s="260" t="str">
        <f>'2020-21'!A24</f>
        <v xml:space="preserve">BASSIERE </v>
      </c>
      <c r="B10" s="261">
        <f>'2020-21'!C24</f>
        <v>25682.67</v>
      </c>
      <c r="C10" s="273">
        <v>0</v>
      </c>
      <c r="D10" s="269">
        <f t="shared" si="8"/>
        <v>0</v>
      </c>
      <c r="E10" s="271">
        <v>0</v>
      </c>
      <c r="F10" s="269">
        <f t="shared" si="9"/>
        <v>0</v>
      </c>
      <c r="G10" s="271">
        <v>0</v>
      </c>
      <c r="H10" s="269">
        <f t="shared" si="10"/>
        <v>0</v>
      </c>
      <c r="I10" s="271">
        <v>0</v>
      </c>
      <c r="J10" s="269">
        <f t="shared" si="11"/>
        <v>0</v>
      </c>
      <c r="K10" s="271">
        <v>0</v>
      </c>
      <c r="L10" s="269">
        <f t="shared" si="12"/>
        <v>0</v>
      </c>
      <c r="M10" s="271">
        <v>0</v>
      </c>
      <c r="N10" s="269">
        <f t="shared" si="13"/>
        <v>0</v>
      </c>
      <c r="O10" s="271">
        <v>0</v>
      </c>
      <c r="P10" s="269">
        <f t="shared" si="14"/>
        <v>0</v>
      </c>
      <c r="Q10" s="271">
        <v>0</v>
      </c>
      <c r="R10" s="269">
        <f t="shared" si="15"/>
        <v>0</v>
      </c>
      <c r="S10" s="271">
        <v>0</v>
      </c>
      <c r="T10" s="270">
        <f t="shared" si="16"/>
        <v>0</v>
      </c>
      <c r="U10" s="272">
        <f t="shared" si="17"/>
        <v>25682.67</v>
      </c>
    </row>
    <row r="11" spans="1:21" x14ac:dyDescent="0.35">
      <c r="A11" s="254" t="str">
        <f>'2020-21'!A25</f>
        <v>EXAEQUO</v>
      </c>
      <c r="B11" s="251">
        <f>'2020-21'!C25</f>
        <v>533.33000000000004</v>
      </c>
      <c r="C11" s="268">
        <v>0</v>
      </c>
      <c r="D11" s="265">
        <f t="shared" si="8"/>
        <v>0</v>
      </c>
      <c r="E11" s="274">
        <v>0</v>
      </c>
      <c r="F11" s="269">
        <f t="shared" si="9"/>
        <v>0</v>
      </c>
      <c r="G11" s="274">
        <v>0</v>
      </c>
      <c r="H11" s="269">
        <f t="shared" si="10"/>
        <v>0</v>
      </c>
      <c r="I11" s="274">
        <v>0</v>
      </c>
      <c r="J11" s="269">
        <f t="shared" si="11"/>
        <v>0</v>
      </c>
      <c r="K11" s="274">
        <v>0</v>
      </c>
      <c r="L11" s="269">
        <f t="shared" si="12"/>
        <v>0</v>
      </c>
      <c r="M11" s="274">
        <v>0</v>
      </c>
      <c r="N11" s="269">
        <f t="shared" si="13"/>
        <v>0</v>
      </c>
      <c r="O11" s="274">
        <v>0</v>
      </c>
      <c r="P11" s="269">
        <f t="shared" si="14"/>
        <v>0</v>
      </c>
      <c r="Q11" s="274">
        <v>0</v>
      </c>
      <c r="R11" s="269">
        <f t="shared" si="15"/>
        <v>0</v>
      </c>
      <c r="S11" s="274">
        <v>0</v>
      </c>
      <c r="T11" s="270">
        <f t="shared" si="16"/>
        <v>0</v>
      </c>
      <c r="U11" s="272">
        <f t="shared" si="17"/>
        <v>533.33000000000004</v>
      </c>
    </row>
    <row r="12" spans="1:21" x14ac:dyDescent="0.35">
      <c r="A12" s="260" t="str">
        <f>'2020-21'!A26</f>
        <v>PREVOST</v>
      </c>
      <c r="B12" s="261">
        <f>'2020-21'!C26</f>
        <v>1821</v>
      </c>
      <c r="C12" s="273">
        <v>0</v>
      </c>
      <c r="D12" s="269">
        <f t="shared" si="8"/>
        <v>0</v>
      </c>
      <c r="E12" s="271">
        <v>0</v>
      </c>
      <c r="F12" s="269">
        <f t="shared" si="9"/>
        <v>0</v>
      </c>
      <c r="G12" s="271">
        <v>0</v>
      </c>
      <c r="H12" s="269">
        <f t="shared" si="10"/>
        <v>0</v>
      </c>
      <c r="I12" s="271">
        <v>0</v>
      </c>
      <c r="J12" s="269">
        <f t="shared" si="11"/>
        <v>0</v>
      </c>
      <c r="K12" s="271">
        <v>0</v>
      </c>
      <c r="L12" s="269">
        <f t="shared" si="12"/>
        <v>0</v>
      </c>
      <c r="M12" s="271">
        <v>0</v>
      </c>
      <c r="N12" s="269">
        <f t="shared" si="13"/>
        <v>0</v>
      </c>
      <c r="O12" s="271">
        <v>0</v>
      </c>
      <c r="P12" s="269">
        <f t="shared" si="14"/>
        <v>0</v>
      </c>
      <c r="Q12" s="271">
        <v>0</v>
      </c>
      <c r="R12" s="269">
        <f t="shared" si="15"/>
        <v>0</v>
      </c>
      <c r="S12" s="271">
        <v>0</v>
      </c>
      <c r="T12" s="270">
        <f t="shared" si="16"/>
        <v>0</v>
      </c>
      <c r="U12" s="272">
        <f t="shared" si="17"/>
        <v>1821</v>
      </c>
    </row>
    <row r="13" spans="1:21" x14ac:dyDescent="0.35">
      <c r="A13" s="254" t="str">
        <f>'2020-21'!A27</f>
        <v>DUCHENNE</v>
      </c>
      <c r="B13" s="251">
        <f>'2020-21'!C27</f>
        <v>21204</v>
      </c>
      <c r="C13" s="268">
        <v>0</v>
      </c>
      <c r="D13" s="265">
        <f t="shared" si="8"/>
        <v>0</v>
      </c>
      <c r="E13" s="274">
        <v>0</v>
      </c>
      <c r="F13" s="269">
        <f t="shared" si="9"/>
        <v>0</v>
      </c>
      <c r="G13" s="274">
        <v>0</v>
      </c>
      <c r="H13" s="269">
        <f t="shared" si="10"/>
        <v>0</v>
      </c>
      <c r="I13" s="274">
        <v>0</v>
      </c>
      <c r="J13" s="269">
        <f t="shared" si="11"/>
        <v>0</v>
      </c>
      <c r="K13" s="274">
        <v>0</v>
      </c>
      <c r="L13" s="269">
        <f t="shared" si="12"/>
        <v>0</v>
      </c>
      <c r="M13" s="274">
        <v>0</v>
      </c>
      <c r="N13" s="269">
        <f t="shared" si="13"/>
        <v>0</v>
      </c>
      <c r="O13" s="274">
        <v>0</v>
      </c>
      <c r="P13" s="269">
        <f t="shared" si="14"/>
        <v>0</v>
      </c>
      <c r="Q13" s="274">
        <v>0</v>
      </c>
      <c r="R13" s="269">
        <f t="shared" si="15"/>
        <v>0</v>
      </c>
      <c r="S13" s="274">
        <v>0</v>
      </c>
      <c r="T13" s="270">
        <f t="shared" si="16"/>
        <v>0</v>
      </c>
      <c r="U13" s="272">
        <f t="shared" si="17"/>
        <v>21204</v>
      </c>
    </row>
    <row r="14" spans="1:21" x14ac:dyDescent="0.35">
      <c r="A14" s="260" t="str">
        <f>'2020-21'!A28</f>
        <v>RAOULT</v>
      </c>
      <c r="B14" s="261">
        <f>'2020-21'!C28</f>
        <v>6537</v>
      </c>
      <c r="C14" s="273">
        <v>0</v>
      </c>
      <c r="D14" s="269">
        <f t="shared" si="8"/>
        <v>0</v>
      </c>
      <c r="E14" s="271">
        <v>0</v>
      </c>
      <c r="F14" s="269">
        <f t="shared" si="9"/>
        <v>0</v>
      </c>
      <c r="G14" s="271">
        <v>0</v>
      </c>
      <c r="H14" s="269">
        <f t="shared" si="10"/>
        <v>0</v>
      </c>
      <c r="I14" s="271">
        <v>0</v>
      </c>
      <c r="J14" s="269">
        <f t="shared" si="11"/>
        <v>0</v>
      </c>
      <c r="K14" s="271">
        <v>0</v>
      </c>
      <c r="L14" s="269">
        <f t="shared" si="12"/>
        <v>0</v>
      </c>
      <c r="M14" s="271">
        <v>0</v>
      </c>
      <c r="N14" s="269">
        <f t="shared" si="13"/>
        <v>0</v>
      </c>
      <c r="O14" s="271">
        <v>0</v>
      </c>
      <c r="P14" s="269">
        <f t="shared" si="14"/>
        <v>0</v>
      </c>
      <c r="Q14" s="271">
        <v>0</v>
      </c>
      <c r="R14" s="269">
        <f t="shared" si="15"/>
        <v>0</v>
      </c>
      <c r="S14" s="271">
        <v>0</v>
      </c>
      <c r="T14" s="270">
        <f t="shared" si="16"/>
        <v>0</v>
      </c>
      <c r="U14" s="272">
        <f t="shared" si="17"/>
        <v>6537</v>
      </c>
    </row>
    <row r="15" spans="1:21" x14ac:dyDescent="0.35">
      <c r="A15" s="254" t="str">
        <f>'2020-21'!A29</f>
        <v>VIVIER</v>
      </c>
      <c r="B15" s="251">
        <f>'2020-21'!C29</f>
        <v>9276</v>
      </c>
      <c r="C15" s="273">
        <v>0</v>
      </c>
      <c r="D15" s="265">
        <f t="shared" si="8"/>
        <v>0</v>
      </c>
      <c r="E15" s="274">
        <v>0</v>
      </c>
      <c r="F15" s="269">
        <f t="shared" si="9"/>
        <v>0</v>
      </c>
      <c r="G15" s="274">
        <v>0</v>
      </c>
      <c r="H15" s="269">
        <f t="shared" si="10"/>
        <v>0</v>
      </c>
      <c r="I15" s="274">
        <v>0</v>
      </c>
      <c r="J15" s="269">
        <f t="shared" si="11"/>
        <v>0</v>
      </c>
      <c r="K15" s="274">
        <v>0</v>
      </c>
      <c r="L15" s="269">
        <f t="shared" si="12"/>
        <v>0</v>
      </c>
      <c r="M15" s="274">
        <v>0</v>
      </c>
      <c r="N15" s="269">
        <f t="shared" si="13"/>
        <v>0</v>
      </c>
      <c r="O15" s="274">
        <v>0</v>
      </c>
      <c r="P15" s="269">
        <f t="shared" si="14"/>
        <v>0</v>
      </c>
      <c r="Q15" s="274">
        <v>0</v>
      </c>
      <c r="R15" s="269">
        <f t="shared" si="15"/>
        <v>0</v>
      </c>
      <c r="S15" s="274">
        <v>0</v>
      </c>
      <c r="T15" s="270">
        <f t="shared" si="16"/>
        <v>0</v>
      </c>
      <c r="U15" s="272">
        <f t="shared" si="17"/>
        <v>9276</v>
      </c>
    </row>
    <row r="16" spans="1:21" x14ac:dyDescent="0.35">
      <c r="A16" s="260" t="str">
        <f>'2020-21'!A30</f>
        <v>FOUQUES mam bassene</v>
      </c>
      <c r="B16" s="261">
        <f>'2020-21'!C30</f>
        <v>4328</v>
      </c>
      <c r="C16" s="268">
        <v>0</v>
      </c>
      <c r="D16" s="269">
        <f t="shared" si="8"/>
        <v>0</v>
      </c>
      <c r="E16" s="271">
        <v>0</v>
      </c>
      <c r="F16" s="269">
        <f t="shared" si="9"/>
        <v>0</v>
      </c>
      <c r="G16" s="271">
        <v>0</v>
      </c>
      <c r="H16" s="269">
        <f t="shared" si="10"/>
        <v>0</v>
      </c>
      <c r="I16" s="271">
        <v>0</v>
      </c>
      <c r="J16" s="269">
        <f t="shared" si="11"/>
        <v>0</v>
      </c>
      <c r="K16" s="271">
        <v>0</v>
      </c>
      <c r="L16" s="269">
        <f t="shared" si="12"/>
        <v>0</v>
      </c>
      <c r="M16" s="271">
        <v>0</v>
      </c>
      <c r="N16" s="269">
        <f t="shared" si="13"/>
        <v>0</v>
      </c>
      <c r="O16" s="271">
        <v>0</v>
      </c>
      <c r="P16" s="269">
        <f t="shared" si="14"/>
        <v>0</v>
      </c>
      <c r="Q16" s="271">
        <v>0</v>
      </c>
      <c r="R16" s="269">
        <f t="shared" si="15"/>
        <v>0</v>
      </c>
      <c r="S16" s="271">
        <v>0</v>
      </c>
      <c r="T16" s="270">
        <f t="shared" si="16"/>
        <v>0</v>
      </c>
      <c r="U16" s="272">
        <f t="shared" si="17"/>
        <v>4328</v>
      </c>
    </row>
    <row r="17" spans="1:21" x14ac:dyDescent="0.35">
      <c r="A17" s="254" t="str">
        <f>'2020-21'!A31</f>
        <v>ARCHE DES BEBES</v>
      </c>
      <c r="B17" s="251">
        <f>'2020-21'!C31</f>
        <v>220000</v>
      </c>
      <c r="C17" s="273">
        <v>0</v>
      </c>
      <c r="D17" s="265">
        <f t="shared" si="8"/>
        <v>0</v>
      </c>
      <c r="E17" s="274">
        <v>0</v>
      </c>
      <c r="F17" s="269">
        <f t="shared" si="9"/>
        <v>0</v>
      </c>
      <c r="G17" s="274">
        <v>0</v>
      </c>
      <c r="H17" s="269">
        <f t="shared" si="10"/>
        <v>0</v>
      </c>
      <c r="I17" s="274">
        <v>0</v>
      </c>
      <c r="J17" s="269">
        <f t="shared" si="11"/>
        <v>0</v>
      </c>
      <c r="K17" s="274">
        <v>0</v>
      </c>
      <c r="L17" s="269">
        <f t="shared" si="12"/>
        <v>0</v>
      </c>
      <c r="M17" s="274">
        <v>0</v>
      </c>
      <c r="N17" s="269">
        <f t="shared" si="13"/>
        <v>0</v>
      </c>
      <c r="O17" s="274">
        <v>0</v>
      </c>
      <c r="P17" s="269">
        <f t="shared" si="14"/>
        <v>0</v>
      </c>
      <c r="Q17" s="274">
        <v>0</v>
      </c>
      <c r="R17" s="269">
        <f t="shared" si="15"/>
        <v>0</v>
      </c>
      <c r="S17" s="274">
        <v>0</v>
      </c>
      <c r="T17" s="270">
        <f t="shared" si="16"/>
        <v>0</v>
      </c>
      <c r="U17" s="272">
        <f t="shared" si="17"/>
        <v>220000</v>
      </c>
    </row>
    <row r="18" spans="1:21" x14ac:dyDescent="0.35">
      <c r="A18" s="260" t="str">
        <f>'2020-21'!A32</f>
        <v>CHATELIN</v>
      </c>
      <c r="B18" s="261">
        <f>'2020-21'!C32</f>
        <v>31053</v>
      </c>
      <c r="C18" s="268">
        <v>0</v>
      </c>
      <c r="D18" s="269">
        <f t="shared" si="8"/>
        <v>0</v>
      </c>
      <c r="E18" s="271">
        <v>0</v>
      </c>
      <c r="F18" s="269">
        <f t="shared" si="9"/>
        <v>0</v>
      </c>
      <c r="G18" s="271">
        <v>0</v>
      </c>
      <c r="H18" s="269">
        <f t="shared" si="10"/>
        <v>0</v>
      </c>
      <c r="I18" s="271">
        <v>0</v>
      </c>
      <c r="J18" s="269">
        <f t="shared" si="11"/>
        <v>0</v>
      </c>
      <c r="K18" s="271">
        <v>0</v>
      </c>
      <c r="L18" s="269">
        <f t="shared" si="12"/>
        <v>0</v>
      </c>
      <c r="M18" s="271">
        <v>0</v>
      </c>
      <c r="N18" s="269">
        <f t="shared" si="13"/>
        <v>0</v>
      </c>
      <c r="O18" s="271">
        <v>0</v>
      </c>
      <c r="P18" s="269">
        <f t="shared" si="14"/>
        <v>0</v>
      </c>
      <c r="Q18" s="271">
        <v>0</v>
      </c>
      <c r="R18" s="269">
        <f t="shared" si="15"/>
        <v>0</v>
      </c>
      <c r="S18" s="271">
        <v>0</v>
      </c>
      <c r="T18" s="270">
        <f t="shared" si="16"/>
        <v>0</v>
      </c>
      <c r="U18" s="272">
        <f t="shared" si="17"/>
        <v>31053</v>
      </c>
    </row>
    <row r="19" spans="1:21" x14ac:dyDescent="0.35">
      <c r="A19" s="254" t="str">
        <f>'2020-21'!A33</f>
        <v>MONTFOURNY</v>
      </c>
      <c r="B19" s="251">
        <f>'2020-21'!C33</f>
        <v>113900</v>
      </c>
      <c r="C19" s="273">
        <v>0</v>
      </c>
      <c r="D19" s="265">
        <f t="shared" si="8"/>
        <v>0</v>
      </c>
      <c r="E19" s="274">
        <v>0</v>
      </c>
      <c r="F19" s="269">
        <f t="shared" si="9"/>
        <v>0</v>
      </c>
      <c r="G19" s="274">
        <v>0</v>
      </c>
      <c r="H19" s="269">
        <f t="shared" si="10"/>
        <v>0</v>
      </c>
      <c r="I19" s="274">
        <v>0</v>
      </c>
      <c r="J19" s="269">
        <f t="shared" si="11"/>
        <v>0</v>
      </c>
      <c r="K19" s="274">
        <v>0</v>
      </c>
      <c r="L19" s="269">
        <f t="shared" si="12"/>
        <v>0</v>
      </c>
      <c r="M19" s="274">
        <v>0</v>
      </c>
      <c r="N19" s="269">
        <f t="shared" si="13"/>
        <v>0</v>
      </c>
      <c r="O19" s="274">
        <v>0</v>
      </c>
      <c r="P19" s="269">
        <f t="shared" si="14"/>
        <v>0</v>
      </c>
      <c r="Q19" s="274">
        <v>0</v>
      </c>
      <c r="R19" s="269">
        <f t="shared" si="15"/>
        <v>0</v>
      </c>
      <c r="S19" s="274">
        <v>0</v>
      </c>
      <c r="T19" s="270">
        <f t="shared" si="16"/>
        <v>0</v>
      </c>
      <c r="U19" s="272">
        <f t="shared" si="17"/>
        <v>113900</v>
      </c>
    </row>
    <row r="20" spans="1:21" x14ac:dyDescent="0.35">
      <c r="A20" s="260" t="str">
        <f>'2020-21'!A34</f>
        <v>BRETAGNE</v>
      </c>
      <c r="B20" s="261">
        <f>'2020-21'!C34</f>
        <v>25597.21</v>
      </c>
      <c r="C20" s="273">
        <v>0</v>
      </c>
      <c r="D20" s="269">
        <f t="shared" si="8"/>
        <v>0</v>
      </c>
      <c r="E20" s="271">
        <v>0</v>
      </c>
      <c r="F20" s="269">
        <f t="shared" si="9"/>
        <v>0</v>
      </c>
      <c r="G20" s="271">
        <v>0</v>
      </c>
      <c r="H20" s="269">
        <f t="shared" si="10"/>
        <v>0</v>
      </c>
      <c r="I20" s="271">
        <v>0</v>
      </c>
      <c r="J20" s="269">
        <f t="shared" si="11"/>
        <v>0</v>
      </c>
      <c r="K20" s="271">
        <v>0</v>
      </c>
      <c r="L20" s="269">
        <f t="shared" si="12"/>
        <v>0</v>
      </c>
      <c r="M20" s="271">
        <v>0</v>
      </c>
      <c r="N20" s="269">
        <f t="shared" si="13"/>
        <v>0</v>
      </c>
      <c r="O20" s="271">
        <v>0</v>
      </c>
      <c r="P20" s="269">
        <f t="shared" si="14"/>
        <v>0</v>
      </c>
      <c r="Q20" s="271">
        <v>0</v>
      </c>
      <c r="R20" s="269">
        <f t="shared" si="15"/>
        <v>0</v>
      </c>
      <c r="S20" s="271">
        <v>0</v>
      </c>
      <c r="T20" s="270">
        <f t="shared" si="16"/>
        <v>0</v>
      </c>
      <c r="U20" s="272">
        <f t="shared" si="17"/>
        <v>25597.21</v>
      </c>
    </row>
    <row r="21" spans="1:21" x14ac:dyDescent="0.35">
      <c r="A21" s="254" t="str">
        <f>'2020-21'!A35</f>
        <v>GERBAULT - IBANESCU</v>
      </c>
      <c r="B21" s="251">
        <f>'2020-21'!C35</f>
        <v>103994</v>
      </c>
      <c r="C21" s="268">
        <v>0</v>
      </c>
      <c r="D21" s="265">
        <f t="shared" si="8"/>
        <v>0</v>
      </c>
      <c r="E21" s="274">
        <v>0</v>
      </c>
      <c r="F21" s="269">
        <f t="shared" si="9"/>
        <v>0</v>
      </c>
      <c r="G21" s="274">
        <v>0</v>
      </c>
      <c r="H21" s="269">
        <f t="shared" si="10"/>
        <v>0</v>
      </c>
      <c r="I21" s="274">
        <v>0</v>
      </c>
      <c r="J21" s="269">
        <f t="shared" si="11"/>
        <v>0</v>
      </c>
      <c r="K21" s="274">
        <v>0</v>
      </c>
      <c r="L21" s="269">
        <f t="shared" si="12"/>
        <v>0</v>
      </c>
      <c r="M21" s="274">
        <v>0</v>
      </c>
      <c r="N21" s="269">
        <f t="shared" si="13"/>
        <v>0</v>
      </c>
      <c r="O21" s="274">
        <v>0</v>
      </c>
      <c r="P21" s="269">
        <f t="shared" si="14"/>
        <v>0</v>
      </c>
      <c r="Q21" s="274">
        <v>0</v>
      </c>
      <c r="R21" s="269">
        <f t="shared" si="15"/>
        <v>0</v>
      </c>
      <c r="S21" s="274">
        <v>0</v>
      </c>
      <c r="T21" s="270">
        <f t="shared" si="16"/>
        <v>0</v>
      </c>
      <c r="U21" s="272">
        <f t="shared" si="17"/>
        <v>103994</v>
      </c>
    </row>
    <row r="22" spans="1:21" x14ac:dyDescent="0.35">
      <c r="A22" s="260" t="str">
        <f>'2020-21'!A36</f>
        <v>flipo portail</v>
      </c>
      <c r="B22" s="261">
        <f>'2020-21'!C36</f>
        <v>1156</v>
      </c>
      <c r="C22" s="273">
        <v>0</v>
      </c>
      <c r="D22" s="269">
        <f t="shared" si="8"/>
        <v>0</v>
      </c>
      <c r="E22" s="271">
        <v>0</v>
      </c>
      <c r="F22" s="269">
        <f t="shared" si="9"/>
        <v>0</v>
      </c>
      <c r="G22" s="271">
        <v>0</v>
      </c>
      <c r="H22" s="269">
        <f t="shared" si="10"/>
        <v>0</v>
      </c>
      <c r="I22" s="271">
        <v>0</v>
      </c>
      <c r="J22" s="269">
        <f t="shared" si="11"/>
        <v>0</v>
      </c>
      <c r="K22" s="271">
        <v>0</v>
      </c>
      <c r="L22" s="269">
        <f t="shared" si="12"/>
        <v>0</v>
      </c>
      <c r="M22" s="271">
        <v>0</v>
      </c>
      <c r="N22" s="269">
        <f t="shared" si="13"/>
        <v>0</v>
      </c>
      <c r="O22" s="271">
        <v>0</v>
      </c>
      <c r="P22" s="269">
        <f t="shared" si="14"/>
        <v>0</v>
      </c>
      <c r="Q22" s="271">
        <v>0</v>
      </c>
      <c r="R22" s="269">
        <f t="shared" si="15"/>
        <v>0</v>
      </c>
      <c r="S22" s="271">
        <v>0</v>
      </c>
      <c r="T22" s="270">
        <f t="shared" si="16"/>
        <v>0</v>
      </c>
      <c r="U22" s="272">
        <f t="shared" si="17"/>
        <v>1156</v>
      </c>
    </row>
    <row r="23" spans="1:21" x14ac:dyDescent="0.35">
      <c r="A23" s="254" t="e">
        <f>'2020-21'!#REF!</f>
        <v>#REF!</v>
      </c>
      <c r="B23" s="251" t="e">
        <f>'2020-21'!#REF!</f>
        <v>#REF!</v>
      </c>
      <c r="C23" s="268">
        <v>0</v>
      </c>
      <c r="D23" s="265" t="e">
        <f t="shared" si="8"/>
        <v>#REF!</v>
      </c>
      <c r="E23" s="274">
        <v>0</v>
      </c>
      <c r="F23" s="269" t="e">
        <f t="shared" si="9"/>
        <v>#REF!</v>
      </c>
      <c r="G23" s="274">
        <v>0</v>
      </c>
      <c r="H23" s="269" t="e">
        <f t="shared" si="10"/>
        <v>#REF!</v>
      </c>
      <c r="I23" s="274">
        <v>0</v>
      </c>
      <c r="J23" s="269" t="e">
        <f t="shared" si="11"/>
        <v>#REF!</v>
      </c>
      <c r="K23" s="274">
        <v>0</v>
      </c>
      <c r="L23" s="269" t="e">
        <f t="shared" si="12"/>
        <v>#REF!</v>
      </c>
      <c r="M23" s="274">
        <v>0</v>
      </c>
      <c r="N23" s="269" t="e">
        <f t="shared" si="13"/>
        <v>#REF!</v>
      </c>
      <c r="O23" s="274">
        <v>0</v>
      </c>
      <c r="P23" s="269" t="e">
        <f t="shared" si="14"/>
        <v>#REF!</v>
      </c>
      <c r="Q23" s="274">
        <v>0</v>
      </c>
      <c r="R23" s="269" t="e">
        <f t="shared" si="15"/>
        <v>#REF!</v>
      </c>
      <c r="S23" s="274">
        <v>0</v>
      </c>
      <c r="T23" s="270" t="e">
        <f t="shared" si="16"/>
        <v>#REF!</v>
      </c>
      <c r="U23" s="272" t="e">
        <f t="shared" si="17"/>
        <v>#REF!</v>
      </c>
    </row>
    <row r="24" spans="1:21" x14ac:dyDescent="0.35">
      <c r="A24" s="260" t="str">
        <f>'2020-21'!A37</f>
        <v>LECLEIR</v>
      </c>
      <c r="B24" s="261">
        <f>'2020-21'!C37</f>
        <v>29905.67</v>
      </c>
      <c r="C24" s="273">
        <v>0</v>
      </c>
      <c r="D24" s="269">
        <f t="shared" si="8"/>
        <v>0</v>
      </c>
      <c r="E24" s="271">
        <v>0</v>
      </c>
      <c r="F24" s="269">
        <f t="shared" si="9"/>
        <v>0</v>
      </c>
      <c r="G24" s="271">
        <v>0</v>
      </c>
      <c r="H24" s="269">
        <f t="shared" si="10"/>
        <v>0</v>
      </c>
      <c r="I24" s="271">
        <v>0</v>
      </c>
      <c r="J24" s="269">
        <f t="shared" si="11"/>
        <v>0</v>
      </c>
      <c r="K24" s="271">
        <v>0</v>
      </c>
      <c r="L24" s="269">
        <f t="shared" si="12"/>
        <v>0</v>
      </c>
      <c r="M24" s="271">
        <v>0</v>
      </c>
      <c r="N24" s="269">
        <f t="shared" si="13"/>
        <v>0</v>
      </c>
      <c r="O24" s="271">
        <v>0</v>
      </c>
      <c r="P24" s="269">
        <f t="shared" si="14"/>
        <v>0</v>
      </c>
      <c r="Q24" s="271">
        <v>0</v>
      </c>
      <c r="R24" s="269">
        <f t="shared" si="15"/>
        <v>0</v>
      </c>
      <c r="S24" s="271">
        <v>0</v>
      </c>
      <c r="T24" s="270">
        <f t="shared" si="16"/>
        <v>0</v>
      </c>
      <c r="U24" s="272">
        <f t="shared" si="17"/>
        <v>29905.67</v>
      </c>
    </row>
    <row r="25" spans="1:21" x14ac:dyDescent="0.35">
      <c r="A25" s="254" t="str">
        <f>'2020-21'!A38</f>
        <v>PORET</v>
      </c>
      <c r="B25" s="251">
        <f>'2020-21'!C38</f>
        <v>107534.34</v>
      </c>
      <c r="C25" s="273">
        <v>0</v>
      </c>
      <c r="D25" s="265">
        <f t="shared" si="8"/>
        <v>0</v>
      </c>
      <c r="E25" s="274">
        <v>0</v>
      </c>
      <c r="F25" s="269">
        <f t="shared" si="9"/>
        <v>0</v>
      </c>
      <c r="G25" s="274">
        <v>0</v>
      </c>
      <c r="H25" s="269">
        <f t="shared" si="10"/>
        <v>0</v>
      </c>
      <c r="I25" s="274">
        <v>0</v>
      </c>
      <c r="J25" s="269">
        <f t="shared" si="11"/>
        <v>0</v>
      </c>
      <c r="K25" s="274">
        <v>0</v>
      </c>
      <c r="L25" s="269">
        <f t="shared" si="12"/>
        <v>0</v>
      </c>
      <c r="M25" s="274">
        <v>0</v>
      </c>
      <c r="N25" s="269">
        <f t="shared" si="13"/>
        <v>0</v>
      </c>
      <c r="O25" s="274">
        <v>0</v>
      </c>
      <c r="P25" s="269">
        <f t="shared" si="14"/>
        <v>0</v>
      </c>
      <c r="Q25" s="274">
        <v>0</v>
      </c>
      <c r="R25" s="269">
        <f t="shared" si="15"/>
        <v>0</v>
      </c>
      <c r="S25" s="274">
        <v>0</v>
      </c>
      <c r="T25" s="270">
        <f t="shared" si="16"/>
        <v>0</v>
      </c>
      <c r="U25" s="272">
        <f t="shared" si="17"/>
        <v>107534.34</v>
      </c>
    </row>
    <row r="26" spans="1:21" x14ac:dyDescent="0.35">
      <c r="A26" s="260" t="str">
        <f>'2020-21'!A39</f>
        <v>CLET CARON</v>
      </c>
      <c r="B26" s="261">
        <f>'2020-21'!C39</f>
        <v>176738.45</v>
      </c>
      <c r="C26" s="268">
        <v>0</v>
      </c>
      <c r="D26" s="269">
        <f t="shared" si="8"/>
        <v>0</v>
      </c>
      <c r="E26" s="271">
        <v>0</v>
      </c>
      <c r="F26" s="269">
        <f t="shared" si="9"/>
        <v>0</v>
      </c>
      <c r="G26" s="271">
        <v>0</v>
      </c>
      <c r="H26" s="269">
        <f t="shared" si="10"/>
        <v>0</v>
      </c>
      <c r="I26" s="271">
        <v>0</v>
      </c>
      <c r="J26" s="269">
        <f t="shared" si="11"/>
        <v>0</v>
      </c>
      <c r="K26" s="271">
        <v>0</v>
      </c>
      <c r="L26" s="269">
        <f t="shared" si="12"/>
        <v>0</v>
      </c>
      <c r="M26" s="271">
        <v>0</v>
      </c>
      <c r="N26" s="269">
        <f t="shared" si="13"/>
        <v>0</v>
      </c>
      <c r="O26" s="271">
        <v>0</v>
      </c>
      <c r="P26" s="269">
        <f t="shared" si="14"/>
        <v>0</v>
      </c>
      <c r="Q26" s="271">
        <v>0</v>
      </c>
      <c r="R26" s="269">
        <f t="shared" si="15"/>
        <v>0</v>
      </c>
      <c r="S26" s="271">
        <v>0</v>
      </c>
      <c r="T26" s="270">
        <f t="shared" si="16"/>
        <v>0</v>
      </c>
      <c r="U26" s="272">
        <f t="shared" si="17"/>
        <v>176738.45</v>
      </c>
    </row>
    <row r="27" spans="1:21" x14ac:dyDescent="0.35">
      <c r="A27" s="254" t="str">
        <f>'2020-21'!A40</f>
        <v>BICART</v>
      </c>
      <c r="B27" s="251">
        <f>'2020-21'!C40</f>
        <v>7093</v>
      </c>
      <c r="C27" s="273">
        <v>0</v>
      </c>
      <c r="D27" s="265">
        <f t="shared" si="8"/>
        <v>0</v>
      </c>
      <c r="E27" s="274">
        <v>0</v>
      </c>
      <c r="F27" s="269">
        <f t="shared" si="9"/>
        <v>0</v>
      </c>
      <c r="G27" s="274">
        <v>0</v>
      </c>
      <c r="H27" s="269">
        <f t="shared" si="10"/>
        <v>0</v>
      </c>
      <c r="I27" s="274">
        <v>0</v>
      </c>
      <c r="J27" s="269">
        <f t="shared" si="11"/>
        <v>0</v>
      </c>
      <c r="K27" s="274">
        <v>0</v>
      </c>
      <c r="L27" s="269">
        <f t="shared" si="12"/>
        <v>0</v>
      </c>
      <c r="M27" s="274">
        <v>0</v>
      </c>
      <c r="N27" s="269">
        <f t="shared" si="13"/>
        <v>0</v>
      </c>
      <c r="O27" s="274">
        <v>0</v>
      </c>
      <c r="P27" s="269">
        <f t="shared" si="14"/>
        <v>0</v>
      </c>
      <c r="Q27" s="274">
        <v>0</v>
      </c>
      <c r="R27" s="269">
        <f t="shared" si="15"/>
        <v>0</v>
      </c>
      <c r="S27" s="274">
        <v>0</v>
      </c>
      <c r="T27" s="270">
        <f t="shared" si="16"/>
        <v>0</v>
      </c>
      <c r="U27" s="272">
        <f t="shared" si="17"/>
        <v>7093</v>
      </c>
    </row>
    <row r="28" spans="1:21" x14ac:dyDescent="0.35">
      <c r="A28" s="260" t="str">
        <f>'2020-21'!A41</f>
        <v>MAIRIE EVRECY</v>
      </c>
      <c r="B28" s="261">
        <f>'2020-21'!C41</f>
        <v>8521</v>
      </c>
      <c r="C28" s="268">
        <v>0</v>
      </c>
      <c r="D28" s="269">
        <f t="shared" si="8"/>
        <v>0</v>
      </c>
      <c r="E28" s="271">
        <v>0</v>
      </c>
      <c r="F28" s="269">
        <f t="shared" si="9"/>
        <v>0</v>
      </c>
      <c r="G28" s="271">
        <v>0</v>
      </c>
      <c r="H28" s="269">
        <f t="shared" si="10"/>
        <v>0</v>
      </c>
      <c r="I28" s="271">
        <v>0</v>
      </c>
      <c r="J28" s="269">
        <f t="shared" si="11"/>
        <v>0</v>
      </c>
      <c r="K28" s="271">
        <v>0</v>
      </c>
      <c r="L28" s="269">
        <f t="shared" si="12"/>
        <v>0</v>
      </c>
      <c r="M28" s="271">
        <v>0</v>
      </c>
      <c r="N28" s="269">
        <f t="shared" si="13"/>
        <v>0</v>
      </c>
      <c r="O28" s="271">
        <v>0</v>
      </c>
      <c r="P28" s="269">
        <f t="shared" si="14"/>
        <v>0</v>
      </c>
      <c r="Q28" s="271">
        <v>0</v>
      </c>
      <c r="R28" s="269">
        <f t="shared" si="15"/>
        <v>0</v>
      </c>
      <c r="S28" s="271">
        <v>0</v>
      </c>
      <c r="T28" s="270">
        <f t="shared" si="16"/>
        <v>0</v>
      </c>
      <c r="U28" s="272">
        <f t="shared" si="17"/>
        <v>8521</v>
      </c>
    </row>
    <row r="29" spans="1:21" x14ac:dyDescent="0.35">
      <c r="A29" s="254" t="str">
        <f>'2020-21'!A42</f>
        <v>HUARD</v>
      </c>
      <c r="B29" s="251">
        <f>'2020-21'!C42</f>
        <v>36011</v>
      </c>
      <c r="C29" s="273">
        <v>0</v>
      </c>
      <c r="D29" s="265">
        <f t="shared" si="8"/>
        <v>0</v>
      </c>
      <c r="E29" s="274">
        <v>0</v>
      </c>
      <c r="F29" s="269">
        <f t="shared" si="9"/>
        <v>0</v>
      </c>
      <c r="G29" s="274">
        <v>0</v>
      </c>
      <c r="H29" s="269">
        <f t="shared" si="10"/>
        <v>0</v>
      </c>
      <c r="I29" s="274">
        <v>0</v>
      </c>
      <c r="J29" s="269">
        <f t="shared" si="11"/>
        <v>0</v>
      </c>
      <c r="K29" s="274">
        <v>0</v>
      </c>
      <c r="L29" s="269">
        <f t="shared" si="12"/>
        <v>0</v>
      </c>
      <c r="M29" s="274">
        <v>0</v>
      </c>
      <c r="N29" s="269">
        <f t="shared" si="13"/>
        <v>0</v>
      </c>
      <c r="O29" s="274">
        <v>0</v>
      </c>
      <c r="P29" s="269">
        <f t="shared" si="14"/>
        <v>0</v>
      </c>
      <c r="Q29" s="274">
        <v>0</v>
      </c>
      <c r="R29" s="269">
        <f t="shared" si="15"/>
        <v>0</v>
      </c>
      <c r="S29" s="274">
        <v>0</v>
      </c>
      <c r="T29" s="270">
        <f t="shared" si="16"/>
        <v>0</v>
      </c>
      <c r="U29" s="272">
        <f t="shared" si="17"/>
        <v>36011</v>
      </c>
    </row>
    <row r="30" spans="1:21" x14ac:dyDescent="0.35">
      <c r="A30" s="260" t="str">
        <f>'2020-21'!A43</f>
        <v>GUEDON</v>
      </c>
      <c r="B30" s="261">
        <f>'2020-21'!C43</f>
        <v>124336</v>
      </c>
      <c r="C30" s="273">
        <v>0</v>
      </c>
      <c r="D30" s="269">
        <f t="shared" si="8"/>
        <v>0</v>
      </c>
      <c r="E30" s="271">
        <v>0</v>
      </c>
      <c r="F30" s="269">
        <f t="shared" si="9"/>
        <v>0</v>
      </c>
      <c r="G30" s="271">
        <v>0</v>
      </c>
      <c r="H30" s="269">
        <f t="shared" si="10"/>
        <v>0</v>
      </c>
      <c r="I30" s="271">
        <v>0</v>
      </c>
      <c r="J30" s="269">
        <f t="shared" si="11"/>
        <v>0</v>
      </c>
      <c r="K30" s="271">
        <v>0</v>
      </c>
      <c r="L30" s="269">
        <f t="shared" si="12"/>
        <v>0</v>
      </c>
      <c r="M30" s="271">
        <v>0</v>
      </c>
      <c r="N30" s="269">
        <f t="shared" si="13"/>
        <v>0</v>
      </c>
      <c r="O30" s="271">
        <v>0</v>
      </c>
      <c r="P30" s="269">
        <f t="shared" si="14"/>
        <v>0</v>
      </c>
      <c r="Q30" s="271">
        <v>0</v>
      </c>
      <c r="R30" s="269">
        <f t="shared" si="15"/>
        <v>0</v>
      </c>
      <c r="S30" s="271">
        <v>0</v>
      </c>
      <c r="T30" s="270">
        <f t="shared" si="16"/>
        <v>0</v>
      </c>
      <c r="U30" s="272">
        <f t="shared" si="17"/>
        <v>124336</v>
      </c>
    </row>
    <row r="31" spans="1:21" x14ac:dyDescent="0.35">
      <c r="A31" s="254" t="str">
        <f>'2020-21'!A44</f>
        <v>FROGER</v>
      </c>
      <c r="B31" s="251">
        <f>'2020-21'!C44</f>
        <v>1913.88</v>
      </c>
      <c r="C31" s="268">
        <v>0</v>
      </c>
      <c r="D31" s="265">
        <f t="shared" si="8"/>
        <v>0</v>
      </c>
      <c r="E31" s="274">
        <v>0</v>
      </c>
      <c r="F31" s="269">
        <f t="shared" si="9"/>
        <v>0</v>
      </c>
      <c r="G31" s="274">
        <v>0</v>
      </c>
      <c r="H31" s="269">
        <f t="shared" si="10"/>
        <v>0</v>
      </c>
      <c r="I31" s="274">
        <v>0</v>
      </c>
      <c r="J31" s="269">
        <f t="shared" si="11"/>
        <v>0</v>
      </c>
      <c r="K31" s="274">
        <v>0</v>
      </c>
      <c r="L31" s="269">
        <f t="shared" si="12"/>
        <v>0</v>
      </c>
      <c r="M31" s="274">
        <v>0</v>
      </c>
      <c r="N31" s="269">
        <f t="shared" si="13"/>
        <v>0</v>
      </c>
      <c r="O31" s="274">
        <v>0</v>
      </c>
      <c r="P31" s="269">
        <f t="shared" si="14"/>
        <v>0</v>
      </c>
      <c r="Q31" s="274">
        <v>0</v>
      </c>
      <c r="R31" s="269">
        <f t="shared" si="15"/>
        <v>0</v>
      </c>
      <c r="S31" s="274">
        <v>0</v>
      </c>
      <c r="T31" s="270">
        <f t="shared" si="16"/>
        <v>0</v>
      </c>
      <c r="U31" s="272">
        <f t="shared" si="17"/>
        <v>1913.88</v>
      </c>
    </row>
    <row r="32" spans="1:21" x14ac:dyDescent="0.35">
      <c r="A32" s="260" t="str">
        <f>'2020-21'!A45</f>
        <v>BOUILLET</v>
      </c>
      <c r="B32" s="261">
        <f>'2020-21'!C45</f>
        <v>2925</v>
      </c>
      <c r="C32" s="273">
        <v>0</v>
      </c>
      <c r="D32" s="269">
        <f t="shared" si="8"/>
        <v>0</v>
      </c>
      <c r="E32" s="271">
        <v>0</v>
      </c>
      <c r="F32" s="269">
        <f t="shared" si="9"/>
        <v>0</v>
      </c>
      <c r="G32" s="271">
        <v>0</v>
      </c>
      <c r="H32" s="269">
        <f t="shared" si="10"/>
        <v>0</v>
      </c>
      <c r="I32" s="271">
        <v>0</v>
      </c>
      <c r="J32" s="269">
        <f t="shared" si="11"/>
        <v>0</v>
      </c>
      <c r="K32" s="271">
        <v>0</v>
      </c>
      <c r="L32" s="269">
        <f t="shared" si="12"/>
        <v>0</v>
      </c>
      <c r="M32" s="271">
        <v>0</v>
      </c>
      <c r="N32" s="269">
        <f t="shared" si="13"/>
        <v>0</v>
      </c>
      <c r="O32" s="271">
        <v>0</v>
      </c>
      <c r="P32" s="269">
        <f t="shared" si="14"/>
        <v>0</v>
      </c>
      <c r="Q32" s="271">
        <v>0</v>
      </c>
      <c r="R32" s="269">
        <f t="shared" si="15"/>
        <v>0</v>
      </c>
      <c r="S32" s="271">
        <v>0</v>
      </c>
      <c r="T32" s="270">
        <f t="shared" si="16"/>
        <v>0</v>
      </c>
      <c r="U32" s="272">
        <f t="shared" si="17"/>
        <v>2925</v>
      </c>
    </row>
    <row r="33" spans="1:21" x14ac:dyDescent="0.35">
      <c r="A33" s="254" t="str">
        <f>'2020-21'!A46</f>
        <v>DUMAT MATTA</v>
      </c>
      <c r="B33" s="251">
        <f>'2020-21'!C46</f>
        <v>4018</v>
      </c>
      <c r="C33" s="268">
        <v>0</v>
      </c>
      <c r="D33" s="265">
        <f t="shared" si="8"/>
        <v>0</v>
      </c>
      <c r="E33" s="274">
        <v>0</v>
      </c>
      <c r="F33" s="269">
        <f t="shared" si="9"/>
        <v>0</v>
      </c>
      <c r="G33" s="274">
        <v>0</v>
      </c>
      <c r="H33" s="269">
        <f t="shared" si="10"/>
        <v>0</v>
      </c>
      <c r="I33" s="274">
        <v>0</v>
      </c>
      <c r="J33" s="269">
        <f t="shared" si="11"/>
        <v>0</v>
      </c>
      <c r="K33" s="274">
        <v>0</v>
      </c>
      <c r="L33" s="269">
        <f t="shared" si="12"/>
        <v>0</v>
      </c>
      <c r="M33" s="274">
        <v>0</v>
      </c>
      <c r="N33" s="269">
        <f t="shared" si="13"/>
        <v>0</v>
      </c>
      <c r="O33" s="274">
        <v>0</v>
      </c>
      <c r="P33" s="269">
        <f t="shared" si="14"/>
        <v>0</v>
      </c>
      <c r="Q33" s="274">
        <v>0</v>
      </c>
      <c r="R33" s="269">
        <f t="shared" si="15"/>
        <v>0</v>
      </c>
      <c r="S33" s="274">
        <v>0</v>
      </c>
      <c r="T33" s="270">
        <f t="shared" si="16"/>
        <v>0</v>
      </c>
      <c r="U33" s="272">
        <f t="shared" si="17"/>
        <v>4018</v>
      </c>
    </row>
    <row r="34" spans="1:21" x14ac:dyDescent="0.35">
      <c r="A34" s="260" t="str">
        <f>'2020-21'!A47</f>
        <v>GIRARD</v>
      </c>
      <c r="B34" s="261">
        <f>'2020-21'!C47</f>
        <v>59556.29</v>
      </c>
      <c r="C34" s="273">
        <v>0</v>
      </c>
      <c r="D34" s="269">
        <f t="shared" si="8"/>
        <v>0</v>
      </c>
      <c r="E34" s="271">
        <v>0</v>
      </c>
      <c r="F34" s="269">
        <f t="shared" si="9"/>
        <v>0</v>
      </c>
      <c r="G34" s="271">
        <v>0</v>
      </c>
      <c r="H34" s="269">
        <f t="shared" si="10"/>
        <v>0</v>
      </c>
      <c r="I34" s="271">
        <v>0</v>
      </c>
      <c r="J34" s="269">
        <f t="shared" si="11"/>
        <v>0</v>
      </c>
      <c r="K34" s="271">
        <v>0</v>
      </c>
      <c r="L34" s="269">
        <f t="shared" si="12"/>
        <v>0</v>
      </c>
      <c r="M34" s="271">
        <v>0</v>
      </c>
      <c r="N34" s="269">
        <f t="shared" si="13"/>
        <v>0</v>
      </c>
      <c r="O34" s="271">
        <v>0</v>
      </c>
      <c r="P34" s="269">
        <f t="shared" si="14"/>
        <v>0</v>
      </c>
      <c r="Q34" s="271">
        <v>0</v>
      </c>
      <c r="R34" s="269">
        <f t="shared" si="15"/>
        <v>0</v>
      </c>
      <c r="S34" s="271">
        <v>0</v>
      </c>
      <c r="T34" s="270">
        <f t="shared" si="16"/>
        <v>0</v>
      </c>
      <c r="U34" s="272">
        <f t="shared" si="17"/>
        <v>59556.29</v>
      </c>
    </row>
    <row r="35" spans="1:21" x14ac:dyDescent="0.35">
      <c r="A35" s="254" t="str">
        <f>'2020-21'!A48</f>
        <v>ROHRBACH</v>
      </c>
      <c r="B35" s="251">
        <f>'2020-21'!C48</f>
        <v>1661</v>
      </c>
      <c r="C35" s="273">
        <v>0</v>
      </c>
      <c r="D35" s="265">
        <f t="shared" si="8"/>
        <v>0</v>
      </c>
      <c r="E35" s="274">
        <v>0</v>
      </c>
      <c r="F35" s="269">
        <f t="shared" si="9"/>
        <v>0</v>
      </c>
      <c r="G35" s="274">
        <v>0</v>
      </c>
      <c r="H35" s="269">
        <f t="shared" si="10"/>
        <v>0</v>
      </c>
      <c r="I35" s="274">
        <v>0</v>
      </c>
      <c r="J35" s="269">
        <f t="shared" si="11"/>
        <v>0</v>
      </c>
      <c r="K35" s="274">
        <v>0</v>
      </c>
      <c r="L35" s="269">
        <f t="shared" si="12"/>
        <v>0</v>
      </c>
      <c r="M35" s="274">
        <v>0</v>
      </c>
      <c r="N35" s="269">
        <f t="shared" si="13"/>
        <v>0</v>
      </c>
      <c r="O35" s="274">
        <v>0</v>
      </c>
      <c r="P35" s="269">
        <f t="shared" si="14"/>
        <v>0</v>
      </c>
      <c r="Q35" s="274">
        <v>0</v>
      </c>
      <c r="R35" s="269">
        <f t="shared" si="15"/>
        <v>0</v>
      </c>
      <c r="S35" s="274">
        <v>0</v>
      </c>
      <c r="T35" s="270">
        <f t="shared" si="16"/>
        <v>0</v>
      </c>
      <c r="U35" s="272">
        <f t="shared" si="17"/>
        <v>1661</v>
      </c>
    </row>
    <row r="36" spans="1:21" x14ac:dyDescent="0.35">
      <c r="A36" s="260" t="str">
        <f>'2020-21'!A49</f>
        <v>GESLIN</v>
      </c>
      <c r="B36" s="261">
        <f>'2020-21'!C49</f>
        <v>26119</v>
      </c>
      <c r="C36" s="268">
        <v>0</v>
      </c>
      <c r="D36" s="269">
        <f t="shared" ref="D36:D67" si="18">C36/B36</f>
        <v>0</v>
      </c>
      <c r="E36" s="271">
        <v>0</v>
      </c>
      <c r="F36" s="269">
        <f t="shared" ref="F36:F67" si="19">E36/B36</f>
        <v>0</v>
      </c>
      <c r="G36" s="271">
        <v>0</v>
      </c>
      <c r="H36" s="269">
        <f t="shared" ref="H36:H67" si="20">G36/B36</f>
        <v>0</v>
      </c>
      <c r="I36" s="271">
        <v>0</v>
      </c>
      <c r="J36" s="269">
        <f t="shared" ref="J36:J67" si="21">I36/B36</f>
        <v>0</v>
      </c>
      <c r="K36" s="271">
        <v>0</v>
      </c>
      <c r="L36" s="269">
        <f t="shared" ref="L36:L67" si="22">K36/B36</f>
        <v>0</v>
      </c>
      <c r="M36" s="271">
        <v>0</v>
      </c>
      <c r="N36" s="269">
        <f t="shared" ref="N36:N67" si="23">M36/B36</f>
        <v>0</v>
      </c>
      <c r="O36" s="271">
        <v>0</v>
      </c>
      <c r="P36" s="269">
        <f t="shared" ref="P36:P67" si="24">O36/B36</f>
        <v>0</v>
      </c>
      <c r="Q36" s="271">
        <v>0</v>
      </c>
      <c r="R36" s="269">
        <f t="shared" ref="R36:R67" si="25">Q36/B36</f>
        <v>0</v>
      </c>
      <c r="S36" s="271">
        <v>0</v>
      </c>
      <c r="T36" s="270">
        <f t="shared" ref="T36:T67" si="26">S36/B36</f>
        <v>0</v>
      </c>
      <c r="U36" s="272">
        <f t="shared" si="17"/>
        <v>26119</v>
      </c>
    </row>
    <row r="37" spans="1:21" x14ac:dyDescent="0.35">
      <c r="A37" s="254" t="str">
        <f>'2020-21'!A50</f>
        <v>CHAVENTRE</v>
      </c>
      <c r="B37" s="251">
        <f>'2020-21'!C50</f>
        <v>1600</v>
      </c>
      <c r="C37" s="273">
        <v>0</v>
      </c>
      <c r="D37" s="265">
        <f t="shared" si="18"/>
        <v>0</v>
      </c>
      <c r="E37" s="274">
        <v>0</v>
      </c>
      <c r="F37" s="269">
        <f t="shared" si="19"/>
        <v>0</v>
      </c>
      <c r="G37" s="274">
        <v>0</v>
      </c>
      <c r="H37" s="269">
        <f t="shared" si="20"/>
        <v>0</v>
      </c>
      <c r="I37" s="274">
        <v>0</v>
      </c>
      <c r="J37" s="269">
        <f t="shared" si="21"/>
        <v>0</v>
      </c>
      <c r="K37" s="274">
        <v>0</v>
      </c>
      <c r="L37" s="269">
        <f t="shared" si="22"/>
        <v>0</v>
      </c>
      <c r="M37" s="274">
        <v>0</v>
      </c>
      <c r="N37" s="269">
        <f t="shared" si="23"/>
        <v>0</v>
      </c>
      <c r="O37" s="274">
        <v>0</v>
      </c>
      <c r="P37" s="269">
        <f t="shared" si="24"/>
        <v>0</v>
      </c>
      <c r="Q37" s="274">
        <v>0</v>
      </c>
      <c r="R37" s="269">
        <f t="shared" si="25"/>
        <v>0</v>
      </c>
      <c r="S37" s="274">
        <v>0</v>
      </c>
      <c r="T37" s="270">
        <f t="shared" si="26"/>
        <v>0</v>
      </c>
      <c r="U37" s="272">
        <f t="shared" si="17"/>
        <v>1600</v>
      </c>
    </row>
    <row r="38" spans="1:21" x14ac:dyDescent="0.35">
      <c r="A38" s="260" t="str">
        <f>'2020-21'!A51</f>
        <v>THIRE</v>
      </c>
      <c r="B38" s="261">
        <f>'2020-21'!C51</f>
        <v>30000</v>
      </c>
      <c r="C38" s="268">
        <v>0</v>
      </c>
      <c r="D38" s="269">
        <f t="shared" si="18"/>
        <v>0</v>
      </c>
      <c r="E38" s="271">
        <v>0</v>
      </c>
      <c r="F38" s="269">
        <f t="shared" si="19"/>
        <v>0</v>
      </c>
      <c r="G38" s="271">
        <v>0</v>
      </c>
      <c r="H38" s="269">
        <f t="shared" si="20"/>
        <v>0</v>
      </c>
      <c r="I38" s="271">
        <v>0</v>
      </c>
      <c r="J38" s="269">
        <f t="shared" si="21"/>
        <v>0</v>
      </c>
      <c r="K38" s="271">
        <v>0</v>
      </c>
      <c r="L38" s="269">
        <f t="shared" si="22"/>
        <v>0</v>
      </c>
      <c r="M38" s="271">
        <v>0</v>
      </c>
      <c r="N38" s="269">
        <f t="shared" si="23"/>
        <v>0</v>
      </c>
      <c r="O38" s="271">
        <v>0</v>
      </c>
      <c r="P38" s="269">
        <f t="shared" si="24"/>
        <v>0</v>
      </c>
      <c r="Q38" s="271">
        <v>0</v>
      </c>
      <c r="R38" s="269">
        <f t="shared" si="25"/>
        <v>0</v>
      </c>
      <c r="S38" s="271">
        <v>0</v>
      </c>
      <c r="T38" s="270">
        <f t="shared" si="26"/>
        <v>0</v>
      </c>
      <c r="U38" s="272">
        <f t="shared" si="17"/>
        <v>30000</v>
      </c>
    </row>
    <row r="39" spans="1:21" x14ac:dyDescent="0.35">
      <c r="A39" s="254" t="str">
        <f>'2020-21'!A52</f>
        <v>GEZE extension</v>
      </c>
      <c r="B39" s="251">
        <f>'2020-21'!C52</f>
        <v>23871.78</v>
      </c>
      <c r="C39" s="273">
        <v>0</v>
      </c>
      <c r="D39" s="265">
        <f t="shared" si="18"/>
        <v>0</v>
      </c>
      <c r="E39" s="274">
        <v>0</v>
      </c>
      <c r="F39" s="269">
        <f t="shared" si="19"/>
        <v>0</v>
      </c>
      <c r="G39" s="274">
        <v>0</v>
      </c>
      <c r="H39" s="269">
        <f t="shared" si="20"/>
        <v>0</v>
      </c>
      <c r="I39" s="274">
        <v>0</v>
      </c>
      <c r="J39" s="269">
        <f t="shared" si="21"/>
        <v>0</v>
      </c>
      <c r="K39" s="274">
        <v>0</v>
      </c>
      <c r="L39" s="269">
        <f t="shared" si="22"/>
        <v>0</v>
      </c>
      <c r="M39" s="274">
        <v>0</v>
      </c>
      <c r="N39" s="269">
        <f t="shared" si="23"/>
        <v>0</v>
      </c>
      <c r="O39" s="274">
        <v>0</v>
      </c>
      <c r="P39" s="269">
        <f t="shared" si="24"/>
        <v>0</v>
      </c>
      <c r="Q39" s="274">
        <v>0</v>
      </c>
      <c r="R39" s="269">
        <f t="shared" si="25"/>
        <v>0</v>
      </c>
      <c r="S39" s="274">
        <v>0</v>
      </c>
      <c r="T39" s="270">
        <f t="shared" si="26"/>
        <v>0</v>
      </c>
      <c r="U39" s="272">
        <f t="shared" si="17"/>
        <v>23871.78</v>
      </c>
    </row>
    <row r="40" spans="1:21" x14ac:dyDescent="0.35">
      <c r="A40" s="260" t="str">
        <f>'2020-21'!A53</f>
        <v>GEZE existant</v>
      </c>
      <c r="B40" s="261">
        <f>'2020-21'!C53</f>
        <v>16560.34</v>
      </c>
      <c r="C40" s="273">
        <v>0</v>
      </c>
      <c r="D40" s="269">
        <f t="shared" si="18"/>
        <v>0</v>
      </c>
      <c r="E40" s="271">
        <v>0</v>
      </c>
      <c r="F40" s="269">
        <f t="shared" si="19"/>
        <v>0</v>
      </c>
      <c r="G40" s="271">
        <v>0</v>
      </c>
      <c r="H40" s="269">
        <f t="shared" si="20"/>
        <v>0</v>
      </c>
      <c r="I40" s="271">
        <v>0</v>
      </c>
      <c r="J40" s="269">
        <f t="shared" si="21"/>
        <v>0</v>
      </c>
      <c r="K40" s="271">
        <v>0</v>
      </c>
      <c r="L40" s="269">
        <f t="shared" si="22"/>
        <v>0</v>
      </c>
      <c r="M40" s="271">
        <v>0</v>
      </c>
      <c r="N40" s="269">
        <f t="shared" si="23"/>
        <v>0</v>
      </c>
      <c r="O40" s="271">
        <v>0</v>
      </c>
      <c r="P40" s="269">
        <f t="shared" si="24"/>
        <v>0</v>
      </c>
      <c r="Q40" s="271">
        <v>0</v>
      </c>
      <c r="R40" s="269">
        <f t="shared" si="25"/>
        <v>0</v>
      </c>
      <c r="S40" s="271">
        <v>0</v>
      </c>
      <c r="T40" s="270">
        <f t="shared" si="26"/>
        <v>0</v>
      </c>
      <c r="U40" s="272">
        <f t="shared" si="17"/>
        <v>16560.34</v>
      </c>
    </row>
    <row r="41" spans="1:21" x14ac:dyDescent="0.35">
      <c r="A41" s="254" t="str">
        <f>'2020-21'!A54</f>
        <v>DELENTE</v>
      </c>
      <c r="B41" s="251">
        <f>'2020-21'!C54</f>
        <v>4831.04</v>
      </c>
      <c r="C41" s="268">
        <v>0</v>
      </c>
      <c r="D41" s="265">
        <f t="shared" si="18"/>
        <v>0</v>
      </c>
      <c r="E41" s="274">
        <v>0</v>
      </c>
      <c r="F41" s="269">
        <f t="shared" si="19"/>
        <v>0</v>
      </c>
      <c r="G41" s="274">
        <v>0</v>
      </c>
      <c r="H41" s="269">
        <f t="shared" si="20"/>
        <v>0</v>
      </c>
      <c r="I41" s="274">
        <v>0</v>
      </c>
      <c r="J41" s="269">
        <f t="shared" si="21"/>
        <v>0</v>
      </c>
      <c r="K41" s="274">
        <v>0</v>
      </c>
      <c r="L41" s="269">
        <f t="shared" si="22"/>
        <v>0</v>
      </c>
      <c r="M41" s="274">
        <v>0</v>
      </c>
      <c r="N41" s="269">
        <f t="shared" si="23"/>
        <v>0</v>
      </c>
      <c r="O41" s="274">
        <v>0</v>
      </c>
      <c r="P41" s="269">
        <f t="shared" si="24"/>
        <v>0</v>
      </c>
      <c r="Q41" s="274">
        <v>0</v>
      </c>
      <c r="R41" s="269">
        <f t="shared" si="25"/>
        <v>0</v>
      </c>
      <c r="S41" s="274">
        <v>0</v>
      </c>
      <c r="T41" s="270">
        <f t="shared" si="26"/>
        <v>0</v>
      </c>
      <c r="U41" s="272">
        <f t="shared" si="17"/>
        <v>4831.04</v>
      </c>
    </row>
    <row r="42" spans="1:21" ht="14.25" x14ac:dyDescent="0.2">
      <c r="A42" s="260" t="str">
        <f>'2020-21'!A55</f>
        <v>DAGORN</v>
      </c>
      <c r="B42" s="261">
        <f>'2020-21'!C55</f>
        <v>42327.65</v>
      </c>
      <c r="C42" s="273">
        <v>0</v>
      </c>
      <c r="D42" s="269">
        <f t="shared" si="18"/>
        <v>0</v>
      </c>
      <c r="E42" s="271">
        <v>0</v>
      </c>
      <c r="F42" s="269">
        <f t="shared" si="19"/>
        <v>0</v>
      </c>
      <c r="G42" s="271">
        <v>0</v>
      </c>
      <c r="H42" s="269">
        <f t="shared" si="20"/>
        <v>0</v>
      </c>
      <c r="I42" s="271">
        <v>0</v>
      </c>
      <c r="J42" s="269">
        <f t="shared" si="21"/>
        <v>0</v>
      </c>
      <c r="K42" s="271">
        <v>0</v>
      </c>
      <c r="L42" s="269">
        <f t="shared" si="22"/>
        <v>0</v>
      </c>
      <c r="M42" s="271">
        <v>0</v>
      </c>
      <c r="N42" s="269">
        <f t="shared" si="23"/>
        <v>0</v>
      </c>
      <c r="O42" s="271">
        <v>0</v>
      </c>
      <c r="P42" s="269">
        <f t="shared" si="24"/>
        <v>0</v>
      </c>
      <c r="Q42" s="271">
        <v>0</v>
      </c>
      <c r="R42" s="269">
        <f t="shared" si="25"/>
        <v>0</v>
      </c>
      <c r="S42" s="271">
        <v>0</v>
      </c>
      <c r="T42" s="270">
        <f t="shared" si="26"/>
        <v>0</v>
      </c>
      <c r="U42" s="272">
        <f t="shared" si="17"/>
        <v>42327.65</v>
      </c>
    </row>
    <row r="43" spans="1:21" ht="14.25" x14ac:dyDescent="0.2">
      <c r="A43" s="254" t="str">
        <f>'2020-21'!A56</f>
        <v>DARCILLON</v>
      </c>
      <c r="B43" s="251">
        <f>'2020-21'!C56</f>
        <v>67570</v>
      </c>
      <c r="C43" s="268">
        <v>0</v>
      </c>
      <c r="D43" s="265">
        <f t="shared" si="18"/>
        <v>0</v>
      </c>
      <c r="E43" s="274">
        <v>0</v>
      </c>
      <c r="F43" s="269">
        <f t="shared" si="19"/>
        <v>0</v>
      </c>
      <c r="G43" s="274">
        <v>0</v>
      </c>
      <c r="H43" s="269">
        <f t="shared" si="20"/>
        <v>0</v>
      </c>
      <c r="I43" s="274">
        <v>0</v>
      </c>
      <c r="J43" s="269">
        <f t="shared" si="21"/>
        <v>0</v>
      </c>
      <c r="K43" s="274">
        <v>0</v>
      </c>
      <c r="L43" s="269">
        <f t="shared" si="22"/>
        <v>0</v>
      </c>
      <c r="M43" s="274">
        <v>0</v>
      </c>
      <c r="N43" s="269">
        <f t="shared" si="23"/>
        <v>0</v>
      </c>
      <c r="O43" s="274">
        <v>0</v>
      </c>
      <c r="P43" s="269">
        <f t="shared" si="24"/>
        <v>0</v>
      </c>
      <c r="Q43" s="274">
        <v>0</v>
      </c>
      <c r="R43" s="269">
        <f t="shared" si="25"/>
        <v>0</v>
      </c>
      <c r="S43" s="274">
        <v>0</v>
      </c>
      <c r="T43" s="270">
        <f t="shared" si="26"/>
        <v>0</v>
      </c>
      <c r="U43" s="272">
        <f t="shared" si="17"/>
        <v>67570</v>
      </c>
    </row>
    <row r="44" spans="1:21" ht="14.25" x14ac:dyDescent="0.2">
      <c r="A44" s="260" t="str">
        <f>'2020-21'!A57</f>
        <v>BANSE BROTELANDE</v>
      </c>
      <c r="B44" s="261">
        <f>'2020-21'!C57</f>
        <v>48518.45</v>
      </c>
      <c r="C44" s="273">
        <v>0</v>
      </c>
      <c r="D44" s="269">
        <f t="shared" si="18"/>
        <v>0</v>
      </c>
      <c r="E44" s="271">
        <v>0</v>
      </c>
      <c r="F44" s="269">
        <f t="shared" si="19"/>
        <v>0</v>
      </c>
      <c r="G44" s="271">
        <v>0</v>
      </c>
      <c r="H44" s="269">
        <f t="shared" si="20"/>
        <v>0</v>
      </c>
      <c r="I44" s="271">
        <v>0</v>
      </c>
      <c r="J44" s="269">
        <f t="shared" si="21"/>
        <v>0</v>
      </c>
      <c r="K44" s="271">
        <v>0</v>
      </c>
      <c r="L44" s="269">
        <f t="shared" si="22"/>
        <v>0</v>
      </c>
      <c r="M44" s="271">
        <v>0</v>
      </c>
      <c r="N44" s="269">
        <f t="shared" si="23"/>
        <v>0</v>
      </c>
      <c r="O44" s="271">
        <v>0</v>
      </c>
      <c r="P44" s="269">
        <f t="shared" si="24"/>
        <v>0</v>
      </c>
      <c r="Q44" s="271">
        <v>0</v>
      </c>
      <c r="R44" s="269">
        <f t="shared" si="25"/>
        <v>0</v>
      </c>
      <c r="S44" s="271">
        <v>0</v>
      </c>
      <c r="T44" s="270">
        <f t="shared" si="26"/>
        <v>0</v>
      </c>
      <c r="U44" s="272">
        <f t="shared" si="17"/>
        <v>48518.45</v>
      </c>
    </row>
    <row r="45" spans="1:21" ht="14.25" x14ac:dyDescent="0.2">
      <c r="A45" s="254" t="str">
        <f>'2020-21'!A58</f>
        <v>ROBIN</v>
      </c>
      <c r="B45" s="251">
        <f>'2020-21'!C58</f>
        <v>29150</v>
      </c>
      <c r="C45" s="273">
        <v>0</v>
      </c>
      <c r="D45" s="265">
        <f t="shared" si="18"/>
        <v>0</v>
      </c>
      <c r="E45" s="274">
        <v>0</v>
      </c>
      <c r="F45" s="269">
        <f t="shared" si="19"/>
        <v>0</v>
      </c>
      <c r="G45" s="274">
        <v>0</v>
      </c>
      <c r="H45" s="269">
        <f t="shared" si="20"/>
        <v>0</v>
      </c>
      <c r="I45" s="274">
        <v>0</v>
      </c>
      <c r="J45" s="269">
        <f t="shared" si="21"/>
        <v>0</v>
      </c>
      <c r="K45" s="274">
        <v>0</v>
      </c>
      <c r="L45" s="269">
        <f t="shared" si="22"/>
        <v>0</v>
      </c>
      <c r="M45" s="274">
        <v>0</v>
      </c>
      <c r="N45" s="269">
        <f t="shared" si="23"/>
        <v>0</v>
      </c>
      <c r="O45" s="274">
        <v>0</v>
      </c>
      <c r="P45" s="269">
        <f t="shared" si="24"/>
        <v>0</v>
      </c>
      <c r="Q45" s="274">
        <v>0</v>
      </c>
      <c r="R45" s="269">
        <f t="shared" si="25"/>
        <v>0</v>
      </c>
      <c r="S45" s="274">
        <v>0</v>
      </c>
      <c r="T45" s="270">
        <f t="shared" si="26"/>
        <v>0</v>
      </c>
      <c r="U45" s="272">
        <f t="shared" si="17"/>
        <v>29150</v>
      </c>
    </row>
    <row r="46" spans="1:21" ht="14.25" x14ac:dyDescent="0.2">
      <c r="A46" s="260" t="str">
        <f>'2020-21'!A59</f>
        <v>CHESNEL</v>
      </c>
      <c r="B46" s="261">
        <f>'2020-21'!C59</f>
        <v>23403</v>
      </c>
      <c r="C46" s="268">
        <v>0</v>
      </c>
      <c r="D46" s="269">
        <f t="shared" si="18"/>
        <v>0</v>
      </c>
      <c r="E46" s="271">
        <v>0</v>
      </c>
      <c r="F46" s="269">
        <f t="shared" si="19"/>
        <v>0</v>
      </c>
      <c r="G46" s="271">
        <v>0</v>
      </c>
      <c r="H46" s="269">
        <f t="shared" si="20"/>
        <v>0</v>
      </c>
      <c r="I46" s="271">
        <v>0</v>
      </c>
      <c r="J46" s="269">
        <f t="shared" si="21"/>
        <v>0</v>
      </c>
      <c r="K46" s="271">
        <v>0</v>
      </c>
      <c r="L46" s="269">
        <f t="shared" si="22"/>
        <v>0</v>
      </c>
      <c r="M46" s="271">
        <v>0</v>
      </c>
      <c r="N46" s="269">
        <f t="shared" si="23"/>
        <v>0</v>
      </c>
      <c r="O46" s="271">
        <v>0</v>
      </c>
      <c r="P46" s="269">
        <f t="shared" si="24"/>
        <v>0</v>
      </c>
      <c r="Q46" s="271">
        <v>0</v>
      </c>
      <c r="R46" s="269">
        <f t="shared" si="25"/>
        <v>0</v>
      </c>
      <c r="S46" s="271">
        <v>0</v>
      </c>
      <c r="T46" s="270">
        <f t="shared" si="26"/>
        <v>0</v>
      </c>
      <c r="U46" s="272">
        <f t="shared" si="17"/>
        <v>23403</v>
      </c>
    </row>
    <row r="47" spans="1:21" ht="14.25" x14ac:dyDescent="0.2">
      <c r="A47" s="254" t="str">
        <f>'2020-21'!A60</f>
        <v>ROUSSEL</v>
      </c>
      <c r="B47" s="251">
        <f>'2020-21'!C60</f>
        <v>72184.329999999987</v>
      </c>
      <c r="C47" s="273">
        <v>0</v>
      </c>
      <c r="D47" s="265">
        <f t="shared" si="18"/>
        <v>0</v>
      </c>
      <c r="E47" s="274">
        <v>0</v>
      </c>
      <c r="F47" s="269">
        <f t="shared" si="19"/>
        <v>0</v>
      </c>
      <c r="G47" s="274">
        <v>0</v>
      </c>
      <c r="H47" s="269">
        <f t="shared" si="20"/>
        <v>0</v>
      </c>
      <c r="I47" s="274">
        <v>0</v>
      </c>
      <c r="J47" s="269">
        <f t="shared" si="21"/>
        <v>0</v>
      </c>
      <c r="K47" s="274">
        <v>0</v>
      </c>
      <c r="L47" s="269">
        <f t="shared" si="22"/>
        <v>0</v>
      </c>
      <c r="M47" s="274">
        <v>0</v>
      </c>
      <c r="N47" s="269">
        <f t="shared" si="23"/>
        <v>0</v>
      </c>
      <c r="O47" s="274">
        <v>0</v>
      </c>
      <c r="P47" s="269">
        <f t="shared" si="24"/>
        <v>0</v>
      </c>
      <c r="Q47" s="274">
        <v>0</v>
      </c>
      <c r="R47" s="269">
        <f t="shared" si="25"/>
        <v>0</v>
      </c>
      <c r="S47" s="274">
        <v>0</v>
      </c>
      <c r="T47" s="270">
        <f t="shared" si="26"/>
        <v>0</v>
      </c>
      <c r="U47" s="272">
        <f t="shared" si="17"/>
        <v>72184.329999999987</v>
      </c>
    </row>
    <row r="48" spans="1:21" ht="14.25" x14ac:dyDescent="0.2">
      <c r="A48" s="260" t="str">
        <f>'2020-21'!A61</f>
        <v>HULIN</v>
      </c>
      <c r="B48" s="261">
        <f>'2020-21'!C61</f>
        <v>35932.239999999998</v>
      </c>
      <c r="C48" s="268">
        <v>0</v>
      </c>
      <c r="D48" s="269">
        <f t="shared" si="18"/>
        <v>0</v>
      </c>
      <c r="E48" s="271">
        <v>0</v>
      </c>
      <c r="F48" s="269">
        <f t="shared" si="19"/>
        <v>0</v>
      </c>
      <c r="G48" s="271">
        <v>0</v>
      </c>
      <c r="H48" s="269">
        <f t="shared" si="20"/>
        <v>0</v>
      </c>
      <c r="I48" s="271">
        <v>0</v>
      </c>
      <c r="J48" s="269">
        <f t="shared" si="21"/>
        <v>0</v>
      </c>
      <c r="K48" s="271">
        <v>0</v>
      </c>
      <c r="L48" s="269">
        <f t="shared" si="22"/>
        <v>0</v>
      </c>
      <c r="M48" s="271">
        <v>0</v>
      </c>
      <c r="N48" s="269">
        <f t="shared" si="23"/>
        <v>0</v>
      </c>
      <c r="O48" s="271">
        <v>0</v>
      </c>
      <c r="P48" s="269">
        <f t="shared" si="24"/>
        <v>0</v>
      </c>
      <c r="Q48" s="271">
        <v>0</v>
      </c>
      <c r="R48" s="269">
        <f t="shared" si="25"/>
        <v>0</v>
      </c>
      <c r="S48" s="271">
        <v>0</v>
      </c>
      <c r="T48" s="270">
        <f t="shared" si="26"/>
        <v>0</v>
      </c>
      <c r="U48" s="272">
        <f t="shared" si="17"/>
        <v>35932.239999999998</v>
      </c>
    </row>
    <row r="49" spans="1:21" ht="14.25" x14ac:dyDescent="0.2">
      <c r="A49" s="254" t="str">
        <f>'2020-21'!A62</f>
        <v>SCI LABRADORITE</v>
      </c>
      <c r="B49" s="251">
        <f>'2020-21'!C62</f>
        <v>41267.730000000003</v>
      </c>
      <c r="C49" s="273">
        <v>0</v>
      </c>
      <c r="D49" s="265">
        <f t="shared" si="18"/>
        <v>0</v>
      </c>
      <c r="E49" s="274">
        <v>0</v>
      </c>
      <c r="F49" s="269">
        <f t="shared" si="19"/>
        <v>0</v>
      </c>
      <c r="G49" s="274">
        <v>0</v>
      </c>
      <c r="H49" s="269">
        <f t="shared" si="20"/>
        <v>0</v>
      </c>
      <c r="I49" s="274">
        <v>0</v>
      </c>
      <c r="J49" s="269">
        <f t="shared" si="21"/>
        <v>0</v>
      </c>
      <c r="K49" s="274">
        <v>0</v>
      </c>
      <c r="L49" s="269">
        <f t="shared" si="22"/>
        <v>0</v>
      </c>
      <c r="M49" s="274">
        <v>0</v>
      </c>
      <c r="N49" s="269">
        <f t="shared" si="23"/>
        <v>0</v>
      </c>
      <c r="O49" s="274">
        <v>0</v>
      </c>
      <c r="P49" s="269">
        <f t="shared" si="24"/>
        <v>0</v>
      </c>
      <c r="Q49" s="274">
        <v>0</v>
      </c>
      <c r="R49" s="269">
        <f t="shared" si="25"/>
        <v>0</v>
      </c>
      <c r="S49" s="274">
        <v>0</v>
      </c>
      <c r="T49" s="270">
        <f t="shared" si="26"/>
        <v>0</v>
      </c>
      <c r="U49" s="272">
        <f t="shared" si="17"/>
        <v>41267.730000000003</v>
      </c>
    </row>
    <row r="50" spans="1:21" ht="14.25" x14ac:dyDescent="0.2">
      <c r="A50" s="260" t="str">
        <f>'2020-21'!A63</f>
        <v>COYER</v>
      </c>
      <c r="B50" s="261">
        <f>'2020-21'!C63</f>
        <v>6867.9100000000008</v>
      </c>
      <c r="C50" s="273">
        <v>0</v>
      </c>
      <c r="D50" s="269">
        <f t="shared" si="18"/>
        <v>0</v>
      </c>
      <c r="E50" s="271">
        <v>0</v>
      </c>
      <c r="F50" s="269">
        <f t="shared" si="19"/>
        <v>0</v>
      </c>
      <c r="G50" s="271">
        <v>0</v>
      </c>
      <c r="H50" s="269">
        <f t="shared" si="20"/>
        <v>0</v>
      </c>
      <c r="I50" s="271">
        <v>0</v>
      </c>
      <c r="J50" s="269">
        <f t="shared" si="21"/>
        <v>0</v>
      </c>
      <c r="K50" s="271">
        <v>0</v>
      </c>
      <c r="L50" s="269">
        <f t="shared" si="22"/>
        <v>0</v>
      </c>
      <c r="M50" s="271">
        <v>0</v>
      </c>
      <c r="N50" s="269">
        <f t="shared" si="23"/>
        <v>0</v>
      </c>
      <c r="O50" s="271">
        <v>0</v>
      </c>
      <c r="P50" s="269">
        <f t="shared" si="24"/>
        <v>0</v>
      </c>
      <c r="Q50" s="271">
        <v>0</v>
      </c>
      <c r="R50" s="269">
        <f t="shared" si="25"/>
        <v>0</v>
      </c>
      <c r="S50" s="271">
        <v>0</v>
      </c>
      <c r="T50" s="270">
        <f t="shared" si="26"/>
        <v>0</v>
      </c>
      <c r="U50" s="272">
        <f t="shared" si="17"/>
        <v>6867.9100000000008</v>
      </c>
    </row>
    <row r="51" spans="1:21" ht="14.25" x14ac:dyDescent="0.2">
      <c r="A51" s="254" t="str">
        <f>'2020-21'!A64</f>
        <v>RF ROUSSEL</v>
      </c>
      <c r="B51" s="251">
        <f>'2020-21'!C64</f>
        <v>52092</v>
      </c>
      <c r="C51" s="268">
        <v>0</v>
      </c>
      <c r="D51" s="265">
        <f t="shared" si="18"/>
        <v>0</v>
      </c>
      <c r="E51" s="274">
        <v>0</v>
      </c>
      <c r="F51" s="269">
        <f t="shared" si="19"/>
        <v>0</v>
      </c>
      <c r="G51" s="274">
        <v>0</v>
      </c>
      <c r="H51" s="269">
        <f t="shared" si="20"/>
        <v>0</v>
      </c>
      <c r="I51" s="274">
        <v>0</v>
      </c>
      <c r="J51" s="269">
        <f t="shared" si="21"/>
        <v>0</v>
      </c>
      <c r="K51" s="274">
        <v>0</v>
      </c>
      <c r="L51" s="269">
        <f t="shared" si="22"/>
        <v>0</v>
      </c>
      <c r="M51" s="274">
        <v>0</v>
      </c>
      <c r="N51" s="269">
        <f t="shared" si="23"/>
        <v>0</v>
      </c>
      <c r="O51" s="274">
        <v>0</v>
      </c>
      <c r="P51" s="269">
        <f t="shared" si="24"/>
        <v>0</v>
      </c>
      <c r="Q51" s="274">
        <v>0</v>
      </c>
      <c r="R51" s="269">
        <f t="shared" si="25"/>
        <v>0</v>
      </c>
      <c r="S51" s="274">
        <v>0</v>
      </c>
      <c r="T51" s="270">
        <f t="shared" si="26"/>
        <v>0</v>
      </c>
      <c r="U51" s="272">
        <f t="shared" si="17"/>
        <v>52092</v>
      </c>
    </row>
    <row r="52" spans="1:21" ht="14.25" x14ac:dyDescent="0.2">
      <c r="A52" s="260" t="str">
        <f>'2020-21'!A65</f>
        <v>ROUILLARD</v>
      </c>
      <c r="B52" s="261">
        <f>'2020-21'!C65</f>
        <v>12418.93</v>
      </c>
      <c r="C52" s="273">
        <v>0</v>
      </c>
      <c r="D52" s="269">
        <f t="shared" si="18"/>
        <v>0</v>
      </c>
      <c r="E52" s="271">
        <v>0</v>
      </c>
      <c r="F52" s="269">
        <f t="shared" si="19"/>
        <v>0</v>
      </c>
      <c r="G52" s="271">
        <v>0</v>
      </c>
      <c r="H52" s="269">
        <f t="shared" si="20"/>
        <v>0</v>
      </c>
      <c r="I52" s="271">
        <v>0</v>
      </c>
      <c r="J52" s="269">
        <f t="shared" si="21"/>
        <v>0</v>
      </c>
      <c r="K52" s="271">
        <v>0</v>
      </c>
      <c r="L52" s="269">
        <f t="shared" si="22"/>
        <v>0</v>
      </c>
      <c r="M52" s="271">
        <v>0</v>
      </c>
      <c r="N52" s="269">
        <f t="shared" si="23"/>
        <v>0</v>
      </c>
      <c r="O52" s="271">
        <v>0</v>
      </c>
      <c r="P52" s="269">
        <f t="shared" si="24"/>
        <v>0</v>
      </c>
      <c r="Q52" s="271">
        <v>0</v>
      </c>
      <c r="R52" s="269">
        <f t="shared" si="25"/>
        <v>0</v>
      </c>
      <c r="S52" s="271">
        <v>0</v>
      </c>
      <c r="T52" s="270">
        <f t="shared" si="26"/>
        <v>0</v>
      </c>
      <c r="U52" s="272">
        <f t="shared" si="17"/>
        <v>12418.93</v>
      </c>
    </row>
    <row r="53" spans="1:21" ht="14.25" x14ac:dyDescent="0.2">
      <c r="A53" s="254" t="str">
        <f>'2020-21'!A66</f>
        <v>LALLOZ</v>
      </c>
      <c r="B53" s="251">
        <f>'2020-21'!C66</f>
        <v>5600.8</v>
      </c>
      <c r="C53" s="268">
        <v>0</v>
      </c>
      <c r="D53" s="265">
        <f t="shared" si="18"/>
        <v>0</v>
      </c>
      <c r="E53" s="274">
        <v>0</v>
      </c>
      <c r="F53" s="269">
        <f t="shared" si="19"/>
        <v>0</v>
      </c>
      <c r="G53" s="274">
        <v>0</v>
      </c>
      <c r="H53" s="269">
        <f t="shared" si="20"/>
        <v>0</v>
      </c>
      <c r="I53" s="274">
        <v>0</v>
      </c>
      <c r="J53" s="269">
        <f t="shared" si="21"/>
        <v>0</v>
      </c>
      <c r="K53" s="274">
        <v>0</v>
      </c>
      <c r="L53" s="269">
        <f t="shared" si="22"/>
        <v>0</v>
      </c>
      <c r="M53" s="274">
        <v>0</v>
      </c>
      <c r="N53" s="269">
        <f t="shared" si="23"/>
        <v>0</v>
      </c>
      <c r="O53" s="274">
        <v>0</v>
      </c>
      <c r="P53" s="269">
        <f t="shared" si="24"/>
        <v>0</v>
      </c>
      <c r="Q53" s="274">
        <v>0</v>
      </c>
      <c r="R53" s="269">
        <f t="shared" si="25"/>
        <v>0</v>
      </c>
      <c r="S53" s="274">
        <v>0</v>
      </c>
      <c r="T53" s="270">
        <f t="shared" si="26"/>
        <v>0</v>
      </c>
      <c r="U53" s="272">
        <f t="shared" si="17"/>
        <v>5600.8</v>
      </c>
    </row>
    <row r="54" spans="1:21" ht="14.25" x14ac:dyDescent="0.2">
      <c r="A54" s="260" t="str">
        <f>'2020-21'!A67</f>
        <v>BROSSARD</v>
      </c>
      <c r="B54" s="261">
        <f>'2020-21'!C67</f>
        <v>480</v>
      </c>
      <c r="C54" s="273">
        <v>0</v>
      </c>
      <c r="D54" s="269">
        <f t="shared" si="18"/>
        <v>0</v>
      </c>
      <c r="E54" s="271">
        <v>0</v>
      </c>
      <c r="F54" s="269">
        <f t="shared" si="19"/>
        <v>0</v>
      </c>
      <c r="G54" s="271">
        <v>0</v>
      </c>
      <c r="H54" s="269">
        <f t="shared" si="20"/>
        <v>0</v>
      </c>
      <c r="I54" s="271">
        <v>0</v>
      </c>
      <c r="J54" s="269">
        <f t="shared" si="21"/>
        <v>0</v>
      </c>
      <c r="K54" s="271">
        <v>0</v>
      </c>
      <c r="L54" s="269">
        <f t="shared" si="22"/>
        <v>0</v>
      </c>
      <c r="M54" s="271">
        <v>0</v>
      </c>
      <c r="N54" s="269">
        <f t="shared" si="23"/>
        <v>0</v>
      </c>
      <c r="O54" s="271">
        <v>0</v>
      </c>
      <c r="P54" s="269">
        <f t="shared" si="24"/>
        <v>0</v>
      </c>
      <c r="Q54" s="271">
        <v>0</v>
      </c>
      <c r="R54" s="269">
        <f t="shared" si="25"/>
        <v>0</v>
      </c>
      <c r="S54" s="271">
        <v>0</v>
      </c>
      <c r="T54" s="270">
        <f t="shared" si="26"/>
        <v>0</v>
      </c>
      <c r="U54" s="272">
        <f t="shared" si="17"/>
        <v>480</v>
      </c>
    </row>
    <row r="55" spans="1:21" ht="14.25" x14ac:dyDescent="0.2">
      <c r="A55" s="254" t="str">
        <f>'2020-21'!A68</f>
        <v>LEDORZE</v>
      </c>
      <c r="B55" s="251">
        <f>'2020-21'!C68</f>
        <v>3250</v>
      </c>
      <c r="C55" s="273">
        <v>0</v>
      </c>
      <c r="D55" s="265">
        <f t="shared" si="18"/>
        <v>0</v>
      </c>
      <c r="E55" s="274">
        <v>0</v>
      </c>
      <c r="F55" s="269">
        <f t="shared" si="19"/>
        <v>0</v>
      </c>
      <c r="G55" s="274">
        <v>0</v>
      </c>
      <c r="H55" s="269">
        <f t="shared" si="20"/>
        <v>0</v>
      </c>
      <c r="I55" s="274">
        <v>0</v>
      </c>
      <c r="J55" s="269">
        <f t="shared" si="21"/>
        <v>0</v>
      </c>
      <c r="K55" s="274">
        <v>0</v>
      </c>
      <c r="L55" s="269">
        <f t="shared" si="22"/>
        <v>0</v>
      </c>
      <c r="M55" s="274">
        <v>0</v>
      </c>
      <c r="N55" s="269">
        <f t="shared" si="23"/>
        <v>0</v>
      </c>
      <c r="O55" s="274">
        <v>0</v>
      </c>
      <c r="P55" s="269">
        <f t="shared" si="24"/>
        <v>0</v>
      </c>
      <c r="Q55" s="274">
        <v>0</v>
      </c>
      <c r="R55" s="269">
        <f t="shared" si="25"/>
        <v>0</v>
      </c>
      <c r="S55" s="274">
        <v>0</v>
      </c>
      <c r="T55" s="270">
        <f t="shared" si="26"/>
        <v>0</v>
      </c>
      <c r="U55" s="272">
        <f t="shared" si="17"/>
        <v>3250</v>
      </c>
    </row>
    <row r="56" spans="1:21" ht="14.25" x14ac:dyDescent="0.2">
      <c r="A56" s="260" t="str">
        <f>'2020-21'!A69</f>
        <v>RF FLIPO</v>
      </c>
      <c r="B56" s="261">
        <f>'2020-21'!C69</f>
        <v>10355.77</v>
      </c>
      <c r="C56" s="268">
        <v>0</v>
      </c>
      <c r="D56" s="269">
        <f t="shared" si="18"/>
        <v>0</v>
      </c>
      <c r="E56" s="271">
        <v>0</v>
      </c>
      <c r="F56" s="269">
        <f t="shared" si="19"/>
        <v>0</v>
      </c>
      <c r="G56" s="271">
        <v>0</v>
      </c>
      <c r="H56" s="269">
        <f t="shared" si="20"/>
        <v>0</v>
      </c>
      <c r="I56" s="271">
        <v>0</v>
      </c>
      <c r="J56" s="269">
        <f t="shared" si="21"/>
        <v>0</v>
      </c>
      <c r="K56" s="271">
        <v>0</v>
      </c>
      <c r="L56" s="269">
        <f t="shared" si="22"/>
        <v>0</v>
      </c>
      <c r="M56" s="271">
        <v>0</v>
      </c>
      <c r="N56" s="269">
        <f t="shared" si="23"/>
        <v>0</v>
      </c>
      <c r="O56" s="271">
        <v>0</v>
      </c>
      <c r="P56" s="269">
        <f t="shared" si="24"/>
        <v>0</v>
      </c>
      <c r="Q56" s="271">
        <v>0</v>
      </c>
      <c r="R56" s="269">
        <f t="shared" si="25"/>
        <v>0</v>
      </c>
      <c r="S56" s="271">
        <v>0</v>
      </c>
      <c r="T56" s="270">
        <f t="shared" si="26"/>
        <v>0</v>
      </c>
      <c r="U56" s="272">
        <f t="shared" si="17"/>
        <v>10355.77</v>
      </c>
    </row>
    <row r="57" spans="1:21" ht="14.25" x14ac:dyDescent="0.2">
      <c r="A57" s="254" t="str">
        <f>'2020-21'!A70</f>
        <v>BOEUVE</v>
      </c>
      <c r="B57" s="251">
        <f>'2020-21'!C70</f>
        <v>22297</v>
      </c>
      <c r="C57" s="273">
        <v>0</v>
      </c>
      <c r="D57" s="265">
        <f t="shared" si="18"/>
        <v>0</v>
      </c>
      <c r="E57" s="274">
        <v>0</v>
      </c>
      <c r="F57" s="269">
        <f t="shared" si="19"/>
        <v>0</v>
      </c>
      <c r="G57" s="274">
        <v>0</v>
      </c>
      <c r="H57" s="269">
        <f t="shared" si="20"/>
        <v>0</v>
      </c>
      <c r="I57" s="274">
        <v>0</v>
      </c>
      <c r="J57" s="269">
        <f t="shared" si="21"/>
        <v>0</v>
      </c>
      <c r="K57" s="274">
        <v>0</v>
      </c>
      <c r="L57" s="269">
        <f t="shared" si="22"/>
        <v>0</v>
      </c>
      <c r="M57" s="274">
        <v>0</v>
      </c>
      <c r="N57" s="269">
        <f t="shared" si="23"/>
        <v>0</v>
      </c>
      <c r="O57" s="274">
        <v>0</v>
      </c>
      <c r="P57" s="269">
        <f t="shared" si="24"/>
        <v>0</v>
      </c>
      <c r="Q57" s="274">
        <v>0</v>
      </c>
      <c r="R57" s="269">
        <f t="shared" si="25"/>
        <v>0</v>
      </c>
      <c r="S57" s="274">
        <v>0</v>
      </c>
      <c r="T57" s="270">
        <f t="shared" si="26"/>
        <v>0</v>
      </c>
      <c r="U57" s="272">
        <f t="shared" si="17"/>
        <v>22297</v>
      </c>
    </row>
    <row r="58" spans="1:21" ht="14.25" x14ac:dyDescent="0.2">
      <c r="A58" s="260" t="str">
        <f>'2020-21'!A71</f>
        <v>SHACHER</v>
      </c>
      <c r="B58" s="261">
        <f>'2020-21'!C71</f>
        <v>26035.14</v>
      </c>
      <c r="C58" s="268">
        <v>0</v>
      </c>
      <c r="D58" s="269">
        <f t="shared" si="18"/>
        <v>0</v>
      </c>
      <c r="E58" s="271">
        <v>0</v>
      </c>
      <c r="F58" s="269">
        <f t="shared" si="19"/>
        <v>0</v>
      </c>
      <c r="G58" s="271">
        <v>0</v>
      </c>
      <c r="H58" s="269">
        <f t="shared" si="20"/>
        <v>0</v>
      </c>
      <c r="I58" s="271">
        <v>0</v>
      </c>
      <c r="J58" s="269">
        <f t="shared" si="21"/>
        <v>0</v>
      </c>
      <c r="K58" s="271">
        <v>0</v>
      </c>
      <c r="L58" s="269">
        <f t="shared" si="22"/>
        <v>0</v>
      </c>
      <c r="M58" s="271">
        <v>0</v>
      </c>
      <c r="N58" s="269">
        <f t="shared" si="23"/>
        <v>0</v>
      </c>
      <c r="O58" s="271">
        <v>0</v>
      </c>
      <c r="P58" s="269">
        <f t="shared" si="24"/>
        <v>0</v>
      </c>
      <c r="Q58" s="271">
        <v>0</v>
      </c>
      <c r="R58" s="269">
        <f t="shared" si="25"/>
        <v>0</v>
      </c>
      <c r="S58" s="271">
        <v>0</v>
      </c>
      <c r="T58" s="270">
        <f t="shared" si="26"/>
        <v>0</v>
      </c>
      <c r="U58" s="272">
        <f t="shared" si="17"/>
        <v>26035.14</v>
      </c>
    </row>
    <row r="59" spans="1:21" ht="14.25" x14ac:dyDescent="0.2">
      <c r="A59" s="254" t="str">
        <f>'2020-21'!A72</f>
        <v xml:space="preserve">LEBOUCHER </v>
      </c>
      <c r="B59" s="251">
        <f>'2020-21'!C72</f>
        <v>14652</v>
      </c>
      <c r="C59" s="273">
        <v>0</v>
      </c>
      <c r="D59" s="265">
        <f t="shared" si="18"/>
        <v>0</v>
      </c>
      <c r="E59" s="274">
        <v>0</v>
      </c>
      <c r="F59" s="269">
        <f t="shared" si="19"/>
        <v>0</v>
      </c>
      <c r="G59" s="274">
        <v>0</v>
      </c>
      <c r="H59" s="269">
        <f t="shared" si="20"/>
        <v>0</v>
      </c>
      <c r="I59" s="274">
        <v>0</v>
      </c>
      <c r="J59" s="269">
        <f t="shared" si="21"/>
        <v>0</v>
      </c>
      <c r="K59" s="274">
        <v>0</v>
      </c>
      <c r="L59" s="269">
        <f t="shared" si="22"/>
        <v>0</v>
      </c>
      <c r="M59" s="274">
        <v>0</v>
      </c>
      <c r="N59" s="269">
        <f t="shared" si="23"/>
        <v>0</v>
      </c>
      <c r="O59" s="274">
        <v>0</v>
      </c>
      <c r="P59" s="269">
        <f t="shared" si="24"/>
        <v>0</v>
      </c>
      <c r="Q59" s="274">
        <v>0</v>
      </c>
      <c r="R59" s="269">
        <f t="shared" si="25"/>
        <v>0</v>
      </c>
      <c r="S59" s="274">
        <v>0</v>
      </c>
      <c r="T59" s="270">
        <f t="shared" si="26"/>
        <v>0</v>
      </c>
      <c r="U59" s="272">
        <f t="shared" si="17"/>
        <v>14652</v>
      </c>
    </row>
    <row r="60" spans="1:21" ht="14.25" x14ac:dyDescent="0.2">
      <c r="A60" s="260" t="str">
        <f>'2020-21'!A73</f>
        <v>BICARD</v>
      </c>
      <c r="B60" s="261">
        <f>'2020-21'!C73</f>
        <v>12155</v>
      </c>
      <c r="C60" s="273">
        <v>0</v>
      </c>
      <c r="D60" s="269">
        <f t="shared" si="18"/>
        <v>0</v>
      </c>
      <c r="E60" s="271">
        <v>0</v>
      </c>
      <c r="F60" s="269">
        <f t="shared" si="19"/>
        <v>0</v>
      </c>
      <c r="G60" s="271">
        <v>0</v>
      </c>
      <c r="H60" s="269">
        <f t="shared" si="20"/>
        <v>0</v>
      </c>
      <c r="I60" s="271">
        <v>0</v>
      </c>
      <c r="J60" s="269">
        <f t="shared" si="21"/>
        <v>0</v>
      </c>
      <c r="K60" s="271">
        <v>0</v>
      </c>
      <c r="L60" s="269">
        <f t="shared" si="22"/>
        <v>0</v>
      </c>
      <c r="M60" s="271">
        <v>0</v>
      </c>
      <c r="N60" s="269">
        <f t="shared" si="23"/>
        <v>0</v>
      </c>
      <c r="O60" s="271">
        <v>0</v>
      </c>
      <c r="P60" s="269">
        <f t="shared" si="24"/>
        <v>0</v>
      </c>
      <c r="Q60" s="271">
        <v>0</v>
      </c>
      <c r="R60" s="269">
        <f t="shared" si="25"/>
        <v>0</v>
      </c>
      <c r="S60" s="271">
        <v>0</v>
      </c>
      <c r="T60" s="270">
        <f t="shared" si="26"/>
        <v>0</v>
      </c>
      <c r="U60" s="272">
        <f t="shared" si="17"/>
        <v>12155</v>
      </c>
    </row>
    <row r="61" spans="1:21" ht="14.25" x14ac:dyDescent="0.2">
      <c r="A61" s="254" t="str">
        <f>'2020-21'!A74</f>
        <v>JOUAULT</v>
      </c>
      <c r="B61" s="251">
        <f>'2020-21'!C74</f>
        <v>16524.3</v>
      </c>
      <c r="C61" s="268">
        <v>0</v>
      </c>
      <c r="D61" s="265">
        <f t="shared" si="18"/>
        <v>0</v>
      </c>
      <c r="E61" s="274">
        <v>0</v>
      </c>
      <c r="F61" s="269">
        <f t="shared" si="19"/>
        <v>0</v>
      </c>
      <c r="G61" s="274">
        <v>0</v>
      </c>
      <c r="H61" s="269">
        <f t="shared" si="20"/>
        <v>0</v>
      </c>
      <c r="I61" s="274">
        <v>0</v>
      </c>
      <c r="J61" s="269">
        <f t="shared" si="21"/>
        <v>0</v>
      </c>
      <c r="K61" s="274">
        <v>0</v>
      </c>
      <c r="L61" s="269">
        <f t="shared" si="22"/>
        <v>0</v>
      </c>
      <c r="M61" s="274">
        <v>0</v>
      </c>
      <c r="N61" s="269">
        <f t="shared" si="23"/>
        <v>0</v>
      </c>
      <c r="O61" s="274">
        <v>0</v>
      </c>
      <c r="P61" s="269">
        <f t="shared" si="24"/>
        <v>0</v>
      </c>
      <c r="Q61" s="274">
        <v>0</v>
      </c>
      <c r="R61" s="269">
        <f t="shared" si="25"/>
        <v>0</v>
      </c>
      <c r="S61" s="274">
        <v>0</v>
      </c>
      <c r="T61" s="270">
        <f t="shared" si="26"/>
        <v>0</v>
      </c>
      <c r="U61" s="272">
        <f t="shared" si="17"/>
        <v>16524.3</v>
      </c>
    </row>
    <row r="62" spans="1:21" ht="14.25" x14ac:dyDescent="0.2">
      <c r="A62" s="260" t="str">
        <f>'2020-21'!A75</f>
        <v>BRODIN</v>
      </c>
      <c r="B62" s="261">
        <f>'2020-21'!C75</f>
        <v>13937.53</v>
      </c>
      <c r="C62" s="273">
        <v>0</v>
      </c>
      <c r="D62" s="269">
        <f t="shared" si="18"/>
        <v>0</v>
      </c>
      <c r="E62" s="271">
        <v>0</v>
      </c>
      <c r="F62" s="269">
        <f t="shared" si="19"/>
        <v>0</v>
      </c>
      <c r="G62" s="271">
        <v>0</v>
      </c>
      <c r="H62" s="269">
        <f t="shared" si="20"/>
        <v>0</v>
      </c>
      <c r="I62" s="271">
        <v>0</v>
      </c>
      <c r="J62" s="269">
        <f t="shared" si="21"/>
        <v>0</v>
      </c>
      <c r="K62" s="271">
        <v>0</v>
      </c>
      <c r="L62" s="269">
        <f t="shared" si="22"/>
        <v>0</v>
      </c>
      <c r="M62" s="271">
        <v>0</v>
      </c>
      <c r="N62" s="269">
        <f t="shared" si="23"/>
        <v>0</v>
      </c>
      <c r="O62" s="271">
        <v>0</v>
      </c>
      <c r="P62" s="269">
        <f t="shared" si="24"/>
        <v>0</v>
      </c>
      <c r="Q62" s="271">
        <v>0</v>
      </c>
      <c r="R62" s="269">
        <f t="shared" si="25"/>
        <v>0</v>
      </c>
      <c r="S62" s="271">
        <v>0</v>
      </c>
      <c r="T62" s="270">
        <f t="shared" si="26"/>
        <v>0</v>
      </c>
      <c r="U62" s="272">
        <f t="shared" si="17"/>
        <v>13937.53</v>
      </c>
    </row>
    <row r="63" spans="1:21" ht="14.25" x14ac:dyDescent="0.2">
      <c r="A63" s="254" t="str">
        <f>'2020-21'!A76</f>
        <v>CHAUVEL</v>
      </c>
      <c r="B63" s="251">
        <f>'2020-21'!C76</f>
        <v>43485.659999999996</v>
      </c>
      <c r="C63" s="268">
        <v>0</v>
      </c>
      <c r="D63" s="265">
        <f t="shared" si="18"/>
        <v>0</v>
      </c>
      <c r="E63" s="274">
        <v>0</v>
      </c>
      <c r="F63" s="269">
        <f t="shared" si="19"/>
        <v>0</v>
      </c>
      <c r="G63" s="274">
        <v>0</v>
      </c>
      <c r="H63" s="269">
        <f t="shared" si="20"/>
        <v>0</v>
      </c>
      <c r="I63" s="274">
        <v>0</v>
      </c>
      <c r="J63" s="269">
        <f t="shared" si="21"/>
        <v>0</v>
      </c>
      <c r="K63" s="274">
        <v>0</v>
      </c>
      <c r="L63" s="269">
        <f t="shared" si="22"/>
        <v>0</v>
      </c>
      <c r="M63" s="274">
        <v>0</v>
      </c>
      <c r="N63" s="269">
        <f t="shared" si="23"/>
        <v>0</v>
      </c>
      <c r="O63" s="274">
        <v>0</v>
      </c>
      <c r="P63" s="269">
        <f t="shared" si="24"/>
        <v>0</v>
      </c>
      <c r="Q63" s="274">
        <v>0</v>
      </c>
      <c r="R63" s="269">
        <f t="shared" si="25"/>
        <v>0</v>
      </c>
      <c r="S63" s="274">
        <v>0</v>
      </c>
      <c r="T63" s="270">
        <f t="shared" si="26"/>
        <v>0</v>
      </c>
      <c r="U63" s="272">
        <f t="shared" si="17"/>
        <v>43485.659999999996</v>
      </c>
    </row>
    <row r="64" spans="1:21" ht="14.25" x14ac:dyDescent="0.2">
      <c r="A64" s="260" t="str">
        <f>'2020-21'!A77</f>
        <v>MANOIR POMMERAIE</v>
      </c>
      <c r="B64" s="261">
        <f>'2020-21'!C77</f>
        <v>1657.27</v>
      </c>
      <c r="C64" s="273">
        <v>0</v>
      </c>
      <c r="D64" s="269">
        <f t="shared" si="18"/>
        <v>0</v>
      </c>
      <c r="E64" s="271">
        <v>0</v>
      </c>
      <c r="F64" s="269">
        <f t="shared" si="19"/>
        <v>0</v>
      </c>
      <c r="G64" s="271">
        <v>0</v>
      </c>
      <c r="H64" s="269">
        <f t="shared" si="20"/>
        <v>0</v>
      </c>
      <c r="I64" s="271">
        <v>0</v>
      </c>
      <c r="J64" s="269">
        <f t="shared" si="21"/>
        <v>0</v>
      </c>
      <c r="K64" s="271">
        <v>0</v>
      </c>
      <c r="L64" s="269">
        <f t="shared" si="22"/>
        <v>0</v>
      </c>
      <c r="M64" s="271">
        <v>0</v>
      </c>
      <c r="N64" s="269">
        <f t="shared" si="23"/>
        <v>0</v>
      </c>
      <c r="O64" s="271">
        <v>0</v>
      </c>
      <c r="P64" s="269">
        <f t="shared" si="24"/>
        <v>0</v>
      </c>
      <c r="Q64" s="271">
        <v>0</v>
      </c>
      <c r="R64" s="269">
        <f t="shared" si="25"/>
        <v>0</v>
      </c>
      <c r="S64" s="271">
        <v>0</v>
      </c>
      <c r="T64" s="270">
        <f t="shared" si="26"/>
        <v>0</v>
      </c>
      <c r="U64" s="272">
        <f t="shared" si="17"/>
        <v>1657.27</v>
      </c>
    </row>
    <row r="65" spans="1:21" ht="14.25" x14ac:dyDescent="0.2">
      <c r="A65" s="254" t="str">
        <f>'2020-21'!A78</f>
        <v>LEVEQUE GARAGE</v>
      </c>
      <c r="B65" s="251">
        <f>'2020-21'!C78</f>
        <v>18115.079999999998</v>
      </c>
      <c r="C65" s="273">
        <v>0</v>
      </c>
      <c r="D65" s="265">
        <f t="shared" si="18"/>
        <v>0</v>
      </c>
      <c r="E65" s="274">
        <v>0</v>
      </c>
      <c r="F65" s="269">
        <f t="shared" si="19"/>
        <v>0</v>
      </c>
      <c r="G65" s="274">
        <v>0</v>
      </c>
      <c r="H65" s="269">
        <f t="shared" si="20"/>
        <v>0</v>
      </c>
      <c r="I65" s="274">
        <v>0</v>
      </c>
      <c r="J65" s="269">
        <f t="shared" si="21"/>
        <v>0</v>
      </c>
      <c r="K65" s="274">
        <v>0</v>
      </c>
      <c r="L65" s="269">
        <f t="shared" si="22"/>
        <v>0</v>
      </c>
      <c r="M65" s="274">
        <v>0</v>
      </c>
      <c r="N65" s="269">
        <f t="shared" si="23"/>
        <v>0</v>
      </c>
      <c r="O65" s="274">
        <v>0</v>
      </c>
      <c r="P65" s="269">
        <f t="shared" si="24"/>
        <v>0</v>
      </c>
      <c r="Q65" s="274">
        <v>0</v>
      </c>
      <c r="R65" s="269">
        <f t="shared" si="25"/>
        <v>0</v>
      </c>
      <c r="S65" s="274">
        <v>0</v>
      </c>
      <c r="T65" s="270">
        <f t="shared" si="26"/>
        <v>0</v>
      </c>
      <c r="U65" s="272">
        <f t="shared" si="17"/>
        <v>18115.079999999998</v>
      </c>
    </row>
    <row r="66" spans="1:21" ht="14.25" x14ac:dyDescent="0.2">
      <c r="A66" s="254" t="str">
        <f>'2020-21'!A79</f>
        <v>CAUCE via joris cenier</v>
      </c>
      <c r="B66" s="251">
        <f>'2020-21'!C79</f>
        <v>15164.25</v>
      </c>
      <c r="C66" s="268">
        <v>0</v>
      </c>
      <c r="D66" s="265">
        <f t="shared" si="18"/>
        <v>0</v>
      </c>
      <c r="E66" s="271">
        <v>0</v>
      </c>
      <c r="F66" s="269">
        <f t="shared" si="19"/>
        <v>0</v>
      </c>
      <c r="G66" s="271">
        <v>0</v>
      </c>
      <c r="H66" s="269">
        <f t="shared" si="20"/>
        <v>0</v>
      </c>
      <c r="I66" s="271">
        <v>0</v>
      </c>
      <c r="J66" s="269">
        <f t="shared" si="21"/>
        <v>0</v>
      </c>
      <c r="K66" s="271">
        <v>0</v>
      </c>
      <c r="L66" s="269">
        <f t="shared" si="22"/>
        <v>0</v>
      </c>
      <c r="M66" s="271">
        <v>0</v>
      </c>
      <c r="N66" s="269">
        <f t="shared" si="23"/>
        <v>0</v>
      </c>
      <c r="O66" s="271">
        <v>0</v>
      </c>
      <c r="P66" s="269">
        <f t="shared" si="24"/>
        <v>0</v>
      </c>
      <c r="Q66" s="271">
        <v>0</v>
      </c>
      <c r="R66" s="269">
        <f t="shared" si="25"/>
        <v>0</v>
      </c>
      <c r="S66" s="271">
        <v>0</v>
      </c>
      <c r="T66" s="270">
        <f t="shared" si="26"/>
        <v>0</v>
      </c>
      <c r="U66" s="272">
        <f t="shared" si="17"/>
        <v>15164.25</v>
      </c>
    </row>
    <row r="67" spans="1:21" ht="14.25" x14ac:dyDescent="0.2">
      <c r="A67" s="260" t="str">
        <f>'2020-21'!A80</f>
        <v>SCI WATIER</v>
      </c>
      <c r="B67" s="261">
        <f>'2020-21'!C80</f>
        <v>6739.369999999999</v>
      </c>
      <c r="C67" s="273">
        <v>0</v>
      </c>
      <c r="D67" s="269">
        <f t="shared" si="18"/>
        <v>0</v>
      </c>
      <c r="E67" s="274">
        <v>0</v>
      </c>
      <c r="F67" s="269">
        <f t="shared" si="19"/>
        <v>0</v>
      </c>
      <c r="G67" s="274">
        <v>0</v>
      </c>
      <c r="H67" s="269">
        <f t="shared" si="20"/>
        <v>0</v>
      </c>
      <c r="I67" s="274">
        <v>0</v>
      </c>
      <c r="J67" s="269">
        <f t="shared" si="21"/>
        <v>0</v>
      </c>
      <c r="K67" s="274">
        <v>0</v>
      </c>
      <c r="L67" s="269">
        <f t="shared" si="22"/>
        <v>0</v>
      </c>
      <c r="M67" s="274">
        <v>0</v>
      </c>
      <c r="N67" s="269">
        <f t="shared" si="23"/>
        <v>0</v>
      </c>
      <c r="O67" s="274">
        <v>0</v>
      </c>
      <c r="P67" s="269">
        <f t="shared" si="24"/>
        <v>0</v>
      </c>
      <c r="Q67" s="274">
        <v>0</v>
      </c>
      <c r="R67" s="269">
        <f t="shared" si="25"/>
        <v>0</v>
      </c>
      <c r="S67" s="274">
        <v>0</v>
      </c>
      <c r="T67" s="270">
        <f t="shared" si="26"/>
        <v>0</v>
      </c>
      <c r="U67" s="272">
        <f t="shared" si="17"/>
        <v>6739.369999999999</v>
      </c>
    </row>
    <row r="68" spans="1:21" ht="14.25" x14ac:dyDescent="0.2">
      <c r="A68" s="254">
        <f>'2020-21'!A81</f>
        <v>0</v>
      </c>
      <c r="B68" s="251">
        <v>1</v>
      </c>
      <c r="C68" s="268">
        <v>0</v>
      </c>
      <c r="D68" s="265">
        <f t="shared" ref="D68:D70" si="27">C68/B68</f>
        <v>0</v>
      </c>
      <c r="E68" s="271">
        <v>0</v>
      </c>
      <c r="F68" s="269">
        <f t="shared" ref="F68:F70" si="28">E68/B68</f>
        <v>0</v>
      </c>
      <c r="G68" s="271">
        <v>0</v>
      </c>
      <c r="H68" s="269">
        <f t="shared" ref="H68:H70" si="29">G68/B68</f>
        <v>0</v>
      </c>
      <c r="I68" s="271">
        <v>0</v>
      </c>
      <c r="J68" s="269">
        <f t="shared" ref="J68:J70" si="30">I68/B68</f>
        <v>0</v>
      </c>
      <c r="K68" s="271">
        <v>0</v>
      </c>
      <c r="L68" s="269">
        <f t="shared" ref="L68:L70" si="31">K68/B68</f>
        <v>0</v>
      </c>
      <c r="M68" s="271">
        <v>0</v>
      </c>
      <c r="N68" s="269">
        <f t="shared" ref="N68:N70" si="32">M68/B68</f>
        <v>0</v>
      </c>
      <c r="O68" s="271">
        <v>0</v>
      </c>
      <c r="P68" s="269">
        <f t="shared" ref="P68:P70" si="33">O68/B68</f>
        <v>0</v>
      </c>
      <c r="Q68" s="271">
        <v>0</v>
      </c>
      <c r="R68" s="269">
        <f t="shared" ref="R68:R70" si="34">Q68/B68</f>
        <v>0</v>
      </c>
      <c r="S68" s="271">
        <v>0</v>
      </c>
      <c r="T68" s="270">
        <f t="shared" ref="T68:T70" si="35">S68/B68</f>
        <v>0</v>
      </c>
      <c r="U68" s="272">
        <f t="shared" si="17"/>
        <v>1</v>
      </c>
    </row>
    <row r="69" spans="1:21" ht="14.25" x14ac:dyDescent="0.2">
      <c r="A69" s="260">
        <f>'2020-21'!A83</f>
        <v>0</v>
      </c>
      <c r="B69" s="261">
        <f>'2020-21'!C83</f>
        <v>0</v>
      </c>
      <c r="C69" s="273">
        <v>0</v>
      </c>
      <c r="D69" s="269" t="e">
        <f t="shared" si="27"/>
        <v>#DIV/0!</v>
      </c>
      <c r="E69" s="274">
        <v>0</v>
      </c>
      <c r="F69" s="269" t="e">
        <f t="shared" si="28"/>
        <v>#DIV/0!</v>
      </c>
      <c r="G69" s="274">
        <v>0</v>
      </c>
      <c r="H69" s="269" t="e">
        <f t="shared" si="29"/>
        <v>#DIV/0!</v>
      </c>
      <c r="I69" s="274">
        <v>0</v>
      </c>
      <c r="J69" s="269" t="e">
        <f t="shared" si="30"/>
        <v>#DIV/0!</v>
      </c>
      <c r="K69" s="274">
        <v>0</v>
      </c>
      <c r="L69" s="269" t="e">
        <f t="shared" si="31"/>
        <v>#DIV/0!</v>
      </c>
      <c r="M69" s="274">
        <v>0</v>
      </c>
      <c r="N69" s="269" t="e">
        <f t="shared" si="32"/>
        <v>#DIV/0!</v>
      </c>
      <c r="O69" s="274">
        <v>0</v>
      </c>
      <c r="P69" s="269" t="e">
        <f t="shared" si="33"/>
        <v>#DIV/0!</v>
      </c>
      <c r="Q69" s="274">
        <v>0</v>
      </c>
      <c r="R69" s="269" t="e">
        <f t="shared" si="34"/>
        <v>#DIV/0!</v>
      </c>
      <c r="S69" s="274">
        <v>0</v>
      </c>
      <c r="T69" s="270" t="e">
        <f t="shared" si="35"/>
        <v>#DIV/0!</v>
      </c>
      <c r="U69" s="272">
        <f t="shared" ref="U69:U70" si="36">B69-C69-E69-G69-I69-K69-M69-O69-Q69-S69</f>
        <v>0</v>
      </c>
    </row>
    <row r="70" spans="1:21" ht="14.25" x14ac:dyDescent="0.2">
      <c r="A70" s="254">
        <f>'2020-21'!A84</f>
        <v>0</v>
      </c>
      <c r="B70" s="251">
        <v>1</v>
      </c>
      <c r="C70" s="268">
        <v>0</v>
      </c>
      <c r="D70" s="265">
        <f t="shared" si="27"/>
        <v>0</v>
      </c>
      <c r="E70" s="271">
        <v>0</v>
      </c>
      <c r="F70" s="269">
        <f t="shared" si="28"/>
        <v>0</v>
      </c>
      <c r="G70" s="271">
        <v>0</v>
      </c>
      <c r="H70" s="269">
        <f t="shared" si="29"/>
        <v>0</v>
      </c>
      <c r="I70" s="271">
        <v>0</v>
      </c>
      <c r="J70" s="269">
        <f t="shared" si="30"/>
        <v>0</v>
      </c>
      <c r="K70" s="271">
        <v>0</v>
      </c>
      <c r="L70" s="269">
        <f t="shared" si="31"/>
        <v>0</v>
      </c>
      <c r="M70" s="271">
        <v>0</v>
      </c>
      <c r="N70" s="269">
        <f t="shared" si="32"/>
        <v>0</v>
      </c>
      <c r="O70" s="271">
        <v>0</v>
      </c>
      <c r="P70" s="269">
        <f t="shared" si="33"/>
        <v>0</v>
      </c>
      <c r="Q70" s="271">
        <v>0</v>
      </c>
      <c r="R70" s="269">
        <f t="shared" si="34"/>
        <v>0</v>
      </c>
      <c r="S70" s="271">
        <v>0</v>
      </c>
      <c r="T70" s="270">
        <f t="shared" si="35"/>
        <v>0</v>
      </c>
      <c r="U70" s="272">
        <f t="shared" si="36"/>
        <v>1</v>
      </c>
    </row>
    <row r="71" spans="1:21" ht="14.25" x14ac:dyDescent="0.2">
      <c r="A71" s="260"/>
      <c r="B71" s="261"/>
      <c r="C71" s="268"/>
      <c r="D71" s="269"/>
      <c r="E71" s="274"/>
      <c r="F71" s="269"/>
      <c r="G71" s="274"/>
      <c r="H71" s="269"/>
      <c r="I71" s="274"/>
      <c r="J71" s="269"/>
      <c r="K71" s="274"/>
      <c r="L71" s="269"/>
      <c r="M71" s="274"/>
      <c r="N71" s="269"/>
      <c r="O71" s="274"/>
      <c r="P71" s="269"/>
      <c r="Q71" s="274"/>
      <c r="R71" s="269"/>
      <c r="S71" s="274"/>
      <c r="T71" s="270"/>
      <c r="U71" s="272"/>
    </row>
    <row r="72" spans="1:21" ht="14.25" x14ac:dyDescent="0.2">
      <c r="A72" s="254"/>
      <c r="B72" s="251"/>
      <c r="C72" s="273"/>
      <c r="D72" s="265"/>
      <c r="E72" s="271"/>
      <c r="F72" s="269"/>
      <c r="G72" s="271"/>
      <c r="H72" s="269"/>
      <c r="I72" s="271"/>
      <c r="J72" s="269"/>
      <c r="K72" s="271"/>
      <c r="L72" s="269"/>
      <c r="M72" s="271"/>
      <c r="N72" s="269"/>
      <c r="O72" s="271"/>
      <c r="P72" s="269"/>
      <c r="Q72" s="271"/>
      <c r="R72" s="269"/>
      <c r="S72" s="271"/>
      <c r="T72" s="270"/>
      <c r="U72" s="272"/>
    </row>
    <row r="73" spans="1:21" ht="14.25" x14ac:dyDescent="0.2">
      <c r="D73"/>
      <c r="F73"/>
      <c r="H73"/>
      <c r="J73"/>
      <c r="L73"/>
      <c r="N73"/>
      <c r="P73"/>
      <c r="R73"/>
      <c r="T73"/>
    </row>
    <row r="74" spans="1:21" ht="14.25" x14ac:dyDescent="0.2">
      <c r="D74"/>
      <c r="F74"/>
      <c r="H74"/>
      <c r="J74"/>
      <c r="L74"/>
      <c r="N74"/>
      <c r="P74"/>
      <c r="R74"/>
      <c r="T74"/>
    </row>
    <row r="75" spans="1:21" ht="14.25" x14ac:dyDescent="0.2">
      <c r="D75"/>
      <c r="F75"/>
      <c r="H75"/>
      <c r="J75"/>
      <c r="L75"/>
      <c r="N75"/>
      <c r="P75"/>
      <c r="R75"/>
      <c r="T75"/>
    </row>
    <row r="76" spans="1:21" ht="14.25" x14ac:dyDescent="0.2">
      <c r="F76"/>
      <c r="H76"/>
      <c r="J76"/>
      <c r="L76"/>
      <c r="N76"/>
      <c r="P76"/>
      <c r="R76"/>
      <c r="T76"/>
    </row>
    <row r="77" spans="1:21" ht="14.25" x14ac:dyDescent="0.2">
      <c r="F77"/>
      <c r="H77"/>
      <c r="J77"/>
      <c r="L77"/>
      <c r="N77"/>
      <c r="P77"/>
      <c r="R77"/>
      <c r="T77"/>
    </row>
    <row r="78" spans="1:21" ht="14.25" x14ac:dyDescent="0.2">
      <c r="F78"/>
      <c r="H78"/>
      <c r="J78"/>
      <c r="L78"/>
      <c r="N78"/>
      <c r="P78"/>
      <c r="R78"/>
      <c r="T78"/>
    </row>
    <row r="79" spans="1:21" ht="14.25" x14ac:dyDescent="0.2">
      <c r="F79"/>
      <c r="H79"/>
      <c r="J79"/>
      <c r="L79"/>
      <c r="N79"/>
      <c r="P79"/>
      <c r="R79"/>
      <c r="T79"/>
    </row>
    <row r="80" spans="1:21" ht="14.25" x14ac:dyDescent="0.2">
      <c r="F80"/>
      <c r="H80"/>
      <c r="J80"/>
      <c r="L80"/>
      <c r="N80"/>
      <c r="P80"/>
      <c r="R80"/>
      <c r="T80"/>
    </row>
    <row r="81" spans="4:20" ht="14.25" x14ac:dyDescent="0.2">
      <c r="F81"/>
      <c r="H81"/>
      <c r="J81"/>
      <c r="L81"/>
      <c r="N81"/>
      <c r="P81"/>
      <c r="R81"/>
      <c r="T81"/>
    </row>
    <row r="82" spans="4:20" ht="14.25" x14ac:dyDescent="0.2">
      <c r="F82"/>
      <c r="H82"/>
      <c r="J82"/>
      <c r="L82"/>
      <c r="N82"/>
      <c r="P82"/>
      <c r="R82"/>
      <c r="T82"/>
    </row>
    <row r="83" spans="4:20" ht="14.25" x14ac:dyDescent="0.2">
      <c r="F83"/>
      <c r="H83"/>
      <c r="J83"/>
      <c r="L83"/>
      <c r="N83"/>
      <c r="P83"/>
      <c r="R83"/>
      <c r="T83"/>
    </row>
    <row r="84" spans="4:20" ht="14.25" x14ac:dyDescent="0.2">
      <c r="F84"/>
      <c r="H84"/>
      <c r="J84"/>
      <c r="L84"/>
      <c r="N84"/>
      <c r="P84"/>
      <c r="R84"/>
      <c r="T84"/>
    </row>
    <row r="85" spans="4:20" ht="14.25" x14ac:dyDescent="0.2">
      <c r="F85"/>
      <c r="H85"/>
      <c r="J85"/>
      <c r="L85"/>
      <c r="N85"/>
      <c r="P85"/>
      <c r="R85"/>
      <c r="T85"/>
    </row>
    <row r="86" spans="4:20" ht="14.25" x14ac:dyDescent="0.2">
      <c r="F86"/>
      <c r="H86"/>
      <c r="J86"/>
      <c r="L86"/>
      <c r="N86"/>
      <c r="P86"/>
      <c r="R86"/>
      <c r="T86"/>
    </row>
    <row r="87" spans="4:20" ht="14.25" x14ac:dyDescent="0.2">
      <c r="F87"/>
      <c r="H87"/>
      <c r="J87"/>
      <c r="L87"/>
      <c r="N87"/>
      <c r="P87"/>
      <c r="R87"/>
      <c r="T87"/>
    </row>
    <row r="88" spans="4:20" ht="14.25" x14ac:dyDescent="0.2">
      <c r="F88"/>
      <c r="H88"/>
      <c r="J88"/>
      <c r="L88"/>
      <c r="N88"/>
      <c r="P88"/>
      <c r="R88"/>
      <c r="T88"/>
    </row>
    <row r="89" spans="4:20" ht="14.25" x14ac:dyDescent="0.2">
      <c r="F89"/>
      <c r="H89"/>
      <c r="J89"/>
      <c r="L89"/>
      <c r="N89"/>
      <c r="P89"/>
      <c r="R89"/>
      <c r="T89"/>
    </row>
    <row r="90" spans="4:20" ht="14.25" x14ac:dyDescent="0.2">
      <c r="F90"/>
      <c r="H90"/>
      <c r="J90"/>
      <c r="L90"/>
      <c r="N90"/>
      <c r="P90"/>
      <c r="R90"/>
      <c r="T90"/>
    </row>
    <row r="91" spans="4:20" ht="14.25" x14ac:dyDescent="0.2">
      <c r="F91"/>
      <c r="H91"/>
      <c r="J91"/>
      <c r="L91"/>
      <c r="N91"/>
      <c r="P91"/>
      <c r="R91"/>
      <c r="T91"/>
    </row>
    <row r="92" spans="4:20" ht="14.25" x14ac:dyDescent="0.2">
      <c r="F92"/>
      <c r="H92"/>
      <c r="J92"/>
      <c r="L92"/>
      <c r="N92"/>
      <c r="P92"/>
      <c r="R92"/>
      <c r="T92"/>
    </row>
    <row r="93" spans="4:20" ht="14.25" x14ac:dyDescent="0.2">
      <c r="F93"/>
      <c r="H93"/>
      <c r="J93"/>
      <c r="L93"/>
      <c r="N93"/>
      <c r="P93"/>
      <c r="R93"/>
      <c r="T93"/>
    </row>
    <row r="94" spans="4:20" ht="14.25" x14ac:dyDescent="0.2">
      <c r="F94"/>
      <c r="H94"/>
      <c r="J94"/>
      <c r="L94"/>
      <c r="N94"/>
      <c r="P94"/>
      <c r="R94"/>
      <c r="T94"/>
    </row>
    <row r="95" spans="4:20" ht="14.25" x14ac:dyDescent="0.2">
      <c r="F95"/>
      <c r="H95"/>
      <c r="J95"/>
      <c r="L95"/>
      <c r="N95"/>
      <c r="P95"/>
      <c r="R95"/>
      <c r="T95"/>
    </row>
    <row r="96" spans="4:20" ht="14.25" x14ac:dyDescent="0.2">
      <c r="D96"/>
      <c r="F96"/>
      <c r="H96"/>
      <c r="J96"/>
      <c r="L96"/>
      <c r="N96"/>
      <c r="P96"/>
      <c r="R96"/>
      <c r="T96"/>
    </row>
    <row r="97" customFormat="1" ht="14.25" x14ac:dyDescent="0.2"/>
    <row r="98" customFormat="1" ht="14.25" x14ac:dyDescent="0.2"/>
    <row r="99" customFormat="1" ht="14.25" x14ac:dyDescent="0.2"/>
    <row r="100" customFormat="1" ht="14.25" x14ac:dyDescent="0.2"/>
    <row r="101" customFormat="1" ht="14.25" x14ac:dyDescent="0.2"/>
    <row r="102" customFormat="1" ht="14.25" x14ac:dyDescent="0.2"/>
    <row r="103" customFormat="1" ht="14.25" x14ac:dyDescent="0.2"/>
    <row r="104" customFormat="1" ht="14.25" x14ac:dyDescent="0.2"/>
    <row r="105" customFormat="1" ht="14.25" x14ac:dyDescent="0.2"/>
    <row r="106" customFormat="1" ht="14.25" x14ac:dyDescent="0.2"/>
    <row r="107" customFormat="1" ht="14.25" x14ac:dyDescent="0.2"/>
    <row r="108" customFormat="1" ht="14.25" x14ac:dyDescent="0.2"/>
    <row r="109" customFormat="1" ht="14.25" x14ac:dyDescent="0.2"/>
    <row r="110" customFormat="1" ht="14.25" x14ac:dyDescent="0.2"/>
    <row r="111" customFormat="1" ht="14.25" x14ac:dyDescent="0.2"/>
    <row r="112" customFormat="1" ht="14.25" x14ac:dyDescent="0.2"/>
    <row r="113" customFormat="1" ht="14.25" x14ac:dyDescent="0.2"/>
    <row r="114" customFormat="1" ht="14.25" x14ac:dyDescent="0.2"/>
    <row r="115" customFormat="1" ht="14.25" x14ac:dyDescent="0.2"/>
    <row r="116" customFormat="1" ht="14.25" x14ac:dyDescent="0.2"/>
    <row r="117" customFormat="1" ht="14.25" x14ac:dyDescent="0.2"/>
    <row r="118" customFormat="1" ht="14.25" x14ac:dyDescent="0.2"/>
    <row r="119" customFormat="1" ht="14.25" x14ac:dyDescent="0.2"/>
    <row r="120" customFormat="1" ht="14.25" x14ac:dyDescent="0.2"/>
    <row r="121" customFormat="1" ht="14.25" x14ac:dyDescent="0.2"/>
    <row r="122" customFormat="1" ht="14.25" x14ac:dyDescent="0.2"/>
    <row r="123" customFormat="1" ht="14.25" x14ac:dyDescent="0.2"/>
    <row r="124" customFormat="1" ht="14.25" x14ac:dyDescent="0.2"/>
    <row r="125" customFormat="1" ht="14.25" x14ac:dyDescent="0.2"/>
    <row r="126" customFormat="1" ht="14.25" x14ac:dyDescent="0.2"/>
    <row r="127" customFormat="1" ht="14.25" x14ac:dyDescent="0.2"/>
    <row r="128" customFormat="1" ht="14.25" x14ac:dyDescent="0.2"/>
    <row r="129" customFormat="1" ht="14.25" x14ac:dyDescent="0.2"/>
    <row r="130" customFormat="1" ht="14.25" x14ac:dyDescent="0.2"/>
    <row r="131" customFormat="1" ht="14.25" x14ac:dyDescent="0.2"/>
    <row r="132" customFormat="1" ht="14.25" x14ac:dyDescent="0.2"/>
    <row r="133" customFormat="1" ht="14.25" x14ac:dyDescent="0.2"/>
    <row r="134" customFormat="1" ht="14.25" x14ac:dyDescent="0.2"/>
    <row r="135" customFormat="1" ht="14.25" x14ac:dyDescent="0.2"/>
    <row r="136" customFormat="1" ht="14.25" x14ac:dyDescent="0.2"/>
    <row r="137" customFormat="1" ht="14.25" x14ac:dyDescent="0.2"/>
    <row r="138" customFormat="1" ht="14.25" x14ac:dyDescent="0.2"/>
    <row r="139" customFormat="1" ht="14.25" x14ac:dyDescent="0.2"/>
    <row r="140" customFormat="1" ht="14.25" x14ac:dyDescent="0.2"/>
    <row r="141" customFormat="1" ht="14.25" x14ac:dyDescent="0.2"/>
    <row r="142" customFormat="1" ht="14.25" x14ac:dyDescent="0.2"/>
    <row r="143" customFormat="1" ht="14.25" x14ac:dyDescent="0.2"/>
    <row r="144" customFormat="1" ht="14.25" x14ac:dyDescent="0.2"/>
    <row r="145" customFormat="1" ht="14.25" x14ac:dyDescent="0.2"/>
    <row r="146" customFormat="1" ht="14.25" x14ac:dyDescent="0.2"/>
    <row r="147" customFormat="1" ht="14.25" x14ac:dyDescent="0.2"/>
    <row r="148" customFormat="1" ht="14.25" x14ac:dyDescent="0.2"/>
    <row r="149" customFormat="1" ht="14.25" x14ac:dyDescent="0.2"/>
    <row r="150" customFormat="1" ht="14.25" x14ac:dyDescent="0.2"/>
    <row r="151" customFormat="1" ht="14.25" x14ac:dyDescent="0.2"/>
    <row r="152" customFormat="1" ht="14.25" x14ac:dyDescent="0.2"/>
    <row r="153" customFormat="1" ht="14.25" x14ac:dyDescent="0.2"/>
    <row r="154" customFormat="1" ht="14.25" x14ac:dyDescent="0.2"/>
    <row r="155" customFormat="1" ht="14.25" x14ac:dyDescent="0.2"/>
    <row r="156" customFormat="1" ht="14.25" x14ac:dyDescent="0.2"/>
    <row r="157" customFormat="1" ht="14.25" x14ac:dyDescent="0.2"/>
    <row r="158" customFormat="1" ht="14.25" x14ac:dyDescent="0.2"/>
    <row r="159" customFormat="1" ht="14.25" x14ac:dyDescent="0.2"/>
    <row r="160" customFormat="1" ht="14.25" x14ac:dyDescent="0.2"/>
    <row r="161" customFormat="1" ht="14.25" x14ac:dyDescent="0.2"/>
    <row r="162" customFormat="1" ht="14.25" x14ac:dyDescent="0.2"/>
    <row r="163" customFormat="1" ht="14.25" x14ac:dyDescent="0.2"/>
    <row r="164" customFormat="1" ht="14.25" x14ac:dyDescent="0.2"/>
    <row r="165" customFormat="1" ht="14.25" x14ac:dyDescent="0.2"/>
    <row r="166" customFormat="1" ht="14.25" x14ac:dyDescent="0.2"/>
    <row r="167" customFormat="1" ht="14.25" x14ac:dyDescent="0.2"/>
    <row r="168" customFormat="1" ht="14.25" x14ac:dyDescent="0.2"/>
    <row r="169" customFormat="1" ht="14.25" x14ac:dyDescent="0.2"/>
    <row r="170" customFormat="1" ht="14.25" x14ac:dyDescent="0.2"/>
    <row r="171" customFormat="1" ht="14.25" x14ac:dyDescent="0.2"/>
    <row r="172" customFormat="1" ht="14.25" x14ac:dyDescent="0.2"/>
    <row r="173" customFormat="1" ht="14.25" x14ac:dyDescent="0.2"/>
    <row r="174" customFormat="1" ht="14.25" x14ac:dyDescent="0.2"/>
    <row r="175" customFormat="1" ht="14.25" x14ac:dyDescent="0.2"/>
    <row r="176" customFormat="1" ht="14.25" x14ac:dyDescent="0.2"/>
    <row r="177" customFormat="1" ht="14.25" x14ac:dyDescent="0.2"/>
    <row r="178" customFormat="1" ht="14.25" x14ac:dyDescent="0.2"/>
    <row r="179" customFormat="1" ht="14.25" x14ac:dyDescent="0.2"/>
    <row r="180" customFormat="1" ht="14.25" x14ac:dyDescent="0.2"/>
    <row r="181" customFormat="1" ht="14.25" x14ac:dyDescent="0.2"/>
    <row r="182" customFormat="1" ht="14.25" x14ac:dyDescent="0.2"/>
    <row r="183" customFormat="1" ht="14.25" x14ac:dyDescent="0.2"/>
    <row r="184" customFormat="1" ht="14.25" x14ac:dyDescent="0.2"/>
    <row r="185" customFormat="1" ht="14.25" x14ac:dyDescent="0.2"/>
    <row r="186" customFormat="1" ht="14.25" x14ac:dyDescent="0.2"/>
    <row r="187" customFormat="1" ht="14.25" x14ac:dyDescent="0.2"/>
    <row r="188" customFormat="1" ht="14.25" x14ac:dyDescent="0.2"/>
    <row r="189" customFormat="1" ht="14.25" x14ac:dyDescent="0.2"/>
    <row r="190" customFormat="1" ht="14.25" x14ac:dyDescent="0.2"/>
    <row r="191" customFormat="1" ht="14.25" x14ac:dyDescent="0.2"/>
    <row r="192" customFormat="1" ht="14.25" x14ac:dyDescent="0.2"/>
    <row r="193" customFormat="1" ht="14.25" x14ac:dyDescent="0.2"/>
    <row r="194" customFormat="1" ht="14.25" x14ac:dyDescent="0.2"/>
    <row r="195" customFormat="1" ht="14.25" x14ac:dyDescent="0.2"/>
    <row r="196" customFormat="1" ht="14.25" x14ac:dyDescent="0.2"/>
    <row r="197" customFormat="1" ht="14.25" x14ac:dyDescent="0.2"/>
    <row r="198" customFormat="1" ht="14.25" x14ac:dyDescent="0.2"/>
    <row r="199" customFormat="1" ht="14.25" x14ac:dyDescent="0.2"/>
    <row r="200" customFormat="1" ht="14.25" x14ac:dyDescent="0.2"/>
    <row r="201" customFormat="1" ht="14.25" x14ac:dyDescent="0.2"/>
    <row r="202" customFormat="1" ht="14.25" x14ac:dyDescent="0.2"/>
    <row r="203" customFormat="1" ht="14.25" x14ac:dyDescent="0.2"/>
    <row r="204" customFormat="1" ht="14.25" x14ac:dyDescent="0.2"/>
    <row r="205" customFormat="1" ht="14.25" x14ac:dyDescent="0.2"/>
    <row r="206" customFormat="1" ht="14.25" x14ac:dyDescent="0.2"/>
    <row r="207" customFormat="1" ht="14.25" x14ac:dyDescent="0.2"/>
    <row r="208" customFormat="1" ht="14.25" x14ac:dyDescent="0.2"/>
    <row r="209" customFormat="1" ht="14.25" x14ac:dyDescent="0.2"/>
    <row r="210" customFormat="1" ht="14.25" x14ac:dyDescent="0.2"/>
    <row r="211" customFormat="1" ht="14.25" x14ac:dyDescent="0.2"/>
    <row r="212" customFormat="1" ht="14.25" x14ac:dyDescent="0.2"/>
    <row r="213" customFormat="1" ht="14.25" x14ac:dyDescent="0.2"/>
    <row r="214" customFormat="1" ht="14.25" x14ac:dyDescent="0.2"/>
    <row r="215" customFormat="1" ht="14.25" x14ac:dyDescent="0.2"/>
    <row r="216" customFormat="1" ht="14.25" x14ac:dyDescent="0.2"/>
    <row r="217" customFormat="1" ht="14.25" x14ac:dyDescent="0.2"/>
    <row r="218" customFormat="1" ht="14.25" x14ac:dyDescent="0.2"/>
    <row r="219" customFormat="1" ht="14.25" x14ac:dyDescent="0.2"/>
    <row r="220" customFormat="1" ht="14.25" x14ac:dyDescent="0.2"/>
    <row r="221" customFormat="1" ht="14.25" x14ac:dyDescent="0.2"/>
    <row r="222" customFormat="1" ht="14.25" x14ac:dyDescent="0.2"/>
    <row r="223" customFormat="1" ht="14.25" x14ac:dyDescent="0.2"/>
    <row r="224" customFormat="1" ht="14.25" x14ac:dyDescent="0.2"/>
    <row r="225" customFormat="1" ht="14.25" x14ac:dyDescent="0.2"/>
    <row r="226" customFormat="1" ht="14.25" x14ac:dyDescent="0.2"/>
    <row r="227" customFormat="1" ht="14.25" x14ac:dyDescent="0.2"/>
    <row r="228" customFormat="1" ht="14.25" x14ac:dyDescent="0.2"/>
    <row r="229" customFormat="1" ht="14.25" x14ac:dyDescent="0.2"/>
    <row r="230" customFormat="1" ht="14.25" x14ac:dyDescent="0.2"/>
    <row r="231" customFormat="1" ht="14.25" x14ac:dyDescent="0.2"/>
    <row r="232" customFormat="1" ht="14.25" x14ac:dyDescent="0.2"/>
    <row r="233" customFormat="1" ht="14.25" x14ac:dyDescent="0.2"/>
    <row r="234" customFormat="1" ht="14.25" x14ac:dyDescent="0.2"/>
    <row r="235" customFormat="1" ht="14.25" x14ac:dyDescent="0.2"/>
    <row r="236" customFormat="1" ht="14.25" x14ac:dyDescent="0.2"/>
    <row r="237" customFormat="1" ht="14.25" x14ac:dyDescent="0.2"/>
    <row r="238" customFormat="1" ht="14.25" x14ac:dyDescent="0.2"/>
    <row r="239" customFormat="1" ht="14.25" x14ac:dyDescent="0.2"/>
    <row r="240" customFormat="1" ht="14.25" x14ac:dyDescent="0.2"/>
    <row r="241" customFormat="1" ht="14.25" x14ac:dyDescent="0.2"/>
    <row r="242" customFormat="1" ht="14.25" x14ac:dyDescent="0.2"/>
    <row r="243" customFormat="1" ht="14.25" x14ac:dyDescent="0.2"/>
    <row r="244" customFormat="1" ht="14.25" x14ac:dyDescent="0.2"/>
    <row r="245" customFormat="1" ht="14.25" x14ac:dyDescent="0.2"/>
    <row r="246" customFormat="1" ht="14.25" x14ac:dyDescent="0.2"/>
    <row r="247" customFormat="1" ht="14.25" x14ac:dyDescent="0.2"/>
    <row r="248" customFormat="1" ht="14.25" x14ac:dyDescent="0.2"/>
    <row r="249" customFormat="1" ht="14.25" x14ac:dyDescent="0.2"/>
    <row r="250" customFormat="1" ht="14.25" x14ac:dyDescent="0.2"/>
    <row r="251" customFormat="1" ht="14.25" x14ac:dyDescent="0.2"/>
    <row r="252" customFormat="1" ht="14.25" x14ac:dyDescent="0.2"/>
    <row r="253" customFormat="1" ht="14.25" x14ac:dyDescent="0.2"/>
    <row r="254" customFormat="1" ht="14.25" x14ac:dyDescent="0.2"/>
    <row r="255" customFormat="1" ht="14.25" x14ac:dyDescent="0.2"/>
    <row r="256" customFormat="1" ht="14.25" x14ac:dyDescent="0.2"/>
    <row r="257" customFormat="1" ht="14.25" x14ac:dyDescent="0.2"/>
    <row r="258" customFormat="1" ht="14.25" x14ac:dyDescent="0.2"/>
    <row r="259" customFormat="1" ht="14.25" x14ac:dyDescent="0.2"/>
    <row r="260" customFormat="1" ht="14.25" x14ac:dyDescent="0.2"/>
    <row r="261" customFormat="1" ht="14.25" x14ac:dyDescent="0.2"/>
    <row r="262" customFormat="1" ht="14.25" x14ac:dyDescent="0.2"/>
    <row r="263" customFormat="1" ht="14.25" x14ac:dyDescent="0.2"/>
    <row r="264" customFormat="1" ht="14.25" x14ac:dyDescent="0.2"/>
    <row r="265" customFormat="1" ht="14.25" x14ac:dyDescent="0.2"/>
    <row r="266" customFormat="1" ht="14.25" x14ac:dyDescent="0.2"/>
    <row r="267" customFormat="1" ht="14.25" x14ac:dyDescent="0.2"/>
    <row r="268" customFormat="1" ht="14.25" x14ac:dyDescent="0.2"/>
    <row r="269" customFormat="1" ht="14.25" x14ac:dyDescent="0.2"/>
    <row r="270" customFormat="1" ht="14.25" x14ac:dyDescent="0.2"/>
    <row r="271" customFormat="1" ht="14.25" x14ac:dyDescent="0.2"/>
    <row r="272" customFormat="1" ht="14.25" x14ac:dyDescent="0.2"/>
    <row r="273" customFormat="1" ht="14.25" x14ac:dyDescent="0.2"/>
    <row r="274" customFormat="1" ht="14.25" x14ac:dyDescent="0.2"/>
    <row r="275" customFormat="1" ht="14.25" x14ac:dyDescent="0.2"/>
    <row r="276" customFormat="1" ht="14.25" x14ac:dyDescent="0.2"/>
    <row r="277" customFormat="1" ht="14.25" x14ac:dyDescent="0.2"/>
    <row r="278" customFormat="1" ht="14.25" x14ac:dyDescent="0.2"/>
    <row r="279" customFormat="1" ht="14.25" x14ac:dyDescent="0.2"/>
    <row r="280" customFormat="1" ht="14.25" x14ac:dyDescent="0.2"/>
    <row r="281" customFormat="1" ht="14.25" x14ac:dyDescent="0.2"/>
    <row r="282" customFormat="1" ht="14.25" x14ac:dyDescent="0.2"/>
    <row r="283" customFormat="1" ht="14.25" x14ac:dyDescent="0.2"/>
    <row r="284" customFormat="1" ht="14.25" x14ac:dyDescent="0.2"/>
    <row r="285" customFormat="1" ht="14.25" x14ac:dyDescent="0.2"/>
    <row r="286" customFormat="1" ht="14.25" x14ac:dyDescent="0.2"/>
    <row r="287" customFormat="1" ht="14.25" x14ac:dyDescent="0.2"/>
    <row r="288" customFormat="1" ht="14.25" x14ac:dyDescent="0.2"/>
    <row r="289" customFormat="1" ht="14.25" x14ac:dyDescent="0.2"/>
    <row r="290" customFormat="1" ht="14.25" x14ac:dyDescent="0.2"/>
    <row r="291" customFormat="1" ht="14.25" x14ac:dyDescent="0.2"/>
    <row r="292" customFormat="1" ht="14.25" x14ac:dyDescent="0.2"/>
    <row r="293" customFormat="1" ht="14.25" x14ac:dyDescent="0.2"/>
    <row r="294" customFormat="1" ht="14.25" x14ac:dyDescent="0.2"/>
    <row r="295" customFormat="1" ht="14.25" x14ac:dyDescent="0.2"/>
    <row r="296" customFormat="1" ht="14.25" x14ac:dyDescent="0.2"/>
    <row r="297" customFormat="1" ht="14.25" x14ac:dyDescent="0.2"/>
    <row r="298" customFormat="1" ht="14.25" x14ac:dyDescent="0.2"/>
    <row r="299" customFormat="1" ht="14.25" x14ac:dyDescent="0.2"/>
    <row r="300" customFormat="1" ht="14.25" x14ac:dyDescent="0.2"/>
    <row r="301" customFormat="1" ht="14.25" x14ac:dyDescent="0.2"/>
    <row r="302" customFormat="1" ht="14.25" x14ac:dyDescent="0.2"/>
    <row r="303" customFormat="1" ht="14.25" x14ac:dyDescent="0.2"/>
    <row r="304" customFormat="1" ht="14.25" x14ac:dyDescent="0.2"/>
    <row r="305" customFormat="1" ht="14.25" x14ac:dyDescent="0.2"/>
    <row r="306" customFormat="1" ht="14.25" x14ac:dyDescent="0.2"/>
    <row r="307" customFormat="1" ht="14.25" x14ac:dyDescent="0.2"/>
    <row r="308" customFormat="1" ht="14.25" x14ac:dyDescent="0.2"/>
    <row r="309" customFormat="1" ht="14.25" x14ac:dyDescent="0.2"/>
    <row r="310" customFormat="1" ht="14.25" x14ac:dyDescent="0.2"/>
    <row r="311" customFormat="1" ht="14.25" x14ac:dyDescent="0.2"/>
    <row r="312" customFormat="1" ht="14.25" x14ac:dyDescent="0.2"/>
    <row r="313" customFormat="1" ht="14.25" x14ac:dyDescent="0.2"/>
    <row r="314" customFormat="1" ht="14.25" x14ac:dyDescent="0.2"/>
    <row r="315" customFormat="1" ht="14.25" x14ac:dyDescent="0.2"/>
    <row r="316" customFormat="1" ht="14.25" x14ac:dyDescent="0.2"/>
    <row r="317" customFormat="1" ht="14.25" x14ac:dyDescent="0.2"/>
    <row r="318" customFormat="1" ht="14.25" x14ac:dyDescent="0.2"/>
    <row r="319" customFormat="1" ht="14.25" x14ac:dyDescent="0.2"/>
    <row r="320" customFormat="1" ht="14.25" x14ac:dyDescent="0.2"/>
    <row r="321" customFormat="1" ht="14.25" x14ac:dyDescent="0.2"/>
    <row r="322" customFormat="1" ht="14.25" x14ac:dyDescent="0.2"/>
    <row r="323" customFormat="1" ht="14.25" x14ac:dyDescent="0.2"/>
    <row r="324" customFormat="1" ht="14.25" x14ac:dyDescent="0.2"/>
    <row r="325" customFormat="1" ht="14.25" x14ac:dyDescent="0.2"/>
    <row r="326" customFormat="1" ht="14.25" x14ac:dyDescent="0.2"/>
    <row r="327" customFormat="1" ht="14.25" x14ac:dyDescent="0.2"/>
    <row r="328" customFormat="1" ht="14.25" x14ac:dyDescent="0.2"/>
    <row r="329" customFormat="1" ht="14.25" x14ac:dyDescent="0.2"/>
    <row r="330" customFormat="1" ht="14.25" x14ac:dyDescent="0.2"/>
    <row r="331" customFormat="1" ht="14.25" x14ac:dyDescent="0.2"/>
    <row r="332" customFormat="1" ht="14.25" x14ac:dyDescent="0.2"/>
    <row r="333" customFormat="1" ht="14.25" x14ac:dyDescent="0.2"/>
    <row r="334" customFormat="1" ht="14.25" x14ac:dyDescent="0.2"/>
    <row r="335" customFormat="1" ht="14.25" x14ac:dyDescent="0.2"/>
    <row r="336" customFormat="1" ht="14.25" x14ac:dyDescent="0.2"/>
    <row r="337" customFormat="1" ht="14.25" x14ac:dyDescent="0.2"/>
    <row r="338" customFormat="1" ht="14.25" x14ac:dyDescent="0.2"/>
    <row r="339" customFormat="1" ht="14.25" x14ac:dyDescent="0.2"/>
    <row r="340" customFormat="1" ht="14.25" x14ac:dyDescent="0.2"/>
    <row r="341" customFormat="1" ht="14.25" x14ac:dyDescent="0.2"/>
    <row r="342" customFormat="1" ht="14.25" x14ac:dyDescent="0.2"/>
    <row r="343" customFormat="1" ht="14.25" x14ac:dyDescent="0.2"/>
    <row r="344" customFormat="1" ht="14.25" x14ac:dyDescent="0.2"/>
    <row r="345" customFormat="1" ht="14.25" x14ac:dyDescent="0.2"/>
    <row r="346" customFormat="1" ht="14.25" x14ac:dyDescent="0.2"/>
    <row r="347" customFormat="1" ht="14.25" x14ac:dyDescent="0.2"/>
    <row r="348" customFormat="1" ht="14.25" x14ac:dyDescent="0.2"/>
    <row r="349" customFormat="1" ht="14.25" x14ac:dyDescent="0.2"/>
    <row r="350" customFormat="1" ht="14.25" x14ac:dyDescent="0.2"/>
    <row r="351" customFormat="1" ht="14.25" x14ac:dyDescent="0.2"/>
    <row r="352" customFormat="1" ht="14.25" x14ac:dyDescent="0.2"/>
    <row r="353" customFormat="1" ht="14.25" x14ac:dyDescent="0.2"/>
    <row r="354" customFormat="1" ht="14.25" x14ac:dyDescent="0.2"/>
    <row r="355" customFormat="1" ht="14.25" x14ac:dyDescent="0.2"/>
    <row r="356" customFormat="1" ht="14.25" x14ac:dyDescent="0.2"/>
    <row r="357" customFormat="1" ht="14.25" x14ac:dyDescent="0.2"/>
    <row r="358" customFormat="1" ht="14.25" x14ac:dyDescent="0.2"/>
    <row r="359" customFormat="1" ht="14.25" x14ac:dyDescent="0.2"/>
    <row r="360" customFormat="1" ht="14.25" x14ac:dyDescent="0.2"/>
    <row r="361" customFormat="1" ht="14.25" x14ac:dyDescent="0.2"/>
    <row r="362" customFormat="1" ht="14.25" x14ac:dyDescent="0.2"/>
    <row r="363" customFormat="1" ht="14.25" x14ac:dyDescent="0.2"/>
    <row r="364" customFormat="1" ht="14.25" x14ac:dyDescent="0.2"/>
    <row r="365" customFormat="1" ht="14.25" x14ac:dyDescent="0.2"/>
    <row r="366" customFormat="1" ht="14.25" x14ac:dyDescent="0.2"/>
    <row r="367" customFormat="1" ht="14.25" x14ac:dyDescent="0.2"/>
    <row r="368" customFormat="1" ht="14.25" x14ac:dyDescent="0.2"/>
    <row r="369" customFormat="1" ht="14.25" x14ac:dyDescent="0.2"/>
    <row r="370" customFormat="1" ht="14.25" x14ac:dyDescent="0.2"/>
    <row r="371" customFormat="1" ht="14.25" x14ac:dyDescent="0.2"/>
    <row r="372" customFormat="1" ht="14.25" x14ac:dyDescent="0.2"/>
    <row r="373" customFormat="1" ht="14.25" x14ac:dyDescent="0.2"/>
    <row r="374" customFormat="1" ht="14.25" x14ac:dyDescent="0.2"/>
    <row r="375" customFormat="1" ht="14.25" x14ac:dyDescent="0.2"/>
    <row r="376" customFormat="1" ht="14.25" x14ac:dyDescent="0.2"/>
    <row r="377" customFormat="1" ht="14.25" x14ac:dyDescent="0.2"/>
    <row r="378" customFormat="1" ht="14.25" x14ac:dyDescent="0.2"/>
    <row r="379" customFormat="1" ht="14.25" x14ac:dyDescent="0.2"/>
    <row r="380" customFormat="1" ht="14.25" x14ac:dyDescent="0.2"/>
    <row r="381" customFormat="1" ht="14.25" x14ac:dyDescent="0.2"/>
    <row r="382" customFormat="1" ht="14.25" x14ac:dyDescent="0.2"/>
    <row r="383" customFormat="1" ht="14.25" x14ac:dyDescent="0.2"/>
    <row r="384" customFormat="1" ht="14.25" x14ac:dyDescent="0.2"/>
    <row r="385" customFormat="1" ht="14.25" x14ac:dyDescent="0.2"/>
    <row r="386" customFormat="1" ht="14.25" x14ac:dyDescent="0.2"/>
    <row r="387" customFormat="1" ht="14.25" x14ac:dyDescent="0.2"/>
    <row r="388" customFormat="1" ht="14.25" x14ac:dyDescent="0.2"/>
    <row r="389" customFormat="1" ht="14.25" x14ac:dyDescent="0.2"/>
    <row r="390" customFormat="1" ht="14.25" x14ac:dyDescent="0.2"/>
    <row r="391" customFormat="1" ht="14.25" x14ac:dyDescent="0.2"/>
    <row r="392" customFormat="1" ht="14.25" x14ac:dyDescent="0.2"/>
    <row r="393" customFormat="1" ht="14.25" x14ac:dyDescent="0.2"/>
    <row r="394" customFormat="1" ht="14.25" x14ac:dyDescent="0.2"/>
    <row r="395" customFormat="1" ht="14.25" x14ac:dyDescent="0.2"/>
    <row r="396" customFormat="1" ht="14.25" x14ac:dyDescent="0.2"/>
    <row r="397" customFormat="1" ht="14.25" x14ac:dyDescent="0.2"/>
    <row r="398" customFormat="1" ht="14.25" x14ac:dyDescent="0.2"/>
    <row r="399" customFormat="1" ht="14.25" x14ac:dyDescent="0.2"/>
    <row r="400" customFormat="1" ht="14.25" x14ac:dyDescent="0.2"/>
    <row r="401" customFormat="1" ht="14.25" x14ac:dyDescent="0.2"/>
    <row r="402" customFormat="1" ht="14.25" x14ac:dyDescent="0.2"/>
    <row r="403" customFormat="1" ht="14.25" x14ac:dyDescent="0.2"/>
    <row r="404" customFormat="1" ht="14.25" x14ac:dyDescent="0.2"/>
    <row r="405" customFormat="1" ht="14.25" x14ac:dyDescent="0.2"/>
    <row r="406" customFormat="1" ht="14.25" x14ac:dyDescent="0.2"/>
    <row r="407" customFormat="1" ht="14.25" x14ac:dyDescent="0.2"/>
    <row r="408" customFormat="1" ht="14.25" x14ac:dyDescent="0.2"/>
    <row r="409" customFormat="1" ht="14.25" x14ac:dyDescent="0.2"/>
    <row r="410" customFormat="1" ht="14.25" x14ac:dyDescent="0.2"/>
    <row r="411" customFormat="1" ht="14.25" x14ac:dyDescent="0.2"/>
  </sheetData>
  <mergeCells count="9">
    <mergeCell ref="M3:N3"/>
    <mergeCell ref="O3:P3"/>
    <mergeCell ref="Q3:R3"/>
    <mergeCell ref="S3:T3"/>
    <mergeCell ref="C3:D3"/>
    <mergeCell ref="E3:F3"/>
    <mergeCell ref="G3:H3"/>
    <mergeCell ref="I3:J3"/>
    <mergeCell ref="K3:L3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6376-7E45-47CF-B929-11E6EB9C7B34}">
  <dimension ref="A1:U69"/>
  <sheetViews>
    <sheetView zoomScale="55" zoomScaleNormal="55" workbookViewId="0">
      <selection activeCell="W27" sqref="W27"/>
    </sheetView>
  </sheetViews>
  <sheetFormatPr baseColWidth="10" defaultRowHeight="13.5" x14ac:dyDescent="0.35"/>
  <sheetData>
    <row r="1" spans="1:21" ht="13.9" thickBot="1" x14ac:dyDescent="0.4">
      <c r="A1" s="252" t="s">
        <v>515</v>
      </c>
      <c r="B1" s="253" t="s">
        <v>516</v>
      </c>
      <c r="C1" s="256" t="s">
        <v>517</v>
      </c>
      <c r="D1" s="470" t="s">
        <v>526</v>
      </c>
      <c r="E1" s="468"/>
      <c r="F1" s="468" t="s">
        <v>518</v>
      </c>
      <c r="G1" s="468"/>
      <c r="H1" s="468" t="s">
        <v>519</v>
      </c>
      <c r="I1" s="468"/>
      <c r="J1" s="468" t="s">
        <v>520</v>
      </c>
      <c r="K1" s="468"/>
      <c r="L1" s="468" t="s">
        <v>522</v>
      </c>
      <c r="M1" s="468"/>
      <c r="N1" s="468" t="s">
        <v>521</v>
      </c>
      <c r="O1" s="468"/>
      <c r="P1" s="468" t="s">
        <v>523</v>
      </c>
      <c r="Q1" s="468"/>
      <c r="R1" s="468" t="s">
        <v>524</v>
      </c>
      <c r="S1" s="468"/>
      <c r="T1" s="468" t="s">
        <v>525</v>
      </c>
      <c r="U1" s="469"/>
    </row>
    <row r="2" spans="1:21" x14ac:dyDescent="0.35">
      <c r="A2" s="260" t="e">
        <f>'2020-21'!#REF!</f>
        <v>#REF!</v>
      </c>
      <c r="B2" s="261" t="e">
        <f>'2020-21'!#REF!</f>
        <v>#REF!</v>
      </c>
      <c r="C2" s="262" t="e">
        <f>'2020-21'!#REF!</f>
        <v>#REF!</v>
      </c>
      <c r="D2" s="268">
        <v>35000</v>
      </c>
      <c r="E2" s="269" t="e">
        <f>D2/B2</f>
        <v>#REF!</v>
      </c>
      <c r="F2" s="263"/>
      <c r="G2" s="269" t="e">
        <f>F2/B2</f>
        <v>#REF!</v>
      </c>
      <c r="H2" s="263"/>
      <c r="I2" s="269" t="e">
        <f>H2/B2</f>
        <v>#REF!</v>
      </c>
      <c r="J2" s="263"/>
      <c r="K2" s="269" t="e">
        <f>J2/B2</f>
        <v>#REF!</v>
      </c>
      <c r="L2" s="263"/>
      <c r="M2" s="269" t="e">
        <f>L2/B2</f>
        <v>#REF!</v>
      </c>
      <c r="N2" s="263"/>
      <c r="O2" s="269" t="e">
        <f>N2/B2</f>
        <v>#REF!</v>
      </c>
      <c r="P2" s="263"/>
      <c r="Q2" s="269" t="e">
        <f>P2/B2</f>
        <v>#REF!</v>
      </c>
      <c r="R2" s="263"/>
      <c r="S2" s="269" t="e">
        <f>R2/B2</f>
        <v>#REF!</v>
      </c>
      <c r="T2" s="263"/>
      <c r="U2" s="270" t="e">
        <f>T2/B2</f>
        <v>#REF!</v>
      </c>
    </row>
    <row r="3" spans="1:21" x14ac:dyDescent="0.35">
      <c r="A3" s="254">
        <f>'2020-21'!A13</f>
        <v>0</v>
      </c>
      <c r="B3" s="251">
        <f>'2020-21'!C13</f>
        <v>0</v>
      </c>
      <c r="C3" s="257">
        <f>'2020-21'!D13</f>
        <v>0</v>
      </c>
      <c r="D3" s="258"/>
      <c r="E3" s="265" t="e">
        <f t="shared" ref="E3:E66" si="0">D3/B3</f>
        <v>#DIV/0!</v>
      </c>
      <c r="F3" s="251"/>
      <c r="G3" s="269" t="e">
        <f t="shared" ref="G3:G66" si="1">F3/B3</f>
        <v>#DIV/0!</v>
      </c>
      <c r="H3" s="251"/>
      <c r="I3" s="269" t="e">
        <f t="shared" ref="I3:I66" si="2">H3/B3</f>
        <v>#DIV/0!</v>
      </c>
      <c r="J3" s="251"/>
      <c r="K3" s="269" t="e">
        <f t="shared" ref="K3:K66" si="3">J3/B3</f>
        <v>#DIV/0!</v>
      </c>
      <c r="L3" s="251"/>
      <c r="M3" s="269" t="e">
        <f t="shared" ref="M3:M66" si="4">L3/B3</f>
        <v>#DIV/0!</v>
      </c>
      <c r="N3" s="251"/>
      <c r="O3" s="269" t="e">
        <f t="shared" ref="O3:O66" si="5">N3/B3</f>
        <v>#DIV/0!</v>
      </c>
      <c r="P3" s="251"/>
      <c r="Q3" s="269" t="e">
        <f t="shared" ref="Q3:Q66" si="6">P3/B3</f>
        <v>#DIV/0!</v>
      </c>
      <c r="R3" s="251"/>
      <c r="S3" s="269" t="e">
        <f t="shared" ref="S3:S66" si="7">R3/B3</f>
        <v>#DIV/0!</v>
      </c>
      <c r="T3" s="251"/>
      <c r="U3" s="270" t="e">
        <f t="shared" ref="U3:U66" si="8">T3/B3</f>
        <v>#DIV/0!</v>
      </c>
    </row>
    <row r="4" spans="1:21" x14ac:dyDescent="0.35">
      <c r="A4" s="260" t="str">
        <f>'2020-21'!A19</f>
        <v>HERBLOT</v>
      </c>
      <c r="B4" s="261">
        <f>'2020-21'!C19</f>
        <v>61500</v>
      </c>
      <c r="C4" s="262">
        <f>'2020-21'!D19</f>
        <v>61500</v>
      </c>
      <c r="D4" s="266"/>
      <c r="E4" s="265">
        <f t="shared" si="0"/>
        <v>0</v>
      </c>
      <c r="F4" s="261"/>
      <c r="G4" s="269">
        <f t="shared" si="1"/>
        <v>0</v>
      </c>
      <c r="H4" s="261"/>
      <c r="I4" s="269">
        <f t="shared" si="2"/>
        <v>0</v>
      </c>
      <c r="J4" s="261"/>
      <c r="K4" s="269">
        <f t="shared" si="3"/>
        <v>0</v>
      </c>
      <c r="L4" s="261"/>
      <c r="M4" s="269">
        <f t="shared" si="4"/>
        <v>0</v>
      </c>
      <c r="N4" s="261"/>
      <c r="O4" s="269">
        <f t="shared" si="5"/>
        <v>0</v>
      </c>
      <c r="P4" s="261"/>
      <c r="Q4" s="269">
        <f t="shared" si="6"/>
        <v>0</v>
      </c>
      <c r="R4" s="261"/>
      <c r="S4" s="269">
        <f t="shared" si="7"/>
        <v>0</v>
      </c>
      <c r="T4" s="261"/>
      <c r="U4" s="270">
        <f t="shared" si="8"/>
        <v>0</v>
      </c>
    </row>
    <row r="5" spans="1:21" x14ac:dyDescent="0.35">
      <c r="A5" s="254" t="str">
        <f>'2020-21'!A21</f>
        <v>LEMOINE</v>
      </c>
      <c r="B5" s="251">
        <f>'2020-21'!C21</f>
        <v>42665</v>
      </c>
      <c r="C5" s="257">
        <f>'2020-21'!D21</f>
        <v>42665</v>
      </c>
      <c r="D5" s="258"/>
      <c r="E5" s="265">
        <f t="shared" si="0"/>
        <v>0</v>
      </c>
      <c r="F5" s="251"/>
      <c r="G5" s="269">
        <f t="shared" si="1"/>
        <v>0</v>
      </c>
      <c r="H5" s="251"/>
      <c r="I5" s="269">
        <f t="shared" si="2"/>
        <v>0</v>
      </c>
      <c r="J5" s="251"/>
      <c r="K5" s="269">
        <f t="shared" si="3"/>
        <v>0</v>
      </c>
      <c r="L5" s="251"/>
      <c r="M5" s="269">
        <f t="shared" si="4"/>
        <v>0</v>
      </c>
      <c r="N5" s="251"/>
      <c r="O5" s="269">
        <f t="shared" si="5"/>
        <v>0</v>
      </c>
      <c r="P5" s="251"/>
      <c r="Q5" s="269">
        <f t="shared" si="6"/>
        <v>0</v>
      </c>
      <c r="R5" s="251"/>
      <c r="S5" s="269">
        <f t="shared" si="7"/>
        <v>0</v>
      </c>
      <c r="T5" s="251"/>
      <c r="U5" s="270">
        <f t="shared" si="8"/>
        <v>0</v>
      </c>
    </row>
    <row r="6" spans="1:21" x14ac:dyDescent="0.35">
      <c r="A6" s="260" t="str">
        <f>'2020-21'!A22</f>
        <v>FRANCOIS</v>
      </c>
      <c r="B6" s="261">
        <f>'2020-21'!C22</f>
        <v>52084</v>
      </c>
      <c r="C6" s="262">
        <f>'2020-21'!D22</f>
        <v>52084</v>
      </c>
      <c r="D6" s="266"/>
      <c r="E6" s="265">
        <f t="shared" si="0"/>
        <v>0</v>
      </c>
      <c r="F6" s="261"/>
      <c r="G6" s="269">
        <f t="shared" si="1"/>
        <v>0</v>
      </c>
      <c r="H6" s="261"/>
      <c r="I6" s="269">
        <f t="shared" si="2"/>
        <v>0</v>
      </c>
      <c r="J6" s="261"/>
      <c r="K6" s="269">
        <f t="shared" si="3"/>
        <v>0</v>
      </c>
      <c r="L6" s="261"/>
      <c r="M6" s="269">
        <f t="shared" si="4"/>
        <v>0</v>
      </c>
      <c r="N6" s="261"/>
      <c r="O6" s="269">
        <f t="shared" si="5"/>
        <v>0</v>
      </c>
      <c r="P6" s="261"/>
      <c r="Q6" s="269">
        <f t="shared" si="6"/>
        <v>0</v>
      </c>
      <c r="R6" s="261"/>
      <c r="S6" s="269">
        <f t="shared" si="7"/>
        <v>0</v>
      </c>
      <c r="T6" s="261"/>
      <c r="U6" s="270">
        <f t="shared" si="8"/>
        <v>0</v>
      </c>
    </row>
    <row r="7" spans="1:21" x14ac:dyDescent="0.35">
      <c r="A7" s="254" t="str">
        <f>'2020-21'!A23</f>
        <v>CUVIGNY</v>
      </c>
      <c r="B7" s="251">
        <f>'2020-21'!C23</f>
        <v>18000</v>
      </c>
      <c r="C7" s="257">
        <f>'2020-21'!D23</f>
        <v>18000</v>
      </c>
      <c r="D7" s="258"/>
      <c r="E7" s="265">
        <f t="shared" si="0"/>
        <v>0</v>
      </c>
      <c r="F7" s="251"/>
      <c r="G7" s="269">
        <f t="shared" si="1"/>
        <v>0</v>
      </c>
      <c r="H7" s="251"/>
      <c r="I7" s="269">
        <f t="shared" si="2"/>
        <v>0</v>
      </c>
      <c r="J7" s="251"/>
      <c r="K7" s="269">
        <f t="shared" si="3"/>
        <v>0</v>
      </c>
      <c r="L7" s="251"/>
      <c r="M7" s="269">
        <f t="shared" si="4"/>
        <v>0</v>
      </c>
      <c r="N7" s="251"/>
      <c r="O7" s="269">
        <f t="shared" si="5"/>
        <v>0</v>
      </c>
      <c r="P7" s="251"/>
      <c r="Q7" s="269">
        <f t="shared" si="6"/>
        <v>0</v>
      </c>
      <c r="R7" s="251"/>
      <c r="S7" s="269">
        <f t="shared" si="7"/>
        <v>0</v>
      </c>
      <c r="T7" s="251"/>
      <c r="U7" s="270">
        <f t="shared" si="8"/>
        <v>0</v>
      </c>
    </row>
    <row r="8" spans="1:21" x14ac:dyDescent="0.35">
      <c r="A8" s="260" t="str">
        <f>'2020-21'!A24</f>
        <v xml:space="preserve">BASSIERE </v>
      </c>
      <c r="B8" s="261">
        <f>'2020-21'!C24</f>
        <v>25682.67</v>
      </c>
      <c r="C8" s="262">
        <f>'2020-21'!D24</f>
        <v>25682.67</v>
      </c>
      <c r="D8" s="266"/>
      <c r="E8" s="265">
        <f t="shared" si="0"/>
        <v>0</v>
      </c>
      <c r="F8" s="261"/>
      <c r="G8" s="269">
        <f t="shared" si="1"/>
        <v>0</v>
      </c>
      <c r="H8" s="261"/>
      <c r="I8" s="269">
        <f t="shared" si="2"/>
        <v>0</v>
      </c>
      <c r="J8" s="261"/>
      <c r="K8" s="269">
        <f t="shared" si="3"/>
        <v>0</v>
      </c>
      <c r="L8" s="261"/>
      <c r="M8" s="269">
        <f t="shared" si="4"/>
        <v>0</v>
      </c>
      <c r="N8" s="261"/>
      <c r="O8" s="269">
        <f t="shared" si="5"/>
        <v>0</v>
      </c>
      <c r="P8" s="261"/>
      <c r="Q8" s="269">
        <f t="shared" si="6"/>
        <v>0</v>
      </c>
      <c r="R8" s="261"/>
      <c r="S8" s="269">
        <f t="shared" si="7"/>
        <v>0</v>
      </c>
      <c r="T8" s="261"/>
      <c r="U8" s="270">
        <f t="shared" si="8"/>
        <v>0</v>
      </c>
    </row>
    <row r="9" spans="1:21" x14ac:dyDescent="0.35">
      <c r="A9" s="254" t="str">
        <f>'2020-21'!A25</f>
        <v>EXAEQUO</v>
      </c>
      <c r="B9" s="251">
        <f>'2020-21'!C25</f>
        <v>533.33000000000004</v>
      </c>
      <c r="C9" s="257">
        <f>'2020-21'!D25</f>
        <v>533.33000000000004</v>
      </c>
      <c r="D9" s="258"/>
      <c r="E9" s="265">
        <f t="shared" si="0"/>
        <v>0</v>
      </c>
      <c r="F9" s="251"/>
      <c r="G9" s="269">
        <f t="shared" si="1"/>
        <v>0</v>
      </c>
      <c r="H9" s="251"/>
      <c r="I9" s="269">
        <f t="shared" si="2"/>
        <v>0</v>
      </c>
      <c r="J9" s="251"/>
      <c r="K9" s="269">
        <f t="shared" si="3"/>
        <v>0</v>
      </c>
      <c r="L9" s="251"/>
      <c r="M9" s="269">
        <f t="shared" si="4"/>
        <v>0</v>
      </c>
      <c r="N9" s="251"/>
      <c r="O9" s="269">
        <f t="shared" si="5"/>
        <v>0</v>
      </c>
      <c r="P9" s="251"/>
      <c r="Q9" s="269">
        <f t="shared" si="6"/>
        <v>0</v>
      </c>
      <c r="R9" s="251"/>
      <c r="S9" s="269">
        <f t="shared" si="7"/>
        <v>0</v>
      </c>
      <c r="T9" s="251"/>
      <c r="U9" s="270">
        <f t="shared" si="8"/>
        <v>0</v>
      </c>
    </row>
    <row r="10" spans="1:21" x14ac:dyDescent="0.35">
      <c r="A10" s="260" t="str">
        <f>'2020-21'!A26</f>
        <v>PREVOST</v>
      </c>
      <c r="B10" s="261">
        <f>'2020-21'!C26</f>
        <v>1821</v>
      </c>
      <c r="C10" s="262">
        <f>'2020-21'!D26</f>
        <v>1821</v>
      </c>
      <c r="D10" s="266"/>
      <c r="E10" s="265">
        <f t="shared" si="0"/>
        <v>0</v>
      </c>
      <c r="F10" s="261"/>
      <c r="G10" s="269">
        <f t="shared" si="1"/>
        <v>0</v>
      </c>
      <c r="H10" s="261"/>
      <c r="I10" s="269">
        <f t="shared" si="2"/>
        <v>0</v>
      </c>
      <c r="J10" s="261"/>
      <c r="K10" s="269">
        <f t="shared" si="3"/>
        <v>0</v>
      </c>
      <c r="L10" s="261"/>
      <c r="M10" s="269">
        <f t="shared" si="4"/>
        <v>0</v>
      </c>
      <c r="N10" s="261"/>
      <c r="O10" s="269">
        <f t="shared" si="5"/>
        <v>0</v>
      </c>
      <c r="P10" s="261"/>
      <c r="Q10" s="269">
        <f t="shared" si="6"/>
        <v>0</v>
      </c>
      <c r="R10" s="261"/>
      <c r="S10" s="269">
        <f t="shared" si="7"/>
        <v>0</v>
      </c>
      <c r="T10" s="261"/>
      <c r="U10" s="270">
        <f t="shared" si="8"/>
        <v>0</v>
      </c>
    </row>
    <row r="11" spans="1:21" x14ac:dyDescent="0.35">
      <c r="A11" s="254" t="str">
        <f>'2020-21'!A27</f>
        <v>DUCHENNE</v>
      </c>
      <c r="B11" s="251">
        <f>'2020-21'!C27</f>
        <v>21204</v>
      </c>
      <c r="C11" s="257">
        <f>'2020-21'!D27</f>
        <v>21204</v>
      </c>
      <c r="D11" s="258"/>
      <c r="E11" s="265">
        <f t="shared" si="0"/>
        <v>0</v>
      </c>
      <c r="F11" s="251"/>
      <c r="G11" s="269">
        <f t="shared" si="1"/>
        <v>0</v>
      </c>
      <c r="H11" s="251"/>
      <c r="I11" s="269">
        <f t="shared" si="2"/>
        <v>0</v>
      </c>
      <c r="J11" s="251"/>
      <c r="K11" s="269">
        <f t="shared" si="3"/>
        <v>0</v>
      </c>
      <c r="L11" s="251"/>
      <c r="M11" s="269">
        <f t="shared" si="4"/>
        <v>0</v>
      </c>
      <c r="N11" s="251"/>
      <c r="O11" s="269">
        <f t="shared" si="5"/>
        <v>0</v>
      </c>
      <c r="P11" s="251"/>
      <c r="Q11" s="269">
        <f t="shared" si="6"/>
        <v>0</v>
      </c>
      <c r="R11" s="251"/>
      <c r="S11" s="269">
        <f t="shared" si="7"/>
        <v>0</v>
      </c>
      <c r="T11" s="251"/>
      <c r="U11" s="270">
        <f t="shared" si="8"/>
        <v>0</v>
      </c>
    </row>
    <row r="12" spans="1:21" x14ac:dyDescent="0.35">
      <c r="A12" s="260" t="str">
        <f>'2020-21'!A28</f>
        <v>RAOULT</v>
      </c>
      <c r="B12" s="261">
        <f>'2020-21'!C28</f>
        <v>6537</v>
      </c>
      <c r="C12" s="262">
        <f>'2020-21'!D28</f>
        <v>6537</v>
      </c>
      <c r="D12" s="266"/>
      <c r="E12" s="265">
        <f t="shared" si="0"/>
        <v>0</v>
      </c>
      <c r="F12" s="261"/>
      <c r="G12" s="269">
        <f t="shared" si="1"/>
        <v>0</v>
      </c>
      <c r="H12" s="261"/>
      <c r="I12" s="269">
        <f t="shared" si="2"/>
        <v>0</v>
      </c>
      <c r="J12" s="261"/>
      <c r="K12" s="269">
        <f t="shared" si="3"/>
        <v>0</v>
      </c>
      <c r="L12" s="261"/>
      <c r="M12" s="269">
        <f t="shared" si="4"/>
        <v>0</v>
      </c>
      <c r="N12" s="261"/>
      <c r="O12" s="269">
        <f t="shared" si="5"/>
        <v>0</v>
      </c>
      <c r="P12" s="261"/>
      <c r="Q12" s="269">
        <f t="shared" si="6"/>
        <v>0</v>
      </c>
      <c r="R12" s="261"/>
      <c r="S12" s="269">
        <f t="shared" si="7"/>
        <v>0</v>
      </c>
      <c r="T12" s="261"/>
      <c r="U12" s="270">
        <f t="shared" si="8"/>
        <v>0</v>
      </c>
    </row>
    <row r="13" spans="1:21" x14ac:dyDescent="0.35">
      <c r="A13" s="254" t="str">
        <f>'2020-21'!A29</f>
        <v>VIVIER</v>
      </c>
      <c r="B13" s="251">
        <f>'2020-21'!C29</f>
        <v>9276</v>
      </c>
      <c r="C13" s="257">
        <f>'2020-21'!D29</f>
        <v>9276</v>
      </c>
      <c r="D13" s="258"/>
      <c r="E13" s="265">
        <f t="shared" si="0"/>
        <v>0</v>
      </c>
      <c r="F13" s="251"/>
      <c r="G13" s="269">
        <f t="shared" si="1"/>
        <v>0</v>
      </c>
      <c r="H13" s="251"/>
      <c r="I13" s="269">
        <f t="shared" si="2"/>
        <v>0</v>
      </c>
      <c r="J13" s="251"/>
      <c r="K13" s="269">
        <f t="shared" si="3"/>
        <v>0</v>
      </c>
      <c r="L13" s="251"/>
      <c r="M13" s="269">
        <f t="shared" si="4"/>
        <v>0</v>
      </c>
      <c r="N13" s="251"/>
      <c r="O13" s="269">
        <f t="shared" si="5"/>
        <v>0</v>
      </c>
      <c r="P13" s="251"/>
      <c r="Q13" s="269">
        <f t="shared" si="6"/>
        <v>0</v>
      </c>
      <c r="R13" s="251"/>
      <c r="S13" s="269">
        <f t="shared" si="7"/>
        <v>0</v>
      </c>
      <c r="T13" s="251"/>
      <c r="U13" s="270">
        <f t="shared" si="8"/>
        <v>0</v>
      </c>
    </row>
    <row r="14" spans="1:21" x14ac:dyDescent="0.35">
      <c r="A14" s="260" t="str">
        <f>'2020-21'!A30</f>
        <v>FOUQUES mam bassene</v>
      </c>
      <c r="B14" s="261">
        <f>'2020-21'!C30</f>
        <v>4328</v>
      </c>
      <c r="C14" s="262">
        <f>'2020-21'!D30</f>
        <v>4328</v>
      </c>
      <c r="D14" s="266"/>
      <c r="E14" s="265">
        <f t="shared" si="0"/>
        <v>0</v>
      </c>
      <c r="F14" s="261"/>
      <c r="G14" s="269">
        <f t="shared" si="1"/>
        <v>0</v>
      </c>
      <c r="H14" s="261"/>
      <c r="I14" s="269">
        <f t="shared" si="2"/>
        <v>0</v>
      </c>
      <c r="J14" s="261"/>
      <c r="K14" s="269">
        <f t="shared" si="3"/>
        <v>0</v>
      </c>
      <c r="L14" s="261"/>
      <c r="M14" s="269">
        <f t="shared" si="4"/>
        <v>0</v>
      </c>
      <c r="N14" s="261"/>
      <c r="O14" s="269">
        <f t="shared" si="5"/>
        <v>0</v>
      </c>
      <c r="P14" s="261"/>
      <c r="Q14" s="269">
        <f t="shared" si="6"/>
        <v>0</v>
      </c>
      <c r="R14" s="261"/>
      <c r="S14" s="269">
        <f t="shared" si="7"/>
        <v>0</v>
      </c>
      <c r="T14" s="261"/>
      <c r="U14" s="270">
        <f t="shared" si="8"/>
        <v>0</v>
      </c>
    </row>
    <row r="15" spans="1:21" x14ac:dyDescent="0.35">
      <c r="A15" s="254" t="str">
        <f>'2020-21'!A31</f>
        <v>ARCHE DES BEBES</v>
      </c>
      <c r="B15" s="251">
        <f>'2020-21'!C31</f>
        <v>220000</v>
      </c>
      <c r="C15" s="257">
        <f>'2020-21'!D31</f>
        <v>220000</v>
      </c>
      <c r="D15" s="258"/>
      <c r="E15" s="265">
        <f t="shared" si="0"/>
        <v>0</v>
      </c>
      <c r="F15" s="251"/>
      <c r="G15" s="269">
        <f t="shared" si="1"/>
        <v>0</v>
      </c>
      <c r="H15" s="251"/>
      <c r="I15" s="269">
        <f t="shared" si="2"/>
        <v>0</v>
      </c>
      <c r="J15" s="251"/>
      <c r="K15" s="269">
        <f t="shared" si="3"/>
        <v>0</v>
      </c>
      <c r="L15" s="251"/>
      <c r="M15" s="269">
        <f t="shared" si="4"/>
        <v>0</v>
      </c>
      <c r="N15" s="251"/>
      <c r="O15" s="269">
        <f t="shared" si="5"/>
        <v>0</v>
      </c>
      <c r="P15" s="251"/>
      <c r="Q15" s="269">
        <f t="shared" si="6"/>
        <v>0</v>
      </c>
      <c r="R15" s="251"/>
      <c r="S15" s="269">
        <f t="shared" si="7"/>
        <v>0</v>
      </c>
      <c r="T15" s="251"/>
      <c r="U15" s="270">
        <f t="shared" si="8"/>
        <v>0</v>
      </c>
    </row>
    <row r="16" spans="1:21" x14ac:dyDescent="0.35">
      <c r="A16" s="260" t="str">
        <f>'2020-21'!A32</f>
        <v>CHATELIN</v>
      </c>
      <c r="B16" s="261">
        <f>'2020-21'!C32</f>
        <v>31053</v>
      </c>
      <c r="C16" s="262">
        <f>'2020-21'!D32</f>
        <v>31053</v>
      </c>
      <c r="D16" s="266"/>
      <c r="E16" s="265">
        <f t="shared" si="0"/>
        <v>0</v>
      </c>
      <c r="F16" s="261"/>
      <c r="G16" s="269">
        <f t="shared" si="1"/>
        <v>0</v>
      </c>
      <c r="H16" s="261"/>
      <c r="I16" s="269">
        <f t="shared" si="2"/>
        <v>0</v>
      </c>
      <c r="J16" s="261"/>
      <c r="K16" s="269">
        <f t="shared" si="3"/>
        <v>0</v>
      </c>
      <c r="L16" s="261"/>
      <c r="M16" s="269">
        <f t="shared" si="4"/>
        <v>0</v>
      </c>
      <c r="N16" s="261"/>
      <c r="O16" s="269">
        <f t="shared" si="5"/>
        <v>0</v>
      </c>
      <c r="P16" s="261"/>
      <c r="Q16" s="269">
        <f t="shared" si="6"/>
        <v>0</v>
      </c>
      <c r="R16" s="261"/>
      <c r="S16" s="269">
        <f t="shared" si="7"/>
        <v>0</v>
      </c>
      <c r="T16" s="261"/>
      <c r="U16" s="270">
        <f t="shared" si="8"/>
        <v>0</v>
      </c>
    </row>
    <row r="17" spans="1:21" x14ac:dyDescent="0.35">
      <c r="A17" s="254" t="str">
        <f>'2020-21'!A33</f>
        <v>MONTFOURNY</v>
      </c>
      <c r="B17" s="251">
        <f>'2020-21'!C33</f>
        <v>113900</v>
      </c>
      <c r="C17" s="257">
        <f>'2020-21'!D33</f>
        <v>113900</v>
      </c>
      <c r="D17" s="258"/>
      <c r="E17" s="265">
        <f t="shared" si="0"/>
        <v>0</v>
      </c>
      <c r="F17" s="251"/>
      <c r="G17" s="269">
        <f t="shared" si="1"/>
        <v>0</v>
      </c>
      <c r="H17" s="251"/>
      <c r="I17" s="269">
        <f t="shared" si="2"/>
        <v>0</v>
      </c>
      <c r="J17" s="251"/>
      <c r="K17" s="269">
        <f t="shared" si="3"/>
        <v>0</v>
      </c>
      <c r="L17" s="251"/>
      <c r="M17" s="269">
        <f t="shared" si="4"/>
        <v>0</v>
      </c>
      <c r="N17" s="251"/>
      <c r="O17" s="269">
        <f t="shared" si="5"/>
        <v>0</v>
      </c>
      <c r="P17" s="251"/>
      <c r="Q17" s="269">
        <f t="shared" si="6"/>
        <v>0</v>
      </c>
      <c r="R17" s="251"/>
      <c r="S17" s="269">
        <f t="shared" si="7"/>
        <v>0</v>
      </c>
      <c r="T17" s="251"/>
      <c r="U17" s="270">
        <f t="shared" si="8"/>
        <v>0</v>
      </c>
    </row>
    <row r="18" spans="1:21" x14ac:dyDescent="0.35">
      <c r="A18" s="260" t="str">
        <f>'2020-21'!A34</f>
        <v>BRETAGNE</v>
      </c>
      <c r="B18" s="261">
        <f>'2020-21'!C34</f>
        <v>25597.21</v>
      </c>
      <c r="C18" s="262">
        <f>'2020-21'!D34</f>
        <v>25597</v>
      </c>
      <c r="D18" s="266"/>
      <c r="E18" s="265">
        <f t="shared" si="0"/>
        <v>0</v>
      </c>
      <c r="F18" s="261"/>
      <c r="G18" s="269">
        <f t="shared" si="1"/>
        <v>0</v>
      </c>
      <c r="H18" s="261"/>
      <c r="I18" s="269">
        <f t="shared" si="2"/>
        <v>0</v>
      </c>
      <c r="J18" s="261"/>
      <c r="K18" s="269">
        <f t="shared" si="3"/>
        <v>0</v>
      </c>
      <c r="L18" s="261"/>
      <c r="M18" s="269">
        <f t="shared" si="4"/>
        <v>0</v>
      </c>
      <c r="N18" s="261"/>
      <c r="O18" s="269">
        <f t="shared" si="5"/>
        <v>0</v>
      </c>
      <c r="P18" s="261"/>
      <c r="Q18" s="269">
        <f t="shared" si="6"/>
        <v>0</v>
      </c>
      <c r="R18" s="261"/>
      <c r="S18" s="269">
        <f t="shared" si="7"/>
        <v>0</v>
      </c>
      <c r="T18" s="261"/>
      <c r="U18" s="270">
        <f t="shared" si="8"/>
        <v>0</v>
      </c>
    </row>
    <row r="19" spans="1:21" x14ac:dyDescent="0.35">
      <c r="A19" s="254" t="str">
        <f>'2020-21'!A35</f>
        <v>GERBAULT - IBANESCU</v>
      </c>
      <c r="B19" s="251">
        <f>'2020-21'!C35</f>
        <v>103994</v>
      </c>
      <c r="C19" s="257">
        <f>'2020-21'!D35</f>
        <v>103994</v>
      </c>
      <c r="D19" s="258"/>
      <c r="E19" s="265">
        <f t="shared" si="0"/>
        <v>0</v>
      </c>
      <c r="F19" s="251"/>
      <c r="G19" s="269">
        <f t="shared" si="1"/>
        <v>0</v>
      </c>
      <c r="H19" s="251"/>
      <c r="I19" s="269">
        <f t="shared" si="2"/>
        <v>0</v>
      </c>
      <c r="J19" s="251"/>
      <c r="K19" s="269">
        <f t="shared" si="3"/>
        <v>0</v>
      </c>
      <c r="L19" s="251"/>
      <c r="M19" s="269">
        <f t="shared" si="4"/>
        <v>0</v>
      </c>
      <c r="N19" s="251"/>
      <c r="O19" s="269">
        <f t="shared" si="5"/>
        <v>0</v>
      </c>
      <c r="P19" s="251"/>
      <c r="Q19" s="269">
        <f t="shared" si="6"/>
        <v>0</v>
      </c>
      <c r="R19" s="251"/>
      <c r="S19" s="269">
        <f t="shared" si="7"/>
        <v>0</v>
      </c>
      <c r="T19" s="251"/>
      <c r="U19" s="270">
        <f t="shared" si="8"/>
        <v>0</v>
      </c>
    </row>
    <row r="20" spans="1:21" x14ac:dyDescent="0.35">
      <c r="A20" s="260" t="str">
        <f>'2020-21'!A36</f>
        <v>flipo portail</v>
      </c>
      <c r="B20" s="261">
        <f>'2020-21'!C36</f>
        <v>1156</v>
      </c>
      <c r="C20" s="262">
        <f>'2020-21'!D36</f>
        <v>1156</v>
      </c>
      <c r="D20" s="266"/>
      <c r="E20" s="265">
        <f t="shared" si="0"/>
        <v>0</v>
      </c>
      <c r="F20" s="261"/>
      <c r="G20" s="269">
        <f t="shared" si="1"/>
        <v>0</v>
      </c>
      <c r="H20" s="261"/>
      <c r="I20" s="269">
        <f t="shared" si="2"/>
        <v>0</v>
      </c>
      <c r="J20" s="261"/>
      <c r="K20" s="269">
        <f t="shared" si="3"/>
        <v>0</v>
      </c>
      <c r="L20" s="261"/>
      <c r="M20" s="269">
        <f t="shared" si="4"/>
        <v>0</v>
      </c>
      <c r="N20" s="261"/>
      <c r="O20" s="269">
        <f t="shared" si="5"/>
        <v>0</v>
      </c>
      <c r="P20" s="261"/>
      <c r="Q20" s="269">
        <f t="shared" si="6"/>
        <v>0</v>
      </c>
      <c r="R20" s="261"/>
      <c r="S20" s="269">
        <f t="shared" si="7"/>
        <v>0</v>
      </c>
      <c r="T20" s="261"/>
      <c r="U20" s="270">
        <f t="shared" si="8"/>
        <v>0</v>
      </c>
    </row>
    <row r="21" spans="1:21" x14ac:dyDescent="0.35">
      <c r="A21" s="254" t="e">
        <f>'2020-21'!#REF!</f>
        <v>#REF!</v>
      </c>
      <c r="B21" s="251" t="e">
        <f>'2020-21'!#REF!</f>
        <v>#REF!</v>
      </c>
      <c r="C21" s="257" t="e">
        <f>'2020-21'!#REF!</f>
        <v>#REF!</v>
      </c>
      <c r="D21" s="258"/>
      <c r="E21" s="265" t="e">
        <f t="shared" si="0"/>
        <v>#REF!</v>
      </c>
      <c r="F21" s="251"/>
      <c r="G21" s="269" t="e">
        <f t="shared" si="1"/>
        <v>#REF!</v>
      </c>
      <c r="H21" s="251"/>
      <c r="I21" s="269" t="e">
        <f t="shared" si="2"/>
        <v>#REF!</v>
      </c>
      <c r="J21" s="251"/>
      <c r="K21" s="269" t="e">
        <f t="shared" si="3"/>
        <v>#REF!</v>
      </c>
      <c r="L21" s="251"/>
      <c r="M21" s="269" t="e">
        <f t="shared" si="4"/>
        <v>#REF!</v>
      </c>
      <c r="N21" s="251"/>
      <c r="O21" s="269" t="e">
        <f t="shared" si="5"/>
        <v>#REF!</v>
      </c>
      <c r="P21" s="251"/>
      <c r="Q21" s="269" t="e">
        <f t="shared" si="6"/>
        <v>#REF!</v>
      </c>
      <c r="R21" s="251"/>
      <c r="S21" s="269" t="e">
        <f t="shared" si="7"/>
        <v>#REF!</v>
      </c>
      <c r="T21" s="251"/>
      <c r="U21" s="270" t="e">
        <f t="shared" si="8"/>
        <v>#REF!</v>
      </c>
    </row>
    <row r="22" spans="1:21" x14ac:dyDescent="0.35">
      <c r="A22" s="260" t="str">
        <f>'2020-21'!A37</f>
        <v>LECLEIR</v>
      </c>
      <c r="B22" s="261">
        <f>'2020-21'!C37</f>
        <v>29905.67</v>
      </c>
      <c r="C22" s="262">
        <f>'2020-21'!D37</f>
        <v>29905.67</v>
      </c>
      <c r="D22" s="266"/>
      <c r="E22" s="265">
        <f t="shared" si="0"/>
        <v>0</v>
      </c>
      <c r="F22" s="261"/>
      <c r="G22" s="269">
        <f t="shared" si="1"/>
        <v>0</v>
      </c>
      <c r="H22" s="261"/>
      <c r="I22" s="269">
        <f t="shared" si="2"/>
        <v>0</v>
      </c>
      <c r="J22" s="261"/>
      <c r="K22" s="269">
        <f t="shared" si="3"/>
        <v>0</v>
      </c>
      <c r="L22" s="261"/>
      <c r="M22" s="269">
        <f t="shared" si="4"/>
        <v>0</v>
      </c>
      <c r="N22" s="261"/>
      <c r="O22" s="269">
        <f t="shared" si="5"/>
        <v>0</v>
      </c>
      <c r="P22" s="261"/>
      <c r="Q22" s="269">
        <f t="shared" si="6"/>
        <v>0</v>
      </c>
      <c r="R22" s="261"/>
      <c r="S22" s="269">
        <f t="shared" si="7"/>
        <v>0</v>
      </c>
      <c r="T22" s="261"/>
      <c r="U22" s="270">
        <f t="shared" si="8"/>
        <v>0</v>
      </c>
    </row>
    <row r="23" spans="1:21" x14ac:dyDescent="0.35">
      <c r="A23" s="254" t="str">
        <f>'2020-21'!A38</f>
        <v>PORET</v>
      </c>
      <c r="B23" s="251">
        <f>'2020-21'!C38</f>
        <v>107534.34</v>
      </c>
      <c r="C23" s="257">
        <f>'2020-21'!D38</f>
        <v>107534.34</v>
      </c>
      <c r="D23" s="258"/>
      <c r="E23" s="265">
        <f t="shared" si="0"/>
        <v>0</v>
      </c>
      <c r="F23" s="251"/>
      <c r="G23" s="269">
        <f t="shared" si="1"/>
        <v>0</v>
      </c>
      <c r="H23" s="251"/>
      <c r="I23" s="269">
        <f t="shared" si="2"/>
        <v>0</v>
      </c>
      <c r="J23" s="251"/>
      <c r="K23" s="269">
        <f t="shared" si="3"/>
        <v>0</v>
      </c>
      <c r="L23" s="251"/>
      <c r="M23" s="269">
        <f t="shared" si="4"/>
        <v>0</v>
      </c>
      <c r="N23" s="251"/>
      <c r="O23" s="269">
        <f t="shared" si="5"/>
        <v>0</v>
      </c>
      <c r="P23" s="251"/>
      <c r="Q23" s="269">
        <f t="shared" si="6"/>
        <v>0</v>
      </c>
      <c r="R23" s="251"/>
      <c r="S23" s="269">
        <f t="shared" si="7"/>
        <v>0</v>
      </c>
      <c r="T23" s="251"/>
      <c r="U23" s="270">
        <f t="shared" si="8"/>
        <v>0</v>
      </c>
    </row>
    <row r="24" spans="1:21" x14ac:dyDescent="0.35">
      <c r="A24" s="260" t="str">
        <f>'2020-21'!A39</f>
        <v>CLET CARON</v>
      </c>
      <c r="B24" s="261">
        <f>'2020-21'!C39</f>
        <v>176738.45</v>
      </c>
      <c r="C24" s="262">
        <f>'2020-21'!D39</f>
        <v>176738</v>
      </c>
      <c r="D24" s="266"/>
      <c r="E24" s="265">
        <f t="shared" si="0"/>
        <v>0</v>
      </c>
      <c r="F24" s="261"/>
      <c r="G24" s="269">
        <f t="shared" si="1"/>
        <v>0</v>
      </c>
      <c r="H24" s="261"/>
      <c r="I24" s="269">
        <f t="shared" si="2"/>
        <v>0</v>
      </c>
      <c r="J24" s="261"/>
      <c r="K24" s="269">
        <f t="shared" si="3"/>
        <v>0</v>
      </c>
      <c r="L24" s="261"/>
      <c r="M24" s="269">
        <f t="shared" si="4"/>
        <v>0</v>
      </c>
      <c r="N24" s="261"/>
      <c r="O24" s="269">
        <f t="shared" si="5"/>
        <v>0</v>
      </c>
      <c r="P24" s="261"/>
      <c r="Q24" s="269">
        <f t="shared" si="6"/>
        <v>0</v>
      </c>
      <c r="R24" s="261"/>
      <c r="S24" s="269">
        <f t="shared" si="7"/>
        <v>0</v>
      </c>
      <c r="T24" s="261"/>
      <c r="U24" s="270">
        <f t="shared" si="8"/>
        <v>0</v>
      </c>
    </row>
    <row r="25" spans="1:21" x14ac:dyDescent="0.35">
      <c r="A25" s="254" t="str">
        <f>'2020-21'!A40</f>
        <v>BICART</v>
      </c>
      <c r="B25" s="251">
        <f>'2020-21'!C40</f>
        <v>7093</v>
      </c>
      <c r="C25" s="257">
        <f>'2020-21'!D40</f>
        <v>7093</v>
      </c>
      <c r="D25" s="258"/>
      <c r="E25" s="265">
        <f t="shared" si="0"/>
        <v>0</v>
      </c>
      <c r="F25" s="251"/>
      <c r="G25" s="269">
        <f t="shared" si="1"/>
        <v>0</v>
      </c>
      <c r="H25" s="251"/>
      <c r="I25" s="269">
        <f t="shared" si="2"/>
        <v>0</v>
      </c>
      <c r="J25" s="251"/>
      <c r="K25" s="269">
        <f t="shared" si="3"/>
        <v>0</v>
      </c>
      <c r="L25" s="251"/>
      <c r="M25" s="269">
        <f t="shared" si="4"/>
        <v>0</v>
      </c>
      <c r="N25" s="251"/>
      <c r="O25" s="269">
        <f t="shared" si="5"/>
        <v>0</v>
      </c>
      <c r="P25" s="251"/>
      <c r="Q25" s="269">
        <f t="shared" si="6"/>
        <v>0</v>
      </c>
      <c r="R25" s="251"/>
      <c r="S25" s="269">
        <f t="shared" si="7"/>
        <v>0</v>
      </c>
      <c r="T25" s="251"/>
      <c r="U25" s="270">
        <f t="shared" si="8"/>
        <v>0</v>
      </c>
    </row>
    <row r="26" spans="1:21" x14ac:dyDescent="0.35">
      <c r="A26" s="260" t="str">
        <f>'2020-21'!A41</f>
        <v>MAIRIE EVRECY</v>
      </c>
      <c r="B26" s="261">
        <f>'2020-21'!C41</f>
        <v>8521</v>
      </c>
      <c r="C26" s="262">
        <f>'2020-21'!D41</f>
        <v>8521</v>
      </c>
      <c r="D26" s="266"/>
      <c r="E26" s="265">
        <f t="shared" si="0"/>
        <v>0</v>
      </c>
      <c r="F26" s="261"/>
      <c r="G26" s="269">
        <f t="shared" si="1"/>
        <v>0</v>
      </c>
      <c r="H26" s="261"/>
      <c r="I26" s="269">
        <f t="shared" si="2"/>
        <v>0</v>
      </c>
      <c r="J26" s="261"/>
      <c r="K26" s="269">
        <f t="shared" si="3"/>
        <v>0</v>
      </c>
      <c r="L26" s="261"/>
      <c r="M26" s="269">
        <f t="shared" si="4"/>
        <v>0</v>
      </c>
      <c r="N26" s="261"/>
      <c r="O26" s="269">
        <f t="shared" si="5"/>
        <v>0</v>
      </c>
      <c r="P26" s="261"/>
      <c r="Q26" s="269">
        <f t="shared" si="6"/>
        <v>0</v>
      </c>
      <c r="R26" s="261"/>
      <c r="S26" s="269">
        <f t="shared" si="7"/>
        <v>0</v>
      </c>
      <c r="T26" s="261"/>
      <c r="U26" s="270">
        <f t="shared" si="8"/>
        <v>0</v>
      </c>
    </row>
    <row r="27" spans="1:21" x14ac:dyDescent="0.35">
      <c r="A27" s="254" t="str">
        <f>'2020-21'!A42</f>
        <v>HUARD</v>
      </c>
      <c r="B27" s="251">
        <f>'2020-21'!C42</f>
        <v>36011</v>
      </c>
      <c r="C27" s="257">
        <f>'2020-21'!D42</f>
        <v>36011</v>
      </c>
      <c r="D27" s="258"/>
      <c r="E27" s="265">
        <f t="shared" si="0"/>
        <v>0</v>
      </c>
      <c r="F27" s="251"/>
      <c r="G27" s="269">
        <f t="shared" si="1"/>
        <v>0</v>
      </c>
      <c r="H27" s="251"/>
      <c r="I27" s="269">
        <f t="shared" si="2"/>
        <v>0</v>
      </c>
      <c r="J27" s="251"/>
      <c r="K27" s="269">
        <f t="shared" si="3"/>
        <v>0</v>
      </c>
      <c r="L27" s="251"/>
      <c r="M27" s="269">
        <f t="shared" si="4"/>
        <v>0</v>
      </c>
      <c r="N27" s="251"/>
      <c r="O27" s="269">
        <f t="shared" si="5"/>
        <v>0</v>
      </c>
      <c r="P27" s="251"/>
      <c r="Q27" s="269">
        <f t="shared" si="6"/>
        <v>0</v>
      </c>
      <c r="R27" s="251"/>
      <c r="S27" s="269">
        <f t="shared" si="7"/>
        <v>0</v>
      </c>
      <c r="T27" s="251"/>
      <c r="U27" s="270">
        <f t="shared" si="8"/>
        <v>0</v>
      </c>
    </row>
    <row r="28" spans="1:21" x14ac:dyDescent="0.35">
      <c r="A28" s="260" t="str">
        <f>'2020-21'!A43</f>
        <v>GUEDON</v>
      </c>
      <c r="B28" s="261">
        <f>'2020-21'!C43</f>
        <v>124336</v>
      </c>
      <c r="C28" s="262">
        <f>'2020-21'!D43</f>
        <v>124336</v>
      </c>
      <c r="D28" s="266"/>
      <c r="E28" s="265">
        <f t="shared" si="0"/>
        <v>0</v>
      </c>
      <c r="F28" s="261"/>
      <c r="G28" s="269">
        <f t="shared" si="1"/>
        <v>0</v>
      </c>
      <c r="H28" s="261"/>
      <c r="I28" s="269">
        <f t="shared" si="2"/>
        <v>0</v>
      </c>
      <c r="J28" s="261"/>
      <c r="K28" s="269">
        <f t="shared" si="3"/>
        <v>0</v>
      </c>
      <c r="L28" s="261"/>
      <c r="M28" s="269">
        <f t="shared" si="4"/>
        <v>0</v>
      </c>
      <c r="N28" s="261"/>
      <c r="O28" s="269">
        <f t="shared" si="5"/>
        <v>0</v>
      </c>
      <c r="P28" s="261"/>
      <c r="Q28" s="269">
        <f t="shared" si="6"/>
        <v>0</v>
      </c>
      <c r="R28" s="261"/>
      <c r="S28" s="269">
        <f t="shared" si="7"/>
        <v>0</v>
      </c>
      <c r="T28" s="261"/>
      <c r="U28" s="270">
        <f t="shared" si="8"/>
        <v>0</v>
      </c>
    </row>
    <row r="29" spans="1:21" x14ac:dyDescent="0.35">
      <c r="A29" s="254" t="str">
        <f>'2020-21'!A44</f>
        <v>FROGER</v>
      </c>
      <c r="B29" s="251">
        <f>'2020-21'!C44</f>
        <v>1913.88</v>
      </c>
      <c r="C29" s="257">
        <f>'2020-21'!D44</f>
        <v>1913.88</v>
      </c>
      <c r="D29" s="258"/>
      <c r="E29" s="265">
        <f t="shared" si="0"/>
        <v>0</v>
      </c>
      <c r="F29" s="251"/>
      <c r="G29" s="269">
        <f t="shared" si="1"/>
        <v>0</v>
      </c>
      <c r="H29" s="251"/>
      <c r="I29" s="269">
        <f t="shared" si="2"/>
        <v>0</v>
      </c>
      <c r="J29" s="251"/>
      <c r="K29" s="269">
        <f t="shared" si="3"/>
        <v>0</v>
      </c>
      <c r="L29" s="251"/>
      <c r="M29" s="269">
        <f t="shared" si="4"/>
        <v>0</v>
      </c>
      <c r="N29" s="251"/>
      <c r="O29" s="269">
        <f t="shared" si="5"/>
        <v>0</v>
      </c>
      <c r="P29" s="251"/>
      <c r="Q29" s="269">
        <f t="shared" si="6"/>
        <v>0</v>
      </c>
      <c r="R29" s="251"/>
      <c r="S29" s="269">
        <f t="shared" si="7"/>
        <v>0</v>
      </c>
      <c r="T29" s="251"/>
      <c r="U29" s="270">
        <f t="shared" si="8"/>
        <v>0</v>
      </c>
    </row>
    <row r="30" spans="1:21" x14ac:dyDescent="0.35">
      <c r="A30" s="260" t="str">
        <f>'2020-21'!A45</f>
        <v>BOUILLET</v>
      </c>
      <c r="B30" s="261">
        <f>'2020-21'!C45</f>
        <v>2925</v>
      </c>
      <c r="C30" s="262">
        <f>'2020-21'!D45</f>
        <v>2925</v>
      </c>
      <c r="D30" s="266"/>
      <c r="E30" s="265">
        <f t="shared" si="0"/>
        <v>0</v>
      </c>
      <c r="F30" s="261"/>
      <c r="G30" s="269">
        <f t="shared" si="1"/>
        <v>0</v>
      </c>
      <c r="H30" s="261"/>
      <c r="I30" s="269">
        <f t="shared" si="2"/>
        <v>0</v>
      </c>
      <c r="J30" s="261"/>
      <c r="K30" s="269">
        <f t="shared" si="3"/>
        <v>0</v>
      </c>
      <c r="L30" s="261"/>
      <c r="M30" s="269">
        <f t="shared" si="4"/>
        <v>0</v>
      </c>
      <c r="N30" s="261"/>
      <c r="O30" s="269">
        <f t="shared" si="5"/>
        <v>0</v>
      </c>
      <c r="P30" s="261"/>
      <c r="Q30" s="269">
        <f t="shared" si="6"/>
        <v>0</v>
      </c>
      <c r="R30" s="261"/>
      <c r="S30" s="269">
        <f t="shared" si="7"/>
        <v>0</v>
      </c>
      <c r="T30" s="261"/>
      <c r="U30" s="270">
        <f t="shared" si="8"/>
        <v>0</v>
      </c>
    </row>
    <row r="31" spans="1:21" x14ac:dyDescent="0.35">
      <c r="A31" s="254" t="str">
        <f>'2020-21'!A46</f>
        <v>DUMAT MATTA</v>
      </c>
      <c r="B31" s="251">
        <f>'2020-21'!C46</f>
        <v>4018</v>
      </c>
      <c r="C31" s="257">
        <f>'2020-21'!D46</f>
        <v>4018</v>
      </c>
      <c r="D31" s="258"/>
      <c r="E31" s="265">
        <f t="shared" si="0"/>
        <v>0</v>
      </c>
      <c r="F31" s="251"/>
      <c r="G31" s="269">
        <f t="shared" si="1"/>
        <v>0</v>
      </c>
      <c r="H31" s="251"/>
      <c r="I31" s="269">
        <f t="shared" si="2"/>
        <v>0</v>
      </c>
      <c r="J31" s="251"/>
      <c r="K31" s="269">
        <f t="shared" si="3"/>
        <v>0</v>
      </c>
      <c r="L31" s="251"/>
      <c r="M31" s="269">
        <f t="shared" si="4"/>
        <v>0</v>
      </c>
      <c r="N31" s="251"/>
      <c r="O31" s="269">
        <f t="shared" si="5"/>
        <v>0</v>
      </c>
      <c r="P31" s="251"/>
      <c r="Q31" s="269">
        <f t="shared" si="6"/>
        <v>0</v>
      </c>
      <c r="R31" s="251"/>
      <c r="S31" s="269">
        <f t="shared" si="7"/>
        <v>0</v>
      </c>
      <c r="T31" s="251"/>
      <c r="U31" s="270">
        <f t="shared" si="8"/>
        <v>0</v>
      </c>
    </row>
    <row r="32" spans="1:21" x14ac:dyDescent="0.35">
      <c r="A32" s="260" t="str">
        <f>'2020-21'!A47</f>
        <v>GIRARD</v>
      </c>
      <c r="B32" s="261">
        <f>'2020-21'!C47</f>
        <v>59556.29</v>
      </c>
      <c r="C32" s="262">
        <f>'2020-21'!D47</f>
        <v>59556</v>
      </c>
      <c r="D32" s="266"/>
      <c r="E32" s="265">
        <f t="shared" si="0"/>
        <v>0</v>
      </c>
      <c r="F32" s="261"/>
      <c r="G32" s="269">
        <f t="shared" si="1"/>
        <v>0</v>
      </c>
      <c r="H32" s="261"/>
      <c r="I32" s="269">
        <f t="shared" si="2"/>
        <v>0</v>
      </c>
      <c r="J32" s="261"/>
      <c r="K32" s="269">
        <f t="shared" si="3"/>
        <v>0</v>
      </c>
      <c r="L32" s="261"/>
      <c r="M32" s="269">
        <f t="shared" si="4"/>
        <v>0</v>
      </c>
      <c r="N32" s="261"/>
      <c r="O32" s="269">
        <f t="shared" si="5"/>
        <v>0</v>
      </c>
      <c r="P32" s="261"/>
      <c r="Q32" s="269">
        <f t="shared" si="6"/>
        <v>0</v>
      </c>
      <c r="R32" s="261"/>
      <c r="S32" s="269">
        <f t="shared" si="7"/>
        <v>0</v>
      </c>
      <c r="T32" s="261"/>
      <c r="U32" s="270">
        <f t="shared" si="8"/>
        <v>0</v>
      </c>
    </row>
    <row r="33" spans="1:21" x14ac:dyDescent="0.35">
      <c r="A33" s="254" t="str">
        <f>'2020-21'!A48</f>
        <v>ROHRBACH</v>
      </c>
      <c r="B33" s="251">
        <f>'2020-21'!C48</f>
        <v>1661</v>
      </c>
      <c r="C33" s="257">
        <f>'2020-21'!D48</f>
        <v>1661</v>
      </c>
      <c r="D33" s="258"/>
      <c r="E33" s="265">
        <f t="shared" si="0"/>
        <v>0</v>
      </c>
      <c r="F33" s="251"/>
      <c r="G33" s="269">
        <f t="shared" si="1"/>
        <v>0</v>
      </c>
      <c r="H33" s="251"/>
      <c r="I33" s="269">
        <f t="shared" si="2"/>
        <v>0</v>
      </c>
      <c r="J33" s="251"/>
      <c r="K33" s="269">
        <f t="shared" si="3"/>
        <v>0</v>
      </c>
      <c r="L33" s="251"/>
      <c r="M33" s="269">
        <f t="shared" si="4"/>
        <v>0</v>
      </c>
      <c r="N33" s="251"/>
      <c r="O33" s="269">
        <f t="shared" si="5"/>
        <v>0</v>
      </c>
      <c r="P33" s="251"/>
      <c r="Q33" s="269">
        <f t="shared" si="6"/>
        <v>0</v>
      </c>
      <c r="R33" s="251"/>
      <c r="S33" s="269">
        <f t="shared" si="7"/>
        <v>0</v>
      </c>
      <c r="T33" s="251"/>
      <c r="U33" s="270">
        <f t="shared" si="8"/>
        <v>0</v>
      </c>
    </row>
    <row r="34" spans="1:21" x14ac:dyDescent="0.35">
      <c r="A34" s="260" t="str">
        <f>'2020-21'!A49</f>
        <v>GESLIN</v>
      </c>
      <c r="B34" s="261">
        <f>'2020-21'!C49</f>
        <v>26119</v>
      </c>
      <c r="C34" s="262">
        <f>'2020-21'!D49</f>
        <v>26119</v>
      </c>
      <c r="D34" s="266"/>
      <c r="E34" s="265">
        <f t="shared" si="0"/>
        <v>0</v>
      </c>
      <c r="F34" s="261"/>
      <c r="G34" s="269">
        <f t="shared" si="1"/>
        <v>0</v>
      </c>
      <c r="H34" s="261"/>
      <c r="I34" s="269">
        <f t="shared" si="2"/>
        <v>0</v>
      </c>
      <c r="J34" s="261"/>
      <c r="K34" s="269">
        <f t="shared" si="3"/>
        <v>0</v>
      </c>
      <c r="L34" s="261"/>
      <c r="M34" s="269">
        <f t="shared" si="4"/>
        <v>0</v>
      </c>
      <c r="N34" s="261"/>
      <c r="O34" s="269">
        <f t="shared" si="5"/>
        <v>0</v>
      </c>
      <c r="P34" s="261"/>
      <c r="Q34" s="269">
        <f t="shared" si="6"/>
        <v>0</v>
      </c>
      <c r="R34" s="261"/>
      <c r="S34" s="269">
        <f t="shared" si="7"/>
        <v>0</v>
      </c>
      <c r="T34" s="261"/>
      <c r="U34" s="270">
        <f t="shared" si="8"/>
        <v>0</v>
      </c>
    </row>
    <row r="35" spans="1:21" x14ac:dyDescent="0.35">
      <c r="A35" s="254" t="str">
        <f>'2020-21'!A50</f>
        <v>CHAVENTRE</v>
      </c>
      <c r="B35" s="251">
        <f>'2020-21'!C50</f>
        <v>1600</v>
      </c>
      <c r="C35" s="257">
        <f>'2020-21'!D50</f>
        <v>1600</v>
      </c>
      <c r="D35" s="258"/>
      <c r="E35" s="265">
        <f t="shared" si="0"/>
        <v>0</v>
      </c>
      <c r="F35" s="251"/>
      <c r="G35" s="269">
        <f t="shared" si="1"/>
        <v>0</v>
      </c>
      <c r="H35" s="251"/>
      <c r="I35" s="269">
        <f t="shared" si="2"/>
        <v>0</v>
      </c>
      <c r="J35" s="251"/>
      <c r="K35" s="269">
        <f t="shared" si="3"/>
        <v>0</v>
      </c>
      <c r="L35" s="251"/>
      <c r="M35" s="269">
        <f t="shared" si="4"/>
        <v>0</v>
      </c>
      <c r="N35" s="251"/>
      <c r="O35" s="269">
        <f t="shared" si="5"/>
        <v>0</v>
      </c>
      <c r="P35" s="251"/>
      <c r="Q35" s="269">
        <f t="shared" si="6"/>
        <v>0</v>
      </c>
      <c r="R35" s="251"/>
      <c r="S35" s="269">
        <f t="shared" si="7"/>
        <v>0</v>
      </c>
      <c r="T35" s="251"/>
      <c r="U35" s="270">
        <f t="shared" si="8"/>
        <v>0</v>
      </c>
    </row>
    <row r="36" spans="1:21" x14ac:dyDescent="0.35">
      <c r="A36" s="260" t="str">
        <f>'2020-21'!A51</f>
        <v>THIRE</v>
      </c>
      <c r="B36" s="261">
        <f>'2020-21'!C51</f>
        <v>30000</v>
      </c>
      <c r="C36" s="262">
        <f>'2020-21'!D51</f>
        <v>30000</v>
      </c>
      <c r="D36" s="266"/>
      <c r="E36" s="265">
        <f t="shared" si="0"/>
        <v>0</v>
      </c>
      <c r="F36" s="261"/>
      <c r="G36" s="269">
        <f t="shared" si="1"/>
        <v>0</v>
      </c>
      <c r="H36" s="261"/>
      <c r="I36" s="269">
        <f t="shared" si="2"/>
        <v>0</v>
      </c>
      <c r="J36" s="261"/>
      <c r="K36" s="269">
        <f t="shared" si="3"/>
        <v>0</v>
      </c>
      <c r="L36" s="261"/>
      <c r="M36" s="269">
        <f t="shared" si="4"/>
        <v>0</v>
      </c>
      <c r="N36" s="261"/>
      <c r="O36" s="269">
        <f t="shared" si="5"/>
        <v>0</v>
      </c>
      <c r="P36" s="261"/>
      <c r="Q36" s="269">
        <f t="shared" si="6"/>
        <v>0</v>
      </c>
      <c r="R36" s="261"/>
      <c r="S36" s="269">
        <f t="shared" si="7"/>
        <v>0</v>
      </c>
      <c r="T36" s="261"/>
      <c r="U36" s="270">
        <f t="shared" si="8"/>
        <v>0</v>
      </c>
    </row>
    <row r="37" spans="1:21" x14ac:dyDescent="0.35">
      <c r="A37" s="254" t="str">
        <f>'2020-21'!A52</f>
        <v>GEZE extension</v>
      </c>
      <c r="B37" s="251">
        <f>'2020-21'!C52</f>
        <v>23871.78</v>
      </c>
      <c r="C37" s="257">
        <f>'2020-21'!D52</f>
        <v>23871.78</v>
      </c>
      <c r="D37" s="258"/>
      <c r="E37" s="265">
        <f t="shared" si="0"/>
        <v>0</v>
      </c>
      <c r="F37" s="251"/>
      <c r="G37" s="269">
        <f t="shared" si="1"/>
        <v>0</v>
      </c>
      <c r="H37" s="251"/>
      <c r="I37" s="269">
        <f t="shared" si="2"/>
        <v>0</v>
      </c>
      <c r="J37" s="251"/>
      <c r="K37" s="269">
        <f t="shared" si="3"/>
        <v>0</v>
      </c>
      <c r="L37" s="251"/>
      <c r="M37" s="269">
        <f t="shared" si="4"/>
        <v>0</v>
      </c>
      <c r="N37" s="251"/>
      <c r="O37" s="269">
        <f t="shared" si="5"/>
        <v>0</v>
      </c>
      <c r="P37" s="251"/>
      <c r="Q37" s="269">
        <f t="shared" si="6"/>
        <v>0</v>
      </c>
      <c r="R37" s="251"/>
      <c r="S37" s="269">
        <f t="shared" si="7"/>
        <v>0</v>
      </c>
      <c r="T37" s="251"/>
      <c r="U37" s="270">
        <f t="shared" si="8"/>
        <v>0</v>
      </c>
    </row>
    <row r="38" spans="1:21" x14ac:dyDescent="0.35">
      <c r="A38" s="260" t="str">
        <f>'2020-21'!A53</f>
        <v>GEZE existant</v>
      </c>
      <c r="B38" s="261">
        <f>'2020-21'!C53</f>
        <v>16560.34</v>
      </c>
      <c r="C38" s="262">
        <f>'2020-21'!D53</f>
        <v>16560</v>
      </c>
      <c r="D38" s="266"/>
      <c r="E38" s="265">
        <f t="shared" si="0"/>
        <v>0</v>
      </c>
      <c r="F38" s="261"/>
      <c r="G38" s="269">
        <f t="shared" si="1"/>
        <v>0</v>
      </c>
      <c r="H38" s="261"/>
      <c r="I38" s="269">
        <f t="shared" si="2"/>
        <v>0</v>
      </c>
      <c r="J38" s="261"/>
      <c r="K38" s="269">
        <f t="shared" si="3"/>
        <v>0</v>
      </c>
      <c r="L38" s="261"/>
      <c r="M38" s="269">
        <f t="shared" si="4"/>
        <v>0</v>
      </c>
      <c r="N38" s="261"/>
      <c r="O38" s="269">
        <f t="shared" si="5"/>
        <v>0</v>
      </c>
      <c r="P38" s="261"/>
      <c r="Q38" s="269">
        <f t="shared" si="6"/>
        <v>0</v>
      </c>
      <c r="R38" s="261"/>
      <c r="S38" s="269">
        <f t="shared" si="7"/>
        <v>0</v>
      </c>
      <c r="T38" s="261"/>
      <c r="U38" s="270">
        <f t="shared" si="8"/>
        <v>0</v>
      </c>
    </row>
    <row r="39" spans="1:21" x14ac:dyDescent="0.35">
      <c r="A39" s="254" t="str">
        <f>'2020-21'!A54</f>
        <v>DELENTE</v>
      </c>
      <c r="B39" s="251">
        <f>'2020-21'!C54</f>
        <v>4831.04</v>
      </c>
      <c r="C39" s="257">
        <f>'2020-21'!D54</f>
        <v>4831</v>
      </c>
      <c r="D39" s="258"/>
      <c r="E39" s="265">
        <f t="shared" si="0"/>
        <v>0</v>
      </c>
      <c r="F39" s="251"/>
      <c r="G39" s="269">
        <f t="shared" si="1"/>
        <v>0</v>
      </c>
      <c r="H39" s="251"/>
      <c r="I39" s="269">
        <f t="shared" si="2"/>
        <v>0</v>
      </c>
      <c r="J39" s="251"/>
      <c r="K39" s="269">
        <f t="shared" si="3"/>
        <v>0</v>
      </c>
      <c r="L39" s="251"/>
      <c r="M39" s="269">
        <f t="shared" si="4"/>
        <v>0</v>
      </c>
      <c r="N39" s="251"/>
      <c r="O39" s="269">
        <f t="shared" si="5"/>
        <v>0</v>
      </c>
      <c r="P39" s="251"/>
      <c r="Q39" s="269">
        <f t="shared" si="6"/>
        <v>0</v>
      </c>
      <c r="R39" s="251"/>
      <c r="S39" s="269">
        <f t="shared" si="7"/>
        <v>0</v>
      </c>
      <c r="T39" s="251"/>
      <c r="U39" s="270">
        <f t="shared" si="8"/>
        <v>0</v>
      </c>
    </row>
    <row r="40" spans="1:21" x14ac:dyDescent="0.35">
      <c r="A40" s="260" t="str">
        <f>'2020-21'!A55</f>
        <v>DAGORN</v>
      </c>
      <c r="B40" s="261">
        <f>'2020-21'!C55</f>
        <v>42327.65</v>
      </c>
      <c r="C40" s="262">
        <f>'2020-21'!D55</f>
        <v>42327.65</v>
      </c>
      <c r="D40" s="266"/>
      <c r="E40" s="265">
        <f t="shared" si="0"/>
        <v>0</v>
      </c>
      <c r="F40" s="261"/>
      <c r="G40" s="269">
        <f t="shared" si="1"/>
        <v>0</v>
      </c>
      <c r="H40" s="261"/>
      <c r="I40" s="269">
        <f t="shared" si="2"/>
        <v>0</v>
      </c>
      <c r="J40" s="261"/>
      <c r="K40" s="269">
        <f t="shared" si="3"/>
        <v>0</v>
      </c>
      <c r="L40" s="261"/>
      <c r="M40" s="269">
        <f t="shared" si="4"/>
        <v>0</v>
      </c>
      <c r="N40" s="261"/>
      <c r="O40" s="269">
        <f t="shared" si="5"/>
        <v>0</v>
      </c>
      <c r="P40" s="261"/>
      <c r="Q40" s="269">
        <f t="shared" si="6"/>
        <v>0</v>
      </c>
      <c r="R40" s="261"/>
      <c r="S40" s="269">
        <f t="shared" si="7"/>
        <v>0</v>
      </c>
      <c r="T40" s="261"/>
      <c r="U40" s="270">
        <f t="shared" si="8"/>
        <v>0</v>
      </c>
    </row>
    <row r="41" spans="1:21" x14ac:dyDescent="0.35">
      <c r="A41" s="254" t="str">
        <f>'2020-21'!A56</f>
        <v>DARCILLON</v>
      </c>
      <c r="B41" s="251">
        <f>'2020-21'!C56</f>
        <v>67570</v>
      </c>
      <c r="C41" s="257">
        <f>'2020-21'!D56</f>
        <v>67570</v>
      </c>
      <c r="D41" s="258"/>
      <c r="E41" s="265">
        <f t="shared" si="0"/>
        <v>0</v>
      </c>
      <c r="F41" s="251"/>
      <c r="G41" s="269">
        <f t="shared" si="1"/>
        <v>0</v>
      </c>
      <c r="H41" s="251"/>
      <c r="I41" s="269">
        <f t="shared" si="2"/>
        <v>0</v>
      </c>
      <c r="J41" s="251"/>
      <c r="K41" s="269">
        <f t="shared" si="3"/>
        <v>0</v>
      </c>
      <c r="L41" s="251"/>
      <c r="M41" s="269">
        <f t="shared" si="4"/>
        <v>0</v>
      </c>
      <c r="N41" s="251"/>
      <c r="O41" s="269">
        <f t="shared" si="5"/>
        <v>0</v>
      </c>
      <c r="P41" s="251"/>
      <c r="Q41" s="269">
        <f t="shared" si="6"/>
        <v>0</v>
      </c>
      <c r="R41" s="251"/>
      <c r="S41" s="269">
        <f t="shared" si="7"/>
        <v>0</v>
      </c>
      <c r="T41" s="251"/>
      <c r="U41" s="270">
        <f t="shared" si="8"/>
        <v>0</v>
      </c>
    </row>
    <row r="42" spans="1:21" x14ac:dyDescent="0.35">
      <c r="A42" s="260" t="str">
        <f>'2020-21'!A57</f>
        <v>BANSE BROTELANDE</v>
      </c>
      <c r="B42" s="261">
        <f>'2020-21'!C57</f>
        <v>48518.45</v>
      </c>
      <c r="C42" s="262">
        <f>'2020-21'!D57</f>
        <v>48518.45</v>
      </c>
      <c r="D42" s="266"/>
      <c r="E42" s="265">
        <f t="shared" si="0"/>
        <v>0</v>
      </c>
      <c r="F42" s="261"/>
      <c r="G42" s="269">
        <f t="shared" si="1"/>
        <v>0</v>
      </c>
      <c r="H42" s="261"/>
      <c r="I42" s="269">
        <f t="shared" si="2"/>
        <v>0</v>
      </c>
      <c r="J42" s="261"/>
      <c r="K42" s="269">
        <f t="shared" si="3"/>
        <v>0</v>
      </c>
      <c r="L42" s="261"/>
      <c r="M42" s="269">
        <f t="shared" si="4"/>
        <v>0</v>
      </c>
      <c r="N42" s="261"/>
      <c r="O42" s="269">
        <f t="shared" si="5"/>
        <v>0</v>
      </c>
      <c r="P42" s="261"/>
      <c r="Q42" s="269">
        <f t="shared" si="6"/>
        <v>0</v>
      </c>
      <c r="R42" s="261"/>
      <c r="S42" s="269">
        <f t="shared" si="7"/>
        <v>0</v>
      </c>
      <c r="T42" s="261"/>
      <c r="U42" s="270">
        <f t="shared" si="8"/>
        <v>0</v>
      </c>
    </row>
    <row r="43" spans="1:21" x14ac:dyDescent="0.35">
      <c r="A43" s="254" t="str">
        <f>'2020-21'!A58</f>
        <v>ROBIN</v>
      </c>
      <c r="B43" s="251">
        <f>'2020-21'!C58</f>
        <v>29150</v>
      </c>
      <c r="C43" s="257">
        <f>'2020-21'!D58</f>
        <v>29150</v>
      </c>
      <c r="D43" s="258"/>
      <c r="E43" s="265">
        <f t="shared" si="0"/>
        <v>0</v>
      </c>
      <c r="F43" s="251"/>
      <c r="G43" s="269">
        <f t="shared" si="1"/>
        <v>0</v>
      </c>
      <c r="H43" s="251"/>
      <c r="I43" s="269">
        <f t="shared" si="2"/>
        <v>0</v>
      </c>
      <c r="J43" s="251"/>
      <c r="K43" s="269">
        <f t="shared" si="3"/>
        <v>0</v>
      </c>
      <c r="L43" s="251"/>
      <c r="M43" s="269">
        <f t="shared" si="4"/>
        <v>0</v>
      </c>
      <c r="N43" s="251"/>
      <c r="O43" s="269">
        <f t="shared" si="5"/>
        <v>0</v>
      </c>
      <c r="P43" s="251"/>
      <c r="Q43" s="269">
        <f t="shared" si="6"/>
        <v>0</v>
      </c>
      <c r="R43" s="251"/>
      <c r="S43" s="269">
        <f t="shared" si="7"/>
        <v>0</v>
      </c>
      <c r="T43" s="251"/>
      <c r="U43" s="270">
        <f t="shared" si="8"/>
        <v>0</v>
      </c>
    </row>
    <row r="44" spans="1:21" x14ac:dyDescent="0.35">
      <c r="A44" s="260" t="str">
        <f>'2020-21'!A59</f>
        <v>CHESNEL</v>
      </c>
      <c r="B44" s="261">
        <f>'2020-21'!C59</f>
        <v>23403</v>
      </c>
      <c r="C44" s="262">
        <f>'2020-21'!D59</f>
        <v>24308</v>
      </c>
      <c r="D44" s="266"/>
      <c r="E44" s="265">
        <f t="shared" si="0"/>
        <v>0</v>
      </c>
      <c r="F44" s="261"/>
      <c r="G44" s="269">
        <f t="shared" si="1"/>
        <v>0</v>
      </c>
      <c r="H44" s="261"/>
      <c r="I44" s="269">
        <f t="shared" si="2"/>
        <v>0</v>
      </c>
      <c r="J44" s="261"/>
      <c r="K44" s="269">
        <f t="shared" si="3"/>
        <v>0</v>
      </c>
      <c r="L44" s="261"/>
      <c r="M44" s="269">
        <f t="shared" si="4"/>
        <v>0</v>
      </c>
      <c r="N44" s="261"/>
      <c r="O44" s="269">
        <f t="shared" si="5"/>
        <v>0</v>
      </c>
      <c r="P44" s="261"/>
      <c r="Q44" s="269">
        <f t="shared" si="6"/>
        <v>0</v>
      </c>
      <c r="R44" s="261"/>
      <c r="S44" s="269">
        <f t="shared" si="7"/>
        <v>0</v>
      </c>
      <c r="T44" s="261"/>
      <c r="U44" s="270">
        <f t="shared" si="8"/>
        <v>0</v>
      </c>
    </row>
    <row r="45" spans="1:21" x14ac:dyDescent="0.35">
      <c r="A45" s="254" t="str">
        <f>'2020-21'!A60</f>
        <v>ROUSSEL</v>
      </c>
      <c r="B45" s="251">
        <f>'2020-21'!C60</f>
        <v>72184.329999999987</v>
      </c>
      <c r="C45" s="257">
        <f>'2020-21'!D60</f>
        <v>72184.329999999987</v>
      </c>
      <c r="D45" s="258"/>
      <c r="E45" s="265">
        <f t="shared" si="0"/>
        <v>0</v>
      </c>
      <c r="F45" s="251"/>
      <c r="G45" s="269">
        <f t="shared" si="1"/>
        <v>0</v>
      </c>
      <c r="H45" s="251"/>
      <c r="I45" s="269">
        <f t="shared" si="2"/>
        <v>0</v>
      </c>
      <c r="J45" s="251"/>
      <c r="K45" s="269">
        <f t="shared" si="3"/>
        <v>0</v>
      </c>
      <c r="L45" s="251"/>
      <c r="M45" s="269">
        <f t="shared" si="4"/>
        <v>0</v>
      </c>
      <c r="N45" s="251"/>
      <c r="O45" s="269">
        <f t="shared" si="5"/>
        <v>0</v>
      </c>
      <c r="P45" s="251"/>
      <c r="Q45" s="269">
        <f t="shared" si="6"/>
        <v>0</v>
      </c>
      <c r="R45" s="251"/>
      <c r="S45" s="269">
        <f t="shared" si="7"/>
        <v>0</v>
      </c>
      <c r="T45" s="251"/>
      <c r="U45" s="270">
        <f t="shared" si="8"/>
        <v>0</v>
      </c>
    </row>
    <row r="46" spans="1:21" x14ac:dyDescent="0.35">
      <c r="A46" s="260" t="str">
        <f>'2020-21'!A61</f>
        <v>HULIN</v>
      </c>
      <c r="B46" s="261">
        <f>'2020-21'!C61</f>
        <v>35932.239999999998</v>
      </c>
      <c r="C46" s="262">
        <f>'2020-21'!D61</f>
        <v>35932.239999999998</v>
      </c>
      <c r="D46" s="266"/>
      <c r="E46" s="265">
        <f t="shared" si="0"/>
        <v>0</v>
      </c>
      <c r="F46" s="261"/>
      <c r="G46" s="269">
        <f t="shared" si="1"/>
        <v>0</v>
      </c>
      <c r="H46" s="261"/>
      <c r="I46" s="269">
        <f t="shared" si="2"/>
        <v>0</v>
      </c>
      <c r="J46" s="261"/>
      <c r="K46" s="269">
        <f t="shared" si="3"/>
        <v>0</v>
      </c>
      <c r="L46" s="261"/>
      <c r="M46" s="269">
        <f t="shared" si="4"/>
        <v>0</v>
      </c>
      <c r="N46" s="261"/>
      <c r="O46" s="269">
        <f t="shared" si="5"/>
        <v>0</v>
      </c>
      <c r="P46" s="261"/>
      <c r="Q46" s="269">
        <f t="shared" si="6"/>
        <v>0</v>
      </c>
      <c r="R46" s="261"/>
      <c r="S46" s="269">
        <f t="shared" si="7"/>
        <v>0</v>
      </c>
      <c r="T46" s="261"/>
      <c r="U46" s="270">
        <f t="shared" si="8"/>
        <v>0</v>
      </c>
    </row>
    <row r="47" spans="1:21" x14ac:dyDescent="0.35">
      <c r="A47" s="254" t="str">
        <f>'2020-21'!A62</f>
        <v>SCI LABRADORITE</v>
      </c>
      <c r="B47" s="251">
        <f>'2020-21'!C62</f>
        <v>41267.730000000003</v>
      </c>
      <c r="C47" s="257">
        <f>'2020-21'!D62</f>
        <v>41267.730000000003</v>
      </c>
      <c r="D47" s="258"/>
      <c r="E47" s="265">
        <f t="shared" si="0"/>
        <v>0</v>
      </c>
      <c r="F47" s="251"/>
      <c r="G47" s="269">
        <f t="shared" si="1"/>
        <v>0</v>
      </c>
      <c r="H47" s="251"/>
      <c r="I47" s="269">
        <f t="shared" si="2"/>
        <v>0</v>
      </c>
      <c r="J47" s="251"/>
      <c r="K47" s="269">
        <f t="shared" si="3"/>
        <v>0</v>
      </c>
      <c r="L47" s="251"/>
      <c r="M47" s="269">
        <f t="shared" si="4"/>
        <v>0</v>
      </c>
      <c r="N47" s="251"/>
      <c r="O47" s="269">
        <f t="shared" si="5"/>
        <v>0</v>
      </c>
      <c r="P47" s="251"/>
      <c r="Q47" s="269">
        <f t="shared" si="6"/>
        <v>0</v>
      </c>
      <c r="R47" s="251"/>
      <c r="S47" s="269">
        <f t="shared" si="7"/>
        <v>0</v>
      </c>
      <c r="T47" s="251"/>
      <c r="U47" s="270">
        <f t="shared" si="8"/>
        <v>0</v>
      </c>
    </row>
    <row r="48" spans="1:21" x14ac:dyDescent="0.35">
      <c r="A48" s="260" t="str">
        <f>'2020-21'!A63</f>
        <v>COYER</v>
      </c>
      <c r="B48" s="261">
        <f>'2020-21'!C63</f>
        <v>6867.9100000000008</v>
      </c>
      <c r="C48" s="262">
        <f>'2020-21'!D63</f>
        <v>6867.9100000000008</v>
      </c>
      <c r="D48" s="266"/>
      <c r="E48" s="265">
        <f t="shared" si="0"/>
        <v>0</v>
      </c>
      <c r="F48" s="261"/>
      <c r="G48" s="269">
        <f t="shared" si="1"/>
        <v>0</v>
      </c>
      <c r="H48" s="261"/>
      <c r="I48" s="269">
        <f t="shared" si="2"/>
        <v>0</v>
      </c>
      <c r="J48" s="261"/>
      <c r="K48" s="269">
        <f t="shared" si="3"/>
        <v>0</v>
      </c>
      <c r="L48" s="261"/>
      <c r="M48" s="269">
        <f t="shared" si="4"/>
        <v>0</v>
      </c>
      <c r="N48" s="261"/>
      <c r="O48" s="269">
        <f t="shared" si="5"/>
        <v>0</v>
      </c>
      <c r="P48" s="261"/>
      <c r="Q48" s="269">
        <f t="shared" si="6"/>
        <v>0</v>
      </c>
      <c r="R48" s="261"/>
      <c r="S48" s="269">
        <f t="shared" si="7"/>
        <v>0</v>
      </c>
      <c r="T48" s="261"/>
      <c r="U48" s="270">
        <f t="shared" si="8"/>
        <v>0</v>
      </c>
    </row>
    <row r="49" spans="1:21" x14ac:dyDescent="0.35">
      <c r="A49" s="254" t="str">
        <f>'2020-21'!A64</f>
        <v>RF ROUSSEL</v>
      </c>
      <c r="B49" s="251">
        <f>'2020-21'!C64</f>
        <v>52092</v>
      </c>
      <c r="C49" s="257">
        <f>'2020-21'!D64</f>
        <v>52092</v>
      </c>
      <c r="D49" s="258"/>
      <c r="E49" s="265">
        <f t="shared" si="0"/>
        <v>0</v>
      </c>
      <c r="F49" s="251"/>
      <c r="G49" s="269">
        <f t="shared" si="1"/>
        <v>0</v>
      </c>
      <c r="H49" s="251"/>
      <c r="I49" s="269">
        <f t="shared" si="2"/>
        <v>0</v>
      </c>
      <c r="J49" s="251"/>
      <c r="K49" s="269">
        <f t="shared" si="3"/>
        <v>0</v>
      </c>
      <c r="L49" s="251"/>
      <c r="M49" s="269">
        <f t="shared" si="4"/>
        <v>0</v>
      </c>
      <c r="N49" s="251"/>
      <c r="O49" s="269">
        <f t="shared" si="5"/>
        <v>0</v>
      </c>
      <c r="P49" s="251"/>
      <c r="Q49" s="269">
        <f t="shared" si="6"/>
        <v>0</v>
      </c>
      <c r="R49" s="251"/>
      <c r="S49" s="269">
        <f t="shared" si="7"/>
        <v>0</v>
      </c>
      <c r="T49" s="251"/>
      <c r="U49" s="270">
        <f t="shared" si="8"/>
        <v>0</v>
      </c>
    </row>
    <row r="50" spans="1:21" x14ac:dyDescent="0.35">
      <c r="A50" s="260" t="str">
        <f>'2020-21'!A65</f>
        <v>ROUILLARD</v>
      </c>
      <c r="B50" s="261">
        <f>'2020-21'!C65</f>
        <v>12418.93</v>
      </c>
      <c r="C50" s="262">
        <f>'2020-21'!D65</f>
        <v>12418.93</v>
      </c>
      <c r="D50" s="266"/>
      <c r="E50" s="265">
        <f t="shared" si="0"/>
        <v>0</v>
      </c>
      <c r="F50" s="261"/>
      <c r="G50" s="269">
        <f t="shared" si="1"/>
        <v>0</v>
      </c>
      <c r="H50" s="261"/>
      <c r="I50" s="269">
        <f t="shared" si="2"/>
        <v>0</v>
      </c>
      <c r="J50" s="261"/>
      <c r="K50" s="269">
        <f t="shared" si="3"/>
        <v>0</v>
      </c>
      <c r="L50" s="261"/>
      <c r="M50" s="269">
        <f t="shared" si="4"/>
        <v>0</v>
      </c>
      <c r="N50" s="261"/>
      <c r="O50" s="269">
        <f t="shared" si="5"/>
        <v>0</v>
      </c>
      <c r="P50" s="261"/>
      <c r="Q50" s="269">
        <f t="shared" si="6"/>
        <v>0</v>
      </c>
      <c r="R50" s="261"/>
      <c r="S50" s="269">
        <f t="shared" si="7"/>
        <v>0</v>
      </c>
      <c r="T50" s="261"/>
      <c r="U50" s="270">
        <f t="shared" si="8"/>
        <v>0</v>
      </c>
    </row>
    <row r="51" spans="1:21" x14ac:dyDescent="0.35">
      <c r="A51" s="254" t="str">
        <f>'2020-21'!A66</f>
        <v>LALLOZ</v>
      </c>
      <c r="B51" s="251">
        <f>'2020-21'!C66</f>
        <v>5600.8</v>
      </c>
      <c r="C51" s="257">
        <f>'2020-21'!D66</f>
        <v>5600.8</v>
      </c>
      <c r="D51" s="258"/>
      <c r="E51" s="265">
        <f t="shared" si="0"/>
        <v>0</v>
      </c>
      <c r="F51" s="251"/>
      <c r="G51" s="269">
        <f t="shared" si="1"/>
        <v>0</v>
      </c>
      <c r="H51" s="251"/>
      <c r="I51" s="269">
        <f t="shared" si="2"/>
        <v>0</v>
      </c>
      <c r="J51" s="251"/>
      <c r="K51" s="269">
        <f t="shared" si="3"/>
        <v>0</v>
      </c>
      <c r="L51" s="251"/>
      <c r="M51" s="269">
        <f t="shared" si="4"/>
        <v>0</v>
      </c>
      <c r="N51" s="251"/>
      <c r="O51" s="269">
        <f t="shared" si="5"/>
        <v>0</v>
      </c>
      <c r="P51" s="251"/>
      <c r="Q51" s="269">
        <f t="shared" si="6"/>
        <v>0</v>
      </c>
      <c r="R51" s="251"/>
      <c r="S51" s="269">
        <f t="shared" si="7"/>
        <v>0</v>
      </c>
      <c r="T51" s="251"/>
      <c r="U51" s="270">
        <f t="shared" si="8"/>
        <v>0</v>
      </c>
    </row>
    <row r="52" spans="1:21" x14ac:dyDescent="0.35">
      <c r="A52" s="260" t="str">
        <f>'2020-21'!A67</f>
        <v>BROSSARD</v>
      </c>
      <c r="B52" s="261">
        <f>'2020-21'!C67</f>
        <v>480</v>
      </c>
      <c r="C52" s="262">
        <f>'2020-21'!D67</f>
        <v>480</v>
      </c>
      <c r="D52" s="266"/>
      <c r="E52" s="265">
        <f t="shared" si="0"/>
        <v>0</v>
      </c>
      <c r="F52" s="261"/>
      <c r="G52" s="269">
        <f t="shared" si="1"/>
        <v>0</v>
      </c>
      <c r="H52" s="261"/>
      <c r="I52" s="269">
        <f t="shared" si="2"/>
        <v>0</v>
      </c>
      <c r="J52" s="261"/>
      <c r="K52" s="269">
        <f t="shared" si="3"/>
        <v>0</v>
      </c>
      <c r="L52" s="261"/>
      <c r="M52" s="269">
        <f t="shared" si="4"/>
        <v>0</v>
      </c>
      <c r="N52" s="261"/>
      <c r="O52" s="269">
        <f t="shared" si="5"/>
        <v>0</v>
      </c>
      <c r="P52" s="261"/>
      <c r="Q52" s="269">
        <f t="shared" si="6"/>
        <v>0</v>
      </c>
      <c r="R52" s="261"/>
      <c r="S52" s="269">
        <f t="shared" si="7"/>
        <v>0</v>
      </c>
      <c r="T52" s="261"/>
      <c r="U52" s="270">
        <f t="shared" si="8"/>
        <v>0</v>
      </c>
    </row>
    <row r="53" spans="1:21" x14ac:dyDescent="0.35">
      <c r="A53" s="254" t="str">
        <f>'2020-21'!A68</f>
        <v>LEDORZE</v>
      </c>
      <c r="B53" s="251">
        <f>'2020-21'!C68</f>
        <v>3250</v>
      </c>
      <c r="C53" s="257">
        <f>'2020-21'!D68</f>
        <v>3250</v>
      </c>
      <c r="D53" s="258"/>
      <c r="E53" s="265">
        <f t="shared" si="0"/>
        <v>0</v>
      </c>
      <c r="F53" s="251"/>
      <c r="G53" s="269">
        <f t="shared" si="1"/>
        <v>0</v>
      </c>
      <c r="H53" s="251"/>
      <c r="I53" s="269">
        <f t="shared" si="2"/>
        <v>0</v>
      </c>
      <c r="J53" s="251"/>
      <c r="K53" s="269">
        <f t="shared" si="3"/>
        <v>0</v>
      </c>
      <c r="L53" s="251"/>
      <c r="M53" s="269">
        <f t="shared" si="4"/>
        <v>0</v>
      </c>
      <c r="N53" s="251"/>
      <c r="O53" s="269">
        <f t="shared" si="5"/>
        <v>0</v>
      </c>
      <c r="P53" s="251"/>
      <c r="Q53" s="269">
        <f t="shared" si="6"/>
        <v>0</v>
      </c>
      <c r="R53" s="251"/>
      <c r="S53" s="269">
        <f t="shared" si="7"/>
        <v>0</v>
      </c>
      <c r="T53" s="251"/>
      <c r="U53" s="270">
        <f t="shared" si="8"/>
        <v>0</v>
      </c>
    </row>
    <row r="54" spans="1:21" x14ac:dyDescent="0.35">
      <c r="A54" s="260" t="str">
        <f>'2020-21'!A69</f>
        <v>RF FLIPO</v>
      </c>
      <c r="B54" s="261">
        <f>'2020-21'!C69</f>
        <v>10355.77</v>
      </c>
      <c r="C54" s="262">
        <f>'2020-21'!D69</f>
        <v>10355.77</v>
      </c>
      <c r="D54" s="266"/>
      <c r="E54" s="265">
        <f t="shared" si="0"/>
        <v>0</v>
      </c>
      <c r="F54" s="261"/>
      <c r="G54" s="269">
        <f t="shared" si="1"/>
        <v>0</v>
      </c>
      <c r="H54" s="261"/>
      <c r="I54" s="269">
        <f t="shared" si="2"/>
        <v>0</v>
      </c>
      <c r="J54" s="261"/>
      <c r="K54" s="269">
        <f t="shared" si="3"/>
        <v>0</v>
      </c>
      <c r="L54" s="261"/>
      <c r="M54" s="269">
        <f t="shared" si="4"/>
        <v>0</v>
      </c>
      <c r="N54" s="261"/>
      <c r="O54" s="269">
        <f t="shared" si="5"/>
        <v>0</v>
      </c>
      <c r="P54" s="261"/>
      <c r="Q54" s="269">
        <f t="shared" si="6"/>
        <v>0</v>
      </c>
      <c r="R54" s="261"/>
      <c r="S54" s="269">
        <f t="shared" si="7"/>
        <v>0</v>
      </c>
      <c r="T54" s="261"/>
      <c r="U54" s="270">
        <f t="shared" si="8"/>
        <v>0</v>
      </c>
    </row>
    <row r="55" spans="1:21" x14ac:dyDescent="0.35">
      <c r="A55" s="254" t="str">
        <f>'2020-21'!A70</f>
        <v>BOEUVE</v>
      </c>
      <c r="B55" s="251">
        <f>'2020-21'!C70</f>
        <v>22297</v>
      </c>
      <c r="C55" s="257">
        <f>'2020-21'!D70</f>
        <v>22297</v>
      </c>
      <c r="D55" s="258"/>
      <c r="E55" s="265">
        <f t="shared" si="0"/>
        <v>0</v>
      </c>
      <c r="F55" s="251"/>
      <c r="G55" s="269">
        <f t="shared" si="1"/>
        <v>0</v>
      </c>
      <c r="H55" s="251"/>
      <c r="I55" s="269">
        <f t="shared" si="2"/>
        <v>0</v>
      </c>
      <c r="J55" s="251"/>
      <c r="K55" s="269">
        <f t="shared" si="3"/>
        <v>0</v>
      </c>
      <c r="L55" s="251"/>
      <c r="M55" s="269">
        <f t="shared" si="4"/>
        <v>0</v>
      </c>
      <c r="N55" s="251"/>
      <c r="O55" s="269">
        <f t="shared" si="5"/>
        <v>0</v>
      </c>
      <c r="P55" s="251"/>
      <c r="Q55" s="269">
        <f t="shared" si="6"/>
        <v>0</v>
      </c>
      <c r="R55" s="251"/>
      <c r="S55" s="269">
        <f t="shared" si="7"/>
        <v>0</v>
      </c>
      <c r="T55" s="251"/>
      <c r="U55" s="270">
        <f t="shared" si="8"/>
        <v>0</v>
      </c>
    </row>
    <row r="56" spans="1:21" x14ac:dyDescent="0.35">
      <c r="A56" s="260" t="str">
        <f>'2020-21'!A71</f>
        <v>SHACHER</v>
      </c>
      <c r="B56" s="261">
        <f>'2020-21'!C71</f>
        <v>26035.14</v>
      </c>
      <c r="C56" s="262">
        <f>'2020-21'!D71</f>
        <v>26035.14</v>
      </c>
      <c r="D56" s="266"/>
      <c r="E56" s="265">
        <f t="shared" si="0"/>
        <v>0</v>
      </c>
      <c r="F56" s="261"/>
      <c r="G56" s="269">
        <f t="shared" si="1"/>
        <v>0</v>
      </c>
      <c r="H56" s="261"/>
      <c r="I56" s="269">
        <f t="shared" si="2"/>
        <v>0</v>
      </c>
      <c r="J56" s="261"/>
      <c r="K56" s="269">
        <f t="shared" si="3"/>
        <v>0</v>
      </c>
      <c r="L56" s="261"/>
      <c r="M56" s="269">
        <f t="shared" si="4"/>
        <v>0</v>
      </c>
      <c r="N56" s="261"/>
      <c r="O56" s="269">
        <f t="shared" si="5"/>
        <v>0</v>
      </c>
      <c r="P56" s="261"/>
      <c r="Q56" s="269">
        <f t="shared" si="6"/>
        <v>0</v>
      </c>
      <c r="R56" s="261"/>
      <c r="S56" s="269">
        <f t="shared" si="7"/>
        <v>0</v>
      </c>
      <c r="T56" s="261"/>
      <c r="U56" s="270">
        <f t="shared" si="8"/>
        <v>0</v>
      </c>
    </row>
    <row r="57" spans="1:21" x14ac:dyDescent="0.35">
      <c r="A57" s="254" t="str">
        <f>'2020-21'!A72</f>
        <v xml:space="preserve">LEBOUCHER </v>
      </c>
      <c r="B57" s="251">
        <f>'2020-21'!C72</f>
        <v>14652</v>
      </c>
      <c r="C57" s="257">
        <f>'2020-21'!D72</f>
        <v>14652</v>
      </c>
      <c r="D57" s="258"/>
      <c r="E57" s="265">
        <f t="shared" si="0"/>
        <v>0</v>
      </c>
      <c r="F57" s="251"/>
      <c r="G57" s="269">
        <f t="shared" si="1"/>
        <v>0</v>
      </c>
      <c r="H57" s="251"/>
      <c r="I57" s="269">
        <f t="shared" si="2"/>
        <v>0</v>
      </c>
      <c r="J57" s="251"/>
      <c r="K57" s="269">
        <f t="shared" si="3"/>
        <v>0</v>
      </c>
      <c r="L57" s="251"/>
      <c r="M57" s="269">
        <f t="shared" si="4"/>
        <v>0</v>
      </c>
      <c r="N57" s="251"/>
      <c r="O57" s="269">
        <f t="shared" si="5"/>
        <v>0</v>
      </c>
      <c r="P57" s="251"/>
      <c r="Q57" s="269">
        <f t="shared" si="6"/>
        <v>0</v>
      </c>
      <c r="R57" s="251"/>
      <c r="S57" s="269">
        <f t="shared" si="7"/>
        <v>0</v>
      </c>
      <c r="T57" s="251"/>
      <c r="U57" s="270">
        <f t="shared" si="8"/>
        <v>0</v>
      </c>
    </row>
    <row r="58" spans="1:21" x14ac:dyDescent="0.35">
      <c r="A58" s="260" t="str">
        <f>'2020-21'!A73</f>
        <v>BICARD</v>
      </c>
      <c r="B58" s="261">
        <f>'2020-21'!C73</f>
        <v>12155</v>
      </c>
      <c r="C58" s="262">
        <f>'2020-21'!D73</f>
        <v>12155</v>
      </c>
      <c r="D58" s="266"/>
      <c r="E58" s="265">
        <f t="shared" si="0"/>
        <v>0</v>
      </c>
      <c r="F58" s="261"/>
      <c r="G58" s="269">
        <f t="shared" si="1"/>
        <v>0</v>
      </c>
      <c r="H58" s="261"/>
      <c r="I58" s="269">
        <f t="shared" si="2"/>
        <v>0</v>
      </c>
      <c r="J58" s="261"/>
      <c r="K58" s="269">
        <f t="shared" si="3"/>
        <v>0</v>
      </c>
      <c r="L58" s="261"/>
      <c r="M58" s="269">
        <f t="shared" si="4"/>
        <v>0</v>
      </c>
      <c r="N58" s="261"/>
      <c r="O58" s="269">
        <f t="shared" si="5"/>
        <v>0</v>
      </c>
      <c r="P58" s="261"/>
      <c r="Q58" s="269">
        <f t="shared" si="6"/>
        <v>0</v>
      </c>
      <c r="R58" s="261"/>
      <c r="S58" s="269">
        <f t="shared" si="7"/>
        <v>0</v>
      </c>
      <c r="T58" s="261"/>
      <c r="U58" s="270">
        <f t="shared" si="8"/>
        <v>0</v>
      </c>
    </row>
    <row r="59" spans="1:21" x14ac:dyDescent="0.35">
      <c r="A59" s="254" t="str">
        <f>'2020-21'!A74</f>
        <v>JOUAULT</v>
      </c>
      <c r="B59" s="251">
        <f>'2020-21'!C74</f>
        <v>16524.3</v>
      </c>
      <c r="C59" s="257">
        <f>'2020-21'!D74</f>
        <v>16524.3</v>
      </c>
      <c r="D59" s="258"/>
      <c r="E59" s="265">
        <f t="shared" si="0"/>
        <v>0</v>
      </c>
      <c r="F59" s="251"/>
      <c r="G59" s="269">
        <f t="shared" si="1"/>
        <v>0</v>
      </c>
      <c r="H59" s="251"/>
      <c r="I59" s="269">
        <f t="shared" si="2"/>
        <v>0</v>
      </c>
      <c r="J59" s="251"/>
      <c r="K59" s="269">
        <f t="shared" si="3"/>
        <v>0</v>
      </c>
      <c r="L59" s="251"/>
      <c r="M59" s="269">
        <f t="shared" si="4"/>
        <v>0</v>
      </c>
      <c r="N59" s="251"/>
      <c r="O59" s="269">
        <f t="shared" si="5"/>
        <v>0</v>
      </c>
      <c r="P59" s="251"/>
      <c r="Q59" s="269">
        <f t="shared" si="6"/>
        <v>0</v>
      </c>
      <c r="R59" s="251"/>
      <c r="S59" s="269">
        <f t="shared" si="7"/>
        <v>0</v>
      </c>
      <c r="T59" s="251"/>
      <c r="U59" s="270">
        <f t="shared" si="8"/>
        <v>0</v>
      </c>
    </row>
    <row r="60" spans="1:21" x14ac:dyDescent="0.35">
      <c r="A60" s="260" t="str">
        <f>'2020-21'!A75</f>
        <v>BRODIN</v>
      </c>
      <c r="B60" s="261">
        <f>'2020-21'!C75</f>
        <v>13937.53</v>
      </c>
      <c r="C60" s="262">
        <f>'2020-21'!D75</f>
        <v>13937.53</v>
      </c>
      <c r="D60" s="266"/>
      <c r="E60" s="265">
        <f t="shared" si="0"/>
        <v>0</v>
      </c>
      <c r="F60" s="261"/>
      <c r="G60" s="269">
        <f t="shared" si="1"/>
        <v>0</v>
      </c>
      <c r="H60" s="261"/>
      <c r="I60" s="269">
        <f t="shared" si="2"/>
        <v>0</v>
      </c>
      <c r="J60" s="261"/>
      <c r="K60" s="269">
        <f t="shared" si="3"/>
        <v>0</v>
      </c>
      <c r="L60" s="261"/>
      <c r="M60" s="269">
        <f t="shared" si="4"/>
        <v>0</v>
      </c>
      <c r="N60" s="261"/>
      <c r="O60" s="269">
        <f t="shared" si="5"/>
        <v>0</v>
      </c>
      <c r="P60" s="261"/>
      <c r="Q60" s="269">
        <f t="shared" si="6"/>
        <v>0</v>
      </c>
      <c r="R60" s="261"/>
      <c r="S60" s="269">
        <f t="shared" si="7"/>
        <v>0</v>
      </c>
      <c r="T60" s="261"/>
      <c r="U60" s="270">
        <f t="shared" si="8"/>
        <v>0</v>
      </c>
    </row>
    <row r="61" spans="1:21" x14ac:dyDescent="0.35">
      <c r="A61" s="254" t="str">
        <f>'2020-21'!A76</f>
        <v>CHAUVEL</v>
      </c>
      <c r="B61" s="251">
        <f>'2020-21'!C76</f>
        <v>43485.659999999996</v>
      </c>
      <c r="C61" s="257">
        <f>'2020-21'!D76</f>
        <v>43485.659999999996</v>
      </c>
      <c r="D61" s="258"/>
      <c r="E61" s="265">
        <f t="shared" si="0"/>
        <v>0</v>
      </c>
      <c r="F61" s="251"/>
      <c r="G61" s="269">
        <f t="shared" si="1"/>
        <v>0</v>
      </c>
      <c r="H61" s="251"/>
      <c r="I61" s="269">
        <f t="shared" si="2"/>
        <v>0</v>
      </c>
      <c r="J61" s="251"/>
      <c r="K61" s="269">
        <f t="shared" si="3"/>
        <v>0</v>
      </c>
      <c r="L61" s="251"/>
      <c r="M61" s="269">
        <f t="shared" si="4"/>
        <v>0</v>
      </c>
      <c r="N61" s="251"/>
      <c r="O61" s="269">
        <f t="shared" si="5"/>
        <v>0</v>
      </c>
      <c r="P61" s="251"/>
      <c r="Q61" s="269">
        <f t="shared" si="6"/>
        <v>0</v>
      </c>
      <c r="R61" s="251"/>
      <c r="S61" s="269">
        <f t="shared" si="7"/>
        <v>0</v>
      </c>
      <c r="T61" s="251"/>
      <c r="U61" s="270">
        <f t="shared" si="8"/>
        <v>0</v>
      </c>
    </row>
    <row r="62" spans="1:21" x14ac:dyDescent="0.35">
      <c r="A62" s="260" t="str">
        <f>'2020-21'!A77</f>
        <v>MANOIR POMMERAIE</v>
      </c>
      <c r="B62" s="261">
        <f>'2020-21'!C77</f>
        <v>1657.27</v>
      </c>
      <c r="C62" s="262">
        <f>'2020-21'!D77</f>
        <v>1657.27</v>
      </c>
      <c r="D62" s="266"/>
      <c r="E62" s="265">
        <f t="shared" si="0"/>
        <v>0</v>
      </c>
      <c r="F62" s="261"/>
      <c r="G62" s="269">
        <f t="shared" si="1"/>
        <v>0</v>
      </c>
      <c r="H62" s="261"/>
      <c r="I62" s="269">
        <f t="shared" si="2"/>
        <v>0</v>
      </c>
      <c r="J62" s="261"/>
      <c r="K62" s="269">
        <f t="shared" si="3"/>
        <v>0</v>
      </c>
      <c r="L62" s="261"/>
      <c r="M62" s="269">
        <f t="shared" si="4"/>
        <v>0</v>
      </c>
      <c r="N62" s="261"/>
      <c r="O62" s="269">
        <f t="shared" si="5"/>
        <v>0</v>
      </c>
      <c r="P62" s="261"/>
      <c r="Q62" s="269">
        <f t="shared" si="6"/>
        <v>0</v>
      </c>
      <c r="R62" s="261"/>
      <c r="S62" s="269">
        <f t="shared" si="7"/>
        <v>0</v>
      </c>
      <c r="T62" s="261"/>
      <c r="U62" s="270">
        <f t="shared" si="8"/>
        <v>0</v>
      </c>
    </row>
    <row r="63" spans="1:21" x14ac:dyDescent="0.35">
      <c r="A63" s="254" t="str">
        <f>'2020-21'!A78</f>
        <v>LEVEQUE GARAGE</v>
      </c>
      <c r="B63" s="251">
        <f>'2020-21'!C78</f>
        <v>18115.079999999998</v>
      </c>
      <c r="C63" s="257">
        <f>'2020-21'!D78</f>
        <v>18115.079999999998</v>
      </c>
      <c r="D63" s="258"/>
      <c r="E63" s="265">
        <f t="shared" si="0"/>
        <v>0</v>
      </c>
      <c r="F63" s="251"/>
      <c r="G63" s="269">
        <f t="shared" si="1"/>
        <v>0</v>
      </c>
      <c r="H63" s="251"/>
      <c r="I63" s="269">
        <f t="shared" si="2"/>
        <v>0</v>
      </c>
      <c r="J63" s="251"/>
      <c r="K63" s="269">
        <f t="shared" si="3"/>
        <v>0</v>
      </c>
      <c r="L63" s="251"/>
      <c r="M63" s="269">
        <f t="shared" si="4"/>
        <v>0</v>
      </c>
      <c r="N63" s="251"/>
      <c r="O63" s="269">
        <f t="shared" si="5"/>
        <v>0</v>
      </c>
      <c r="P63" s="251"/>
      <c r="Q63" s="269">
        <f t="shared" si="6"/>
        <v>0</v>
      </c>
      <c r="R63" s="251"/>
      <c r="S63" s="269">
        <f t="shared" si="7"/>
        <v>0</v>
      </c>
      <c r="T63" s="251"/>
      <c r="U63" s="270">
        <f t="shared" si="8"/>
        <v>0</v>
      </c>
    </row>
    <row r="64" spans="1:21" x14ac:dyDescent="0.35">
      <c r="A64" s="260" t="str">
        <f>'2020-21'!A79</f>
        <v>CAUCE via joris cenier</v>
      </c>
      <c r="B64" s="261">
        <f>'2020-21'!C79</f>
        <v>15164.25</v>
      </c>
      <c r="C64" s="262">
        <f>'2020-21'!D79</f>
        <v>15164.25</v>
      </c>
      <c r="D64" s="266"/>
      <c r="E64" s="265">
        <f t="shared" si="0"/>
        <v>0</v>
      </c>
      <c r="F64" s="261"/>
      <c r="G64" s="269">
        <f t="shared" si="1"/>
        <v>0</v>
      </c>
      <c r="H64" s="261"/>
      <c r="I64" s="269">
        <f t="shared" si="2"/>
        <v>0</v>
      </c>
      <c r="J64" s="261"/>
      <c r="K64" s="269">
        <f t="shared" si="3"/>
        <v>0</v>
      </c>
      <c r="L64" s="261"/>
      <c r="M64" s="269">
        <f t="shared" si="4"/>
        <v>0</v>
      </c>
      <c r="N64" s="261"/>
      <c r="O64" s="269">
        <f t="shared" si="5"/>
        <v>0</v>
      </c>
      <c r="P64" s="261"/>
      <c r="Q64" s="269">
        <f t="shared" si="6"/>
        <v>0</v>
      </c>
      <c r="R64" s="261"/>
      <c r="S64" s="269">
        <f t="shared" si="7"/>
        <v>0</v>
      </c>
      <c r="T64" s="261"/>
      <c r="U64" s="270">
        <f t="shared" si="8"/>
        <v>0</v>
      </c>
    </row>
    <row r="65" spans="1:21" ht="14.25" x14ac:dyDescent="0.2">
      <c r="A65" s="254" t="str">
        <f>'2020-21'!A80</f>
        <v>SCI WATIER</v>
      </c>
      <c r="B65" s="251">
        <f>'2020-21'!C80</f>
        <v>6739.369999999999</v>
      </c>
      <c r="C65" s="257">
        <f>'2020-21'!D80</f>
        <v>6739.369999999999</v>
      </c>
      <c r="D65" s="258"/>
      <c r="E65" s="265">
        <f t="shared" si="0"/>
        <v>0</v>
      </c>
      <c r="F65" s="251"/>
      <c r="G65" s="269">
        <f t="shared" si="1"/>
        <v>0</v>
      </c>
      <c r="H65" s="251"/>
      <c r="I65" s="269">
        <f t="shared" si="2"/>
        <v>0</v>
      </c>
      <c r="J65" s="251"/>
      <c r="K65" s="269">
        <f t="shared" si="3"/>
        <v>0</v>
      </c>
      <c r="L65" s="251"/>
      <c r="M65" s="269">
        <f t="shared" si="4"/>
        <v>0</v>
      </c>
      <c r="N65" s="251"/>
      <c r="O65" s="269">
        <f t="shared" si="5"/>
        <v>0</v>
      </c>
      <c r="P65" s="251"/>
      <c r="Q65" s="269">
        <f t="shared" si="6"/>
        <v>0</v>
      </c>
      <c r="R65" s="251"/>
      <c r="S65" s="269">
        <f t="shared" si="7"/>
        <v>0</v>
      </c>
      <c r="T65" s="251"/>
      <c r="U65" s="270">
        <f t="shared" si="8"/>
        <v>0</v>
      </c>
    </row>
    <row r="66" spans="1:21" ht="14.25" x14ac:dyDescent="0.2">
      <c r="A66" s="260">
        <f>'2020-21'!A81</f>
        <v>0</v>
      </c>
      <c r="B66" s="261">
        <f>'2020-21'!C81</f>
        <v>0</v>
      </c>
      <c r="C66" s="262">
        <f>'2020-21'!D81</f>
        <v>0</v>
      </c>
      <c r="D66" s="266"/>
      <c r="E66" s="265" t="e">
        <f t="shared" si="0"/>
        <v>#DIV/0!</v>
      </c>
      <c r="F66" s="261"/>
      <c r="G66" s="269" t="e">
        <f t="shared" si="1"/>
        <v>#DIV/0!</v>
      </c>
      <c r="H66" s="261"/>
      <c r="I66" s="269" t="e">
        <f t="shared" si="2"/>
        <v>#DIV/0!</v>
      </c>
      <c r="J66" s="261"/>
      <c r="K66" s="269" t="e">
        <f t="shared" si="3"/>
        <v>#DIV/0!</v>
      </c>
      <c r="L66" s="261"/>
      <c r="M66" s="269" t="e">
        <f t="shared" si="4"/>
        <v>#DIV/0!</v>
      </c>
      <c r="N66" s="261"/>
      <c r="O66" s="269" t="e">
        <f t="shared" si="5"/>
        <v>#DIV/0!</v>
      </c>
      <c r="P66" s="261"/>
      <c r="Q66" s="269" t="e">
        <f t="shared" si="6"/>
        <v>#DIV/0!</v>
      </c>
      <c r="R66" s="261"/>
      <c r="S66" s="269" t="e">
        <f t="shared" si="7"/>
        <v>#DIV/0!</v>
      </c>
      <c r="T66" s="261"/>
      <c r="U66" s="270" t="e">
        <f t="shared" si="8"/>
        <v>#DIV/0!</v>
      </c>
    </row>
    <row r="67" spans="1:21" ht="14.25" x14ac:dyDescent="0.2">
      <c r="A67" s="254">
        <f>'2020-21'!A83</f>
        <v>0</v>
      </c>
      <c r="B67" s="251">
        <f>'2020-21'!C83</f>
        <v>0</v>
      </c>
      <c r="C67" s="257">
        <f>'2020-21'!D83</f>
        <v>0</v>
      </c>
      <c r="D67" s="258"/>
      <c r="E67" s="265" t="e">
        <f t="shared" ref="E67:E69" si="9">D67/B67</f>
        <v>#DIV/0!</v>
      </c>
      <c r="F67" s="251"/>
      <c r="G67" s="269" t="e">
        <f t="shared" ref="G67:G69" si="10">F67/B67</f>
        <v>#DIV/0!</v>
      </c>
      <c r="H67" s="251"/>
      <c r="I67" s="269" t="e">
        <f t="shared" ref="I67:I69" si="11">H67/B67</f>
        <v>#DIV/0!</v>
      </c>
      <c r="J67" s="251"/>
      <c r="K67" s="269" t="e">
        <f t="shared" ref="K67:K69" si="12">J67/B67</f>
        <v>#DIV/0!</v>
      </c>
      <c r="L67" s="251"/>
      <c r="M67" s="269" t="e">
        <f t="shared" ref="M67:M69" si="13">L67/B67</f>
        <v>#DIV/0!</v>
      </c>
      <c r="N67" s="251"/>
      <c r="O67" s="269" t="e">
        <f t="shared" ref="O67:O69" si="14">N67/B67</f>
        <v>#DIV/0!</v>
      </c>
      <c r="P67" s="251"/>
      <c r="Q67" s="269" t="e">
        <f t="shared" ref="Q67:Q69" si="15">P67/B67</f>
        <v>#DIV/0!</v>
      </c>
      <c r="R67" s="251"/>
      <c r="S67" s="269" t="e">
        <f t="shared" ref="S67:S69" si="16">R67/B67</f>
        <v>#DIV/0!</v>
      </c>
      <c r="T67" s="251"/>
      <c r="U67" s="270" t="e">
        <f t="shared" ref="U67:U69" si="17">T67/B67</f>
        <v>#DIV/0!</v>
      </c>
    </row>
    <row r="68" spans="1:21" ht="14.25" x14ac:dyDescent="0.2">
      <c r="A68" s="260">
        <f>'2020-21'!A84</f>
        <v>0</v>
      </c>
      <c r="B68" s="261">
        <f>'2020-21'!C84</f>
        <v>2192400.37</v>
      </c>
      <c r="C68" s="262">
        <f>'2020-21'!D84</f>
        <v>2193304.54</v>
      </c>
      <c r="D68" s="266"/>
      <c r="E68" s="265">
        <f t="shared" si="9"/>
        <v>0</v>
      </c>
      <c r="F68" s="261"/>
      <c r="G68" s="269">
        <f t="shared" si="10"/>
        <v>0</v>
      </c>
      <c r="H68" s="261"/>
      <c r="I68" s="269">
        <f t="shared" si="11"/>
        <v>0</v>
      </c>
      <c r="J68" s="261"/>
      <c r="K68" s="269">
        <f t="shared" si="12"/>
        <v>0</v>
      </c>
      <c r="L68" s="261"/>
      <c r="M68" s="269">
        <f t="shared" si="13"/>
        <v>0</v>
      </c>
      <c r="N68" s="261"/>
      <c r="O68" s="269">
        <f t="shared" si="14"/>
        <v>0</v>
      </c>
      <c r="P68" s="261"/>
      <c r="Q68" s="269">
        <f t="shared" si="15"/>
        <v>0</v>
      </c>
      <c r="R68" s="261"/>
      <c r="S68" s="269">
        <f t="shared" si="16"/>
        <v>0</v>
      </c>
      <c r="T68" s="261"/>
      <c r="U68" s="270">
        <f t="shared" si="17"/>
        <v>0</v>
      </c>
    </row>
    <row r="69" spans="1:21" ht="15" thickBot="1" x14ac:dyDescent="0.25">
      <c r="A69" s="254">
        <f>'2020-21'!A85</f>
        <v>0</v>
      </c>
      <c r="B69" s="251">
        <f>'2020-21'!C85</f>
        <v>0</v>
      </c>
      <c r="C69" s="257">
        <f>'2020-21'!D85</f>
        <v>0</v>
      </c>
      <c r="D69" s="259"/>
      <c r="E69" s="267" t="e">
        <f t="shared" si="9"/>
        <v>#DIV/0!</v>
      </c>
      <c r="F69" s="255"/>
      <c r="G69" s="269" t="e">
        <f t="shared" si="10"/>
        <v>#DIV/0!</v>
      </c>
      <c r="H69" s="255"/>
      <c r="I69" s="269" t="e">
        <f t="shared" si="11"/>
        <v>#DIV/0!</v>
      </c>
      <c r="J69" s="255"/>
      <c r="K69" s="269" t="e">
        <f t="shared" si="12"/>
        <v>#DIV/0!</v>
      </c>
      <c r="L69" s="255"/>
      <c r="M69" s="269" t="e">
        <f t="shared" si="13"/>
        <v>#DIV/0!</v>
      </c>
      <c r="N69" s="255"/>
      <c r="O69" s="269" t="e">
        <f t="shared" si="14"/>
        <v>#DIV/0!</v>
      </c>
      <c r="P69" s="255"/>
      <c r="Q69" s="269" t="e">
        <f t="shared" si="15"/>
        <v>#DIV/0!</v>
      </c>
      <c r="R69" s="255"/>
      <c r="S69" s="269" t="e">
        <f t="shared" si="16"/>
        <v>#DIV/0!</v>
      </c>
      <c r="T69" s="255"/>
      <c r="U69" s="270" t="e">
        <f t="shared" si="17"/>
        <v>#DIV/0!</v>
      </c>
    </row>
  </sheetData>
  <mergeCells count="9">
    <mergeCell ref="P1:Q1"/>
    <mergeCell ref="R1:S1"/>
    <mergeCell ref="T1:U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4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6" sqref="P6"/>
    </sheetView>
  </sheetViews>
  <sheetFormatPr baseColWidth="10" defaultRowHeight="13.5" x14ac:dyDescent="0.35"/>
  <cols>
    <col min="1" max="1" width="23.125" customWidth="1"/>
    <col min="2" max="2" width="8.875" customWidth="1"/>
    <col min="3" max="26" width="9.625" customWidth="1"/>
  </cols>
  <sheetData>
    <row r="1" spans="1:26" x14ac:dyDescent="0.35">
      <c r="A1" s="21"/>
      <c r="B1" s="18"/>
      <c r="C1" s="440" t="s">
        <v>142</v>
      </c>
      <c r="D1" s="460"/>
      <c r="E1" s="440" t="s">
        <v>143</v>
      </c>
      <c r="F1" s="460"/>
      <c r="G1" s="461" t="s">
        <v>144</v>
      </c>
      <c r="H1" s="461"/>
      <c r="I1" s="440" t="s">
        <v>138</v>
      </c>
      <c r="J1" s="460"/>
      <c r="K1" s="461" t="s">
        <v>139</v>
      </c>
      <c r="L1" s="461"/>
      <c r="M1" s="440" t="s">
        <v>140</v>
      </c>
      <c r="N1" s="460"/>
      <c r="O1" s="461" t="s">
        <v>141</v>
      </c>
      <c r="P1" s="461"/>
      <c r="Q1" s="440" t="s">
        <v>145</v>
      </c>
      <c r="R1" s="460"/>
      <c r="S1" s="461" t="s">
        <v>146</v>
      </c>
      <c r="T1" s="461"/>
      <c r="U1" s="440" t="s">
        <v>147</v>
      </c>
      <c r="V1" s="460"/>
      <c r="W1" s="461" t="s">
        <v>148</v>
      </c>
      <c r="X1" s="461"/>
      <c r="Y1" s="440" t="s">
        <v>149</v>
      </c>
      <c r="Z1" s="460"/>
    </row>
    <row r="2" spans="1:26" ht="15" x14ac:dyDescent="0.4">
      <c r="A2" s="32" t="s">
        <v>137</v>
      </c>
      <c r="B2" s="14" t="s">
        <v>152</v>
      </c>
      <c r="C2" s="33" t="s">
        <v>150</v>
      </c>
      <c r="D2" s="31" t="s">
        <v>151</v>
      </c>
      <c r="E2" s="33" t="s">
        <v>150</v>
      </c>
      <c r="F2" s="16" t="s">
        <v>151</v>
      </c>
      <c r="G2" s="34" t="s">
        <v>150</v>
      </c>
      <c r="H2" s="14" t="s">
        <v>151</v>
      </c>
      <c r="I2" s="33" t="s">
        <v>150</v>
      </c>
      <c r="J2" s="16" t="s">
        <v>151</v>
      </c>
      <c r="K2" s="34" t="s">
        <v>150</v>
      </c>
      <c r="L2" s="14" t="s">
        <v>151</v>
      </c>
      <c r="M2" s="33" t="s">
        <v>150</v>
      </c>
      <c r="N2" s="16" t="s">
        <v>151</v>
      </c>
      <c r="O2" s="34" t="s">
        <v>150</v>
      </c>
      <c r="P2" s="14" t="s">
        <v>151</v>
      </c>
      <c r="Q2" s="33" t="s">
        <v>150</v>
      </c>
      <c r="R2" s="16" t="s">
        <v>151</v>
      </c>
      <c r="S2" s="34" t="s">
        <v>150</v>
      </c>
      <c r="T2" s="14" t="s">
        <v>151</v>
      </c>
      <c r="U2" s="33" t="s">
        <v>150</v>
      </c>
      <c r="V2" s="16" t="s">
        <v>151</v>
      </c>
      <c r="W2" s="34" t="s">
        <v>150</v>
      </c>
      <c r="X2" s="14" t="s">
        <v>151</v>
      </c>
      <c r="Y2" s="33" t="s">
        <v>150</v>
      </c>
      <c r="Z2" s="16" t="s">
        <v>151</v>
      </c>
    </row>
    <row r="3" spans="1:26" x14ac:dyDescent="0.35">
      <c r="A3" s="21"/>
      <c r="B3" s="18"/>
      <c r="C3" s="17"/>
      <c r="D3" s="19"/>
      <c r="E3" s="17"/>
      <c r="F3" s="19"/>
      <c r="G3" s="18"/>
      <c r="H3" s="18"/>
      <c r="I3" s="17"/>
      <c r="J3" s="19"/>
      <c r="K3" s="18"/>
      <c r="L3" s="18"/>
      <c r="M3" s="17"/>
      <c r="N3" s="19"/>
      <c r="O3" s="18"/>
      <c r="P3" s="18"/>
      <c r="Q3" s="17"/>
      <c r="R3" s="19"/>
      <c r="S3" s="18"/>
      <c r="T3" s="18"/>
      <c r="U3" s="17"/>
      <c r="V3" s="19"/>
      <c r="W3" s="18"/>
      <c r="X3" s="18"/>
      <c r="Y3" s="17"/>
      <c r="Z3" s="19"/>
    </row>
    <row r="4" spans="1:26" x14ac:dyDescent="0.35">
      <c r="A4" s="22"/>
      <c r="C4" s="20"/>
      <c r="D4" s="15"/>
      <c r="E4" s="20"/>
      <c r="F4" s="15"/>
      <c r="I4" s="20"/>
      <c r="J4" s="15"/>
      <c r="M4" s="20"/>
      <c r="N4" s="15"/>
      <c r="Q4" s="20"/>
      <c r="R4" s="15"/>
      <c r="U4" s="20"/>
      <c r="V4" s="15"/>
      <c r="Y4" s="20"/>
      <c r="Z4" s="15"/>
    </row>
    <row r="5" spans="1:26" x14ac:dyDescent="0.35">
      <c r="A5" s="22"/>
      <c r="C5" s="20"/>
      <c r="D5" s="15"/>
      <c r="E5" s="20"/>
      <c r="F5" s="15"/>
      <c r="I5" s="20"/>
      <c r="J5" s="15"/>
      <c r="M5" s="20"/>
      <c r="N5" s="15"/>
      <c r="Q5" s="20"/>
      <c r="R5" s="15"/>
      <c r="U5" s="20"/>
      <c r="V5" s="15"/>
      <c r="Y5" s="20"/>
      <c r="Z5" s="15"/>
    </row>
    <row r="6" spans="1:26" x14ac:dyDescent="0.35">
      <c r="A6" s="22"/>
      <c r="C6" s="20"/>
      <c r="D6" s="15"/>
      <c r="E6" s="20"/>
      <c r="F6" s="15"/>
      <c r="I6" s="20"/>
      <c r="J6" s="15"/>
      <c r="M6" s="20"/>
      <c r="N6" s="15"/>
      <c r="Q6" s="20"/>
      <c r="R6" s="15"/>
      <c r="U6" s="20"/>
      <c r="V6" s="15"/>
      <c r="Y6" s="20"/>
      <c r="Z6" s="15"/>
    </row>
    <row r="7" spans="1:26" x14ac:dyDescent="0.35">
      <c r="A7" s="22"/>
      <c r="C7" s="20"/>
      <c r="D7" s="15"/>
      <c r="E7" s="20"/>
      <c r="F7" s="15"/>
      <c r="I7" s="20"/>
      <c r="J7" s="15"/>
      <c r="M7" s="20"/>
      <c r="N7" s="15"/>
      <c r="Q7" s="20"/>
      <c r="R7" s="15"/>
      <c r="U7" s="20"/>
      <c r="V7" s="15"/>
      <c r="Y7" s="20"/>
      <c r="Z7" s="15"/>
    </row>
    <row r="8" spans="1:26" x14ac:dyDescent="0.35">
      <c r="A8" s="22"/>
      <c r="C8" s="20"/>
      <c r="D8" s="15"/>
      <c r="E8" s="20"/>
      <c r="F8" s="15"/>
      <c r="I8" s="20"/>
      <c r="J8" s="15"/>
      <c r="M8" s="20"/>
      <c r="N8" s="15"/>
      <c r="Q8" s="20"/>
      <c r="R8" s="15"/>
      <c r="U8" s="20"/>
      <c r="V8" s="15"/>
      <c r="Y8" s="20"/>
      <c r="Z8" s="15"/>
    </row>
    <row r="9" spans="1:26" x14ac:dyDescent="0.35">
      <c r="A9" s="22"/>
      <c r="C9" s="20"/>
      <c r="D9" s="15"/>
      <c r="E9" s="20"/>
      <c r="F9" s="15"/>
      <c r="I9" s="20"/>
      <c r="J9" s="15"/>
      <c r="M9" s="20"/>
      <c r="N9" s="15"/>
      <c r="Q9" s="20"/>
      <c r="R9" s="15"/>
      <c r="U9" s="20"/>
      <c r="V9" s="15"/>
      <c r="Y9" s="20"/>
      <c r="Z9" s="15"/>
    </row>
    <row r="10" spans="1:26" x14ac:dyDescent="0.35">
      <c r="A10" s="22"/>
      <c r="C10" s="20"/>
      <c r="D10" s="15"/>
      <c r="E10" s="20"/>
      <c r="F10" s="15"/>
      <c r="I10" s="20"/>
      <c r="J10" s="15"/>
      <c r="M10" s="20"/>
      <c r="N10" s="15"/>
      <c r="Q10" s="20"/>
      <c r="R10" s="15"/>
      <c r="U10" s="20"/>
      <c r="V10" s="15"/>
      <c r="Y10" s="20"/>
      <c r="Z10" s="15"/>
    </row>
    <row r="11" spans="1:26" x14ac:dyDescent="0.35">
      <c r="A11" s="22"/>
      <c r="C11" s="20"/>
      <c r="D11" s="15"/>
      <c r="E11" s="20"/>
      <c r="F11" s="15"/>
      <c r="I11" s="20"/>
      <c r="J11" s="15"/>
      <c r="M11" s="20"/>
      <c r="N11" s="15"/>
      <c r="Q11" s="20"/>
      <c r="R11" s="15"/>
      <c r="U11" s="20"/>
      <c r="V11" s="15"/>
      <c r="Y11" s="20"/>
      <c r="Z11" s="15"/>
    </row>
    <row r="12" spans="1:26" x14ac:dyDescent="0.35">
      <c r="A12" s="22"/>
      <c r="C12" s="20"/>
      <c r="D12" s="15"/>
      <c r="E12" s="20"/>
      <c r="F12" s="15"/>
      <c r="I12" s="20"/>
      <c r="J12" s="15"/>
      <c r="M12" s="20"/>
      <c r="N12" s="15"/>
      <c r="Q12" s="20"/>
      <c r="R12" s="15"/>
      <c r="U12" s="20"/>
      <c r="V12" s="15"/>
      <c r="Y12" s="20"/>
      <c r="Z12" s="15"/>
    </row>
    <row r="13" spans="1:26" x14ac:dyDescent="0.35">
      <c r="A13" s="22"/>
      <c r="C13" s="20"/>
      <c r="D13" s="15"/>
      <c r="E13" s="20"/>
      <c r="F13" s="15"/>
      <c r="I13" s="20"/>
      <c r="J13" s="15"/>
      <c r="M13" s="20"/>
      <c r="N13" s="15"/>
      <c r="Q13" s="20"/>
      <c r="R13" s="15"/>
      <c r="U13" s="20"/>
      <c r="V13" s="15"/>
      <c r="Y13" s="20"/>
      <c r="Z13" s="15"/>
    </row>
    <row r="14" spans="1:26" x14ac:dyDescent="0.35">
      <c r="A14" s="22"/>
      <c r="C14" s="20"/>
      <c r="D14" s="15"/>
      <c r="E14" s="20"/>
      <c r="F14" s="15"/>
      <c r="I14" s="20"/>
      <c r="J14" s="15"/>
      <c r="M14" s="20"/>
      <c r="N14" s="15"/>
      <c r="Q14" s="20"/>
      <c r="R14" s="15"/>
      <c r="U14" s="20"/>
      <c r="V14" s="15"/>
      <c r="Y14" s="20"/>
      <c r="Z14" s="15"/>
    </row>
    <row r="15" spans="1:26" x14ac:dyDescent="0.35">
      <c r="A15" s="22"/>
      <c r="C15" s="20"/>
      <c r="D15" s="15"/>
      <c r="E15" s="20"/>
      <c r="F15" s="15"/>
      <c r="I15" s="20"/>
      <c r="J15" s="15"/>
      <c r="M15" s="20"/>
      <c r="N15" s="15"/>
      <c r="Q15" s="20"/>
      <c r="R15" s="15"/>
      <c r="U15" s="20"/>
      <c r="V15" s="15"/>
      <c r="Y15" s="20"/>
      <c r="Z15" s="15"/>
    </row>
    <row r="16" spans="1:26" x14ac:dyDescent="0.35">
      <c r="A16" s="22"/>
      <c r="C16" s="20"/>
      <c r="D16" s="15"/>
      <c r="E16" s="20"/>
      <c r="F16" s="15"/>
      <c r="I16" s="20"/>
      <c r="J16" s="15"/>
      <c r="M16" s="20"/>
      <c r="N16" s="15"/>
      <c r="Q16" s="20"/>
      <c r="R16" s="15"/>
      <c r="U16" s="20"/>
      <c r="V16" s="15"/>
      <c r="Y16" s="20"/>
      <c r="Z16" s="15"/>
    </row>
    <row r="17" spans="1:26" x14ac:dyDescent="0.35">
      <c r="A17" s="22"/>
      <c r="C17" s="20"/>
      <c r="D17" s="15"/>
      <c r="E17" s="20"/>
      <c r="F17" s="15"/>
      <c r="I17" s="20"/>
      <c r="J17" s="15"/>
      <c r="M17" s="20"/>
      <c r="N17" s="15"/>
      <c r="Q17" s="20"/>
      <c r="R17" s="15"/>
      <c r="U17" s="20"/>
      <c r="V17" s="15"/>
      <c r="Y17" s="20"/>
      <c r="Z17" s="15"/>
    </row>
    <row r="18" spans="1:26" x14ac:dyDescent="0.35">
      <c r="A18" s="22"/>
      <c r="C18" s="20"/>
      <c r="D18" s="15"/>
      <c r="E18" s="20"/>
      <c r="F18" s="15"/>
      <c r="I18" s="20"/>
      <c r="J18" s="15"/>
      <c r="M18" s="20"/>
      <c r="N18" s="15"/>
      <c r="Q18" s="20"/>
      <c r="R18" s="15"/>
      <c r="U18" s="20"/>
      <c r="V18" s="15"/>
      <c r="Y18" s="20"/>
      <c r="Z18" s="15"/>
    </row>
    <row r="19" spans="1:26" x14ac:dyDescent="0.35">
      <c r="A19" s="22"/>
      <c r="C19" s="20"/>
      <c r="D19" s="15"/>
      <c r="E19" s="20"/>
      <c r="F19" s="15"/>
      <c r="I19" s="20"/>
      <c r="J19" s="15"/>
      <c r="M19" s="20"/>
      <c r="N19" s="15"/>
      <c r="Q19" s="20"/>
      <c r="R19" s="15"/>
      <c r="U19" s="20"/>
      <c r="V19" s="15"/>
      <c r="Y19" s="20"/>
      <c r="Z19" s="15"/>
    </row>
    <row r="20" spans="1:26" x14ac:dyDescent="0.35">
      <c r="A20" s="22"/>
      <c r="C20" s="20"/>
      <c r="D20" s="15"/>
      <c r="E20" s="20"/>
      <c r="F20" s="15"/>
      <c r="I20" s="20"/>
      <c r="J20" s="15"/>
      <c r="M20" s="20"/>
      <c r="N20" s="15"/>
      <c r="Q20" s="20"/>
      <c r="R20" s="15"/>
      <c r="U20" s="20"/>
      <c r="V20" s="15"/>
      <c r="Y20" s="20"/>
      <c r="Z20" s="15"/>
    </row>
    <row r="21" spans="1:26" x14ac:dyDescent="0.35">
      <c r="A21" s="22"/>
      <c r="C21" s="20"/>
      <c r="D21" s="15"/>
      <c r="E21" s="20"/>
      <c r="F21" s="15"/>
      <c r="I21" s="20"/>
      <c r="J21" s="15"/>
      <c r="M21" s="20"/>
      <c r="N21" s="15"/>
      <c r="Q21" s="20"/>
      <c r="R21" s="15"/>
      <c r="U21" s="20"/>
      <c r="V21" s="15"/>
      <c r="Y21" s="20"/>
      <c r="Z21" s="15"/>
    </row>
    <row r="22" spans="1:26" x14ac:dyDescent="0.35">
      <c r="A22" s="22"/>
      <c r="C22" s="20"/>
      <c r="D22" s="15"/>
      <c r="E22" s="20"/>
      <c r="F22" s="15"/>
      <c r="I22" s="20"/>
      <c r="J22" s="15"/>
      <c r="M22" s="20"/>
      <c r="N22" s="15"/>
      <c r="Q22" s="20"/>
      <c r="R22" s="15"/>
      <c r="U22" s="20"/>
      <c r="V22" s="15"/>
      <c r="Y22" s="20"/>
      <c r="Z22" s="15"/>
    </row>
    <row r="23" spans="1:26" x14ac:dyDescent="0.35">
      <c r="A23" s="22"/>
      <c r="C23" s="20"/>
      <c r="D23" s="15"/>
      <c r="E23" s="20"/>
      <c r="F23" s="15"/>
      <c r="I23" s="20"/>
      <c r="J23" s="15"/>
      <c r="M23" s="20"/>
      <c r="N23" s="15"/>
      <c r="Q23" s="20"/>
      <c r="R23" s="15"/>
      <c r="U23" s="20"/>
      <c r="V23" s="15"/>
      <c r="Y23" s="20"/>
      <c r="Z23" s="15"/>
    </row>
    <row r="24" spans="1:26" x14ac:dyDescent="0.35">
      <c r="A24" s="22"/>
      <c r="C24" s="20"/>
      <c r="D24" s="15"/>
      <c r="E24" s="20"/>
      <c r="F24" s="15"/>
      <c r="I24" s="20"/>
      <c r="J24" s="15"/>
      <c r="M24" s="20"/>
      <c r="N24" s="15"/>
      <c r="Q24" s="20"/>
      <c r="R24" s="15"/>
      <c r="U24" s="20"/>
      <c r="V24" s="15"/>
      <c r="Y24" s="20"/>
      <c r="Z24" s="15"/>
    </row>
    <row r="25" spans="1:26" x14ac:dyDescent="0.35">
      <c r="A25" s="22"/>
      <c r="C25" s="20"/>
      <c r="D25" s="15"/>
      <c r="E25" s="20"/>
      <c r="F25" s="15"/>
      <c r="I25" s="20"/>
      <c r="J25" s="15"/>
      <c r="M25" s="20"/>
      <c r="N25" s="15"/>
      <c r="Q25" s="20"/>
      <c r="R25" s="15"/>
      <c r="U25" s="20"/>
      <c r="V25" s="15"/>
      <c r="Y25" s="20"/>
      <c r="Z25" s="15"/>
    </row>
    <row r="26" spans="1:26" x14ac:dyDescent="0.35">
      <c r="A26" s="22"/>
      <c r="C26" s="20"/>
      <c r="D26" s="15"/>
      <c r="E26" s="20"/>
      <c r="F26" s="15"/>
      <c r="I26" s="20"/>
      <c r="J26" s="15"/>
      <c r="M26" s="20"/>
      <c r="N26" s="15"/>
      <c r="Q26" s="20"/>
      <c r="R26" s="15"/>
      <c r="U26" s="20"/>
      <c r="V26" s="15"/>
      <c r="Y26" s="20"/>
      <c r="Z26" s="15"/>
    </row>
    <row r="27" spans="1:26" x14ac:dyDescent="0.35">
      <c r="A27" s="22"/>
      <c r="C27" s="20"/>
      <c r="D27" s="15"/>
      <c r="E27" s="20"/>
      <c r="F27" s="15"/>
      <c r="I27" s="20"/>
      <c r="J27" s="15"/>
      <c r="M27" s="20"/>
      <c r="N27" s="15"/>
      <c r="Q27" s="20"/>
      <c r="R27" s="15"/>
      <c r="U27" s="20"/>
      <c r="V27" s="15"/>
      <c r="Y27" s="20"/>
      <c r="Z27" s="15"/>
    </row>
    <row r="28" spans="1:26" x14ac:dyDescent="0.35">
      <c r="A28" s="22"/>
      <c r="C28" s="20"/>
      <c r="D28" s="15"/>
      <c r="E28" s="20"/>
      <c r="F28" s="15"/>
      <c r="I28" s="20"/>
      <c r="J28" s="15"/>
      <c r="M28" s="20"/>
      <c r="N28" s="15"/>
      <c r="Q28" s="20"/>
      <c r="R28" s="15"/>
      <c r="U28" s="20"/>
      <c r="V28" s="15"/>
      <c r="Y28" s="20"/>
      <c r="Z28" s="15"/>
    </row>
    <row r="29" spans="1:26" x14ac:dyDescent="0.35">
      <c r="A29" s="22"/>
      <c r="C29" s="20"/>
      <c r="D29" s="15"/>
      <c r="E29" s="20"/>
      <c r="F29" s="15"/>
      <c r="I29" s="20"/>
      <c r="J29" s="15"/>
      <c r="M29" s="20"/>
      <c r="N29" s="15"/>
      <c r="Q29" s="20"/>
      <c r="R29" s="15"/>
      <c r="U29" s="20"/>
      <c r="V29" s="15"/>
      <c r="Y29" s="20"/>
      <c r="Z29" s="15"/>
    </row>
    <row r="30" spans="1:26" x14ac:dyDescent="0.35">
      <c r="A30" s="22"/>
      <c r="C30" s="20"/>
      <c r="D30" s="15"/>
      <c r="E30" s="20"/>
      <c r="F30" s="15"/>
      <c r="I30" s="20"/>
      <c r="J30" s="15"/>
      <c r="M30" s="20"/>
      <c r="N30" s="15"/>
      <c r="Q30" s="20"/>
      <c r="R30" s="15"/>
      <c r="U30" s="20"/>
      <c r="V30" s="15"/>
      <c r="Y30" s="20"/>
      <c r="Z30" s="15"/>
    </row>
    <row r="31" spans="1:26" x14ac:dyDescent="0.35">
      <c r="A31" s="22"/>
      <c r="C31" s="20"/>
      <c r="D31" s="15"/>
      <c r="E31" s="20"/>
      <c r="F31" s="15"/>
      <c r="I31" s="20"/>
      <c r="J31" s="15"/>
      <c r="M31" s="20"/>
      <c r="N31" s="15"/>
      <c r="Q31" s="20"/>
      <c r="R31" s="15"/>
      <c r="U31" s="20"/>
      <c r="V31" s="15"/>
      <c r="Y31" s="20"/>
      <c r="Z31" s="15"/>
    </row>
    <row r="32" spans="1:26" x14ac:dyDescent="0.35">
      <c r="A32" s="22"/>
      <c r="C32" s="20"/>
      <c r="D32" s="15"/>
      <c r="E32" s="20"/>
      <c r="F32" s="15"/>
      <c r="I32" s="20"/>
      <c r="J32" s="15"/>
      <c r="M32" s="20"/>
      <c r="N32" s="15"/>
      <c r="Q32" s="20"/>
      <c r="R32" s="15"/>
      <c r="U32" s="20"/>
      <c r="V32" s="15"/>
      <c r="Y32" s="20"/>
      <c r="Z32" s="15"/>
    </row>
    <row r="33" spans="1:26" x14ac:dyDescent="0.35">
      <c r="A33" s="22"/>
      <c r="C33" s="20"/>
      <c r="D33" s="15"/>
      <c r="E33" s="20"/>
      <c r="F33" s="15"/>
      <c r="I33" s="20"/>
      <c r="J33" s="15"/>
      <c r="M33" s="20"/>
      <c r="N33" s="15"/>
      <c r="Q33" s="20"/>
      <c r="R33" s="15"/>
      <c r="U33" s="20"/>
      <c r="V33" s="15"/>
      <c r="Y33" s="20"/>
      <c r="Z33" s="15"/>
    </row>
    <row r="34" spans="1:26" x14ac:dyDescent="0.35">
      <c r="A34" s="22"/>
      <c r="C34" s="20"/>
      <c r="D34" s="15"/>
      <c r="E34" s="20"/>
      <c r="F34" s="15"/>
      <c r="I34" s="20"/>
      <c r="J34" s="15"/>
      <c r="M34" s="20"/>
      <c r="N34" s="15"/>
      <c r="Q34" s="20"/>
      <c r="R34" s="15"/>
      <c r="U34" s="20"/>
      <c r="V34" s="15"/>
      <c r="Y34" s="20"/>
      <c r="Z34" s="15"/>
    </row>
    <row r="35" spans="1:26" x14ac:dyDescent="0.35">
      <c r="A35" s="22"/>
      <c r="C35" s="20"/>
      <c r="D35" s="15"/>
      <c r="E35" s="20"/>
      <c r="F35" s="15"/>
      <c r="I35" s="20"/>
      <c r="J35" s="15"/>
      <c r="M35" s="20"/>
      <c r="N35" s="15"/>
      <c r="Q35" s="20"/>
      <c r="R35" s="15"/>
      <c r="U35" s="20"/>
      <c r="V35" s="15"/>
      <c r="Y35" s="20"/>
      <c r="Z35" s="15"/>
    </row>
    <row r="36" spans="1:26" x14ac:dyDescent="0.35">
      <c r="A36" s="22"/>
      <c r="C36" s="20"/>
      <c r="D36" s="15"/>
      <c r="E36" s="20"/>
      <c r="F36" s="15"/>
      <c r="I36" s="20"/>
      <c r="J36" s="15"/>
      <c r="M36" s="20"/>
      <c r="N36" s="15"/>
      <c r="Q36" s="20"/>
      <c r="R36" s="15"/>
      <c r="U36" s="20"/>
      <c r="V36" s="15"/>
      <c r="Y36" s="20"/>
      <c r="Z36" s="15"/>
    </row>
    <row r="37" spans="1:26" x14ac:dyDescent="0.35">
      <c r="A37" s="22"/>
      <c r="C37" s="20"/>
      <c r="D37" s="15"/>
      <c r="E37" s="20"/>
      <c r="F37" s="15"/>
      <c r="I37" s="20"/>
      <c r="J37" s="15"/>
      <c r="M37" s="20"/>
      <c r="N37" s="15"/>
      <c r="Q37" s="20"/>
      <c r="R37" s="15"/>
      <c r="U37" s="20"/>
      <c r="V37" s="15"/>
      <c r="Y37" s="20"/>
      <c r="Z37" s="15"/>
    </row>
    <row r="38" spans="1:26" x14ac:dyDescent="0.35">
      <c r="A38" s="22"/>
      <c r="C38" s="20"/>
      <c r="D38" s="15"/>
      <c r="E38" s="20"/>
      <c r="F38" s="15"/>
      <c r="I38" s="20"/>
      <c r="J38" s="15"/>
      <c r="M38" s="20"/>
      <c r="N38" s="15"/>
      <c r="Q38" s="20"/>
      <c r="R38" s="15"/>
      <c r="U38" s="20"/>
      <c r="V38" s="15"/>
      <c r="Y38" s="20"/>
      <c r="Z38" s="15"/>
    </row>
    <row r="39" spans="1:26" x14ac:dyDescent="0.35">
      <c r="A39" s="22"/>
      <c r="C39" s="20"/>
      <c r="D39" s="15"/>
      <c r="E39" s="20"/>
      <c r="F39" s="15"/>
      <c r="I39" s="20"/>
      <c r="J39" s="15"/>
      <c r="M39" s="20"/>
      <c r="N39" s="15"/>
      <c r="Q39" s="20"/>
      <c r="R39" s="15"/>
      <c r="U39" s="20"/>
      <c r="V39" s="15"/>
      <c r="Y39" s="20"/>
      <c r="Z39" s="15"/>
    </row>
    <row r="40" spans="1:26" x14ac:dyDescent="0.35">
      <c r="A40" s="22"/>
      <c r="C40" s="20"/>
      <c r="D40" s="15"/>
      <c r="E40" s="20"/>
      <c r="F40" s="15"/>
      <c r="I40" s="20"/>
      <c r="J40" s="15"/>
      <c r="M40" s="20"/>
      <c r="N40" s="15"/>
      <c r="Q40" s="20"/>
      <c r="R40" s="15"/>
      <c r="U40" s="20"/>
      <c r="V40" s="15"/>
      <c r="Y40" s="20"/>
      <c r="Z40" s="15"/>
    </row>
    <row r="41" spans="1:26" x14ac:dyDescent="0.35">
      <c r="A41" s="22"/>
      <c r="C41" s="20"/>
      <c r="D41" s="15"/>
      <c r="E41" s="20"/>
      <c r="F41" s="15"/>
      <c r="I41" s="20"/>
      <c r="J41" s="15"/>
      <c r="M41" s="20"/>
      <c r="N41" s="15"/>
      <c r="Q41" s="20"/>
      <c r="R41" s="15"/>
      <c r="U41" s="20"/>
      <c r="V41" s="15"/>
      <c r="Y41" s="20"/>
      <c r="Z41" s="15"/>
    </row>
    <row r="42" spans="1:26" x14ac:dyDescent="0.35">
      <c r="A42" s="22"/>
      <c r="C42" s="20"/>
      <c r="D42" s="15"/>
      <c r="E42" s="20"/>
      <c r="F42" s="15"/>
      <c r="I42" s="20"/>
      <c r="J42" s="15"/>
      <c r="M42" s="20"/>
      <c r="N42" s="15"/>
      <c r="Q42" s="20"/>
      <c r="R42" s="15"/>
      <c r="U42" s="20"/>
      <c r="V42" s="15"/>
      <c r="Y42" s="20"/>
      <c r="Z42" s="15"/>
    </row>
    <row r="43" spans="1:26" x14ac:dyDescent="0.35">
      <c r="A43" s="22"/>
      <c r="C43" s="20"/>
      <c r="D43" s="15"/>
      <c r="E43" s="20"/>
      <c r="F43" s="15"/>
      <c r="I43" s="20"/>
      <c r="J43" s="15"/>
      <c r="M43" s="20"/>
      <c r="N43" s="15"/>
      <c r="Q43" s="20"/>
      <c r="R43" s="15"/>
      <c r="U43" s="20"/>
      <c r="V43" s="15"/>
      <c r="Y43" s="20"/>
      <c r="Z43" s="15"/>
    </row>
    <row r="44" spans="1:26" ht="14.25" x14ac:dyDescent="0.2">
      <c r="A44" s="22"/>
      <c r="C44" s="20"/>
      <c r="D44" s="15"/>
      <c r="E44" s="20"/>
      <c r="F44" s="15"/>
      <c r="I44" s="20"/>
      <c r="J44" s="15"/>
      <c r="M44" s="20"/>
      <c r="N44" s="15"/>
      <c r="Q44" s="20"/>
      <c r="R44" s="15"/>
      <c r="U44" s="20"/>
      <c r="V44" s="15"/>
      <c r="Y44" s="20"/>
      <c r="Z44" s="15"/>
    </row>
    <row r="45" spans="1:26" ht="14.25" x14ac:dyDescent="0.2">
      <c r="A45" s="23" t="s">
        <v>155</v>
      </c>
      <c r="B45" s="24">
        <f>SUM(B4:B44)</f>
        <v>0</v>
      </c>
      <c r="C45" s="24">
        <f>SUM(C4:C44)</f>
        <v>0</v>
      </c>
      <c r="D45" s="24"/>
      <c r="E45" s="24">
        <f>SUM(E4:E44)</f>
        <v>0</v>
      </c>
      <c r="F45" s="24"/>
      <c r="G45" s="24">
        <f>SUM(G4:G44)</f>
        <v>0</v>
      </c>
      <c r="H45" s="24"/>
      <c r="I45" s="24">
        <f>SUM(I4:I44)</f>
        <v>0</v>
      </c>
      <c r="J45" s="24"/>
      <c r="K45" s="24">
        <f>SUM(K4:K44)</f>
        <v>0</v>
      </c>
      <c r="L45" s="24"/>
      <c r="M45" s="24">
        <f>SUM(M4:M44)</f>
        <v>0</v>
      </c>
      <c r="N45" s="24"/>
      <c r="O45" s="24">
        <f>SUM(O4:O44)</f>
        <v>0</v>
      </c>
      <c r="P45" s="24"/>
      <c r="Q45" s="24">
        <f>SUM(Q4:Q44)</f>
        <v>0</v>
      </c>
      <c r="R45" s="24"/>
      <c r="S45" s="24">
        <f>SUM(S4:S44)</f>
        <v>0</v>
      </c>
      <c r="T45" s="24"/>
      <c r="U45" s="24">
        <f>SUM(U4:U44)</f>
        <v>0</v>
      </c>
      <c r="V45" s="24"/>
      <c r="W45" s="24">
        <f>SUM(W4:W44)</f>
        <v>0</v>
      </c>
      <c r="X45" s="24"/>
      <c r="Y45" s="24">
        <f>SUM(Y4:Y44)</f>
        <v>0</v>
      </c>
      <c r="Z45" s="25"/>
    </row>
    <row r="46" spans="1:26" ht="14.25" x14ac:dyDescent="0.2">
      <c r="A46" s="26" t="s">
        <v>154</v>
      </c>
      <c r="B46" s="27"/>
      <c r="C46" s="27"/>
      <c r="D46" s="27">
        <f>SUM(D4:D45)</f>
        <v>0</v>
      </c>
      <c r="E46" s="27"/>
      <c r="F46" s="27">
        <f>SUM(F4:F45)</f>
        <v>0</v>
      </c>
      <c r="G46" s="27"/>
      <c r="H46" s="27">
        <f>SUM(H4:H45)</f>
        <v>0</v>
      </c>
      <c r="I46" s="27"/>
      <c r="J46" s="27">
        <f>SUM(J4:J45)</f>
        <v>0</v>
      </c>
      <c r="K46" s="27"/>
      <c r="L46" s="27">
        <f>SUM(L4:L45)</f>
        <v>0</v>
      </c>
      <c r="M46" s="27"/>
      <c r="N46" s="27">
        <f>SUM(N4:N45)</f>
        <v>0</v>
      </c>
      <c r="O46" s="27"/>
      <c r="P46" s="27">
        <f>SUM(P4:P45)</f>
        <v>0</v>
      </c>
      <c r="Q46" s="27"/>
      <c r="R46" s="27">
        <f>SUM(R4:R45)</f>
        <v>0</v>
      </c>
      <c r="S46" s="27"/>
      <c r="T46" s="27">
        <f>SUM(T4:T45)</f>
        <v>0</v>
      </c>
      <c r="U46" s="27"/>
      <c r="V46" s="27">
        <f>SUM(V4:V45)</f>
        <v>0</v>
      </c>
      <c r="W46" s="27"/>
      <c r="X46" s="27">
        <f>SUM(X4:X45)</f>
        <v>0</v>
      </c>
      <c r="Y46" s="27"/>
      <c r="Z46" s="28">
        <f>SUM(Z4:Z45)</f>
        <v>0</v>
      </c>
    </row>
    <row r="47" spans="1:26" ht="14.25" x14ac:dyDescent="0.2">
      <c r="A47" s="29" t="s">
        <v>156</v>
      </c>
      <c r="B47" s="30"/>
      <c r="C47" s="30"/>
      <c r="D47" s="30">
        <f>D46</f>
        <v>0</v>
      </c>
      <c r="E47" s="30"/>
      <c r="F47" s="30">
        <f>F46+D47</f>
        <v>0</v>
      </c>
      <c r="G47" s="30"/>
      <c r="H47" s="30">
        <f>H46+F47</f>
        <v>0</v>
      </c>
      <c r="I47" s="30"/>
      <c r="J47" s="30">
        <f>J46+H47</f>
        <v>0</v>
      </c>
      <c r="K47" s="30"/>
      <c r="L47" s="30">
        <f>L46+J47</f>
        <v>0</v>
      </c>
      <c r="M47" s="30"/>
      <c r="N47" s="30">
        <f>N46+L47</f>
        <v>0</v>
      </c>
      <c r="O47" s="30"/>
      <c r="P47" s="30">
        <f>P46+N47</f>
        <v>0</v>
      </c>
      <c r="Q47" s="30"/>
      <c r="R47" s="30">
        <f>R46+P47</f>
        <v>0</v>
      </c>
      <c r="S47" s="30"/>
      <c r="T47" s="30">
        <f>T46+R47</f>
        <v>0</v>
      </c>
      <c r="U47" s="30"/>
      <c r="V47" s="30">
        <f>V46+T47</f>
        <v>0</v>
      </c>
      <c r="W47" s="30"/>
      <c r="X47" s="30">
        <f>X46+V47</f>
        <v>0</v>
      </c>
      <c r="Y47" s="30"/>
      <c r="Z47" s="31">
        <f>Z46+X47</f>
        <v>0</v>
      </c>
    </row>
    <row r="51" spans="1:26" ht="14.25" x14ac:dyDescent="0.2">
      <c r="A51" s="17" t="s">
        <v>159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</row>
    <row r="52" spans="1:26" ht="14.25" x14ac:dyDescent="0.2">
      <c r="A52" s="20" t="s">
        <v>157</v>
      </c>
      <c r="Z52" s="15"/>
    </row>
    <row r="53" spans="1:26" ht="14.25" x14ac:dyDescent="0.2">
      <c r="A53" s="29" t="s">
        <v>158</v>
      </c>
      <c r="B53" s="30"/>
      <c r="C53" s="30"/>
      <c r="D53" s="30">
        <f>D47</f>
        <v>0</v>
      </c>
      <c r="E53" s="30"/>
      <c r="F53" s="30">
        <f>F47</f>
        <v>0</v>
      </c>
      <c r="G53" s="30"/>
      <c r="H53" s="30">
        <f>H47</f>
        <v>0</v>
      </c>
      <c r="I53" s="30"/>
      <c r="J53" s="30">
        <f>J47</f>
        <v>0</v>
      </c>
      <c r="K53" s="30"/>
      <c r="L53" s="30">
        <f>L47</f>
        <v>0</v>
      </c>
      <c r="M53" s="30"/>
      <c r="N53" s="30">
        <f>N47</f>
        <v>0</v>
      </c>
      <c r="O53" s="30"/>
      <c r="P53" s="30">
        <f>P47</f>
        <v>0</v>
      </c>
      <c r="Q53" s="30"/>
      <c r="R53" s="30">
        <f>R47</f>
        <v>0</v>
      </c>
      <c r="S53" s="30"/>
      <c r="T53" s="30">
        <f>T47</f>
        <v>0</v>
      </c>
      <c r="U53" s="30"/>
      <c r="V53" s="30">
        <f>V47</f>
        <v>0</v>
      </c>
      <c r="W53" s="30"/>
      <c r="X53" s="30">
        <f>X47</f>
        <v>0</v>
      </c>
      <c r="Y53" s="30"/>
      <c r="Z53" s="31">
        <f>Z47</f>
        <v>0</v>
      </c>
    </row>
    <row r="54" spans="1:26" ht="14.25" x14ac:dyDescent="0.2">
      <c r="A54" t="s">
        <v>160</v>
      </c>
    </row>
  </sheetData>
  <mergeCells count="12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rintOptions headings="1"/>
  <pageMargins left="0.25" right="0.25" top="0.75" bottom="0.75" header="0.3" footer="0.3"/>
  <pageSetup paperSize="8" scale="6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Y3"/>
  <sheetViews>
    <sheetView workbookViewId="0">
      <selection activeCell="J18" sqref="J18"/>
    </sheetView>
  </sheetViews>
  <sheetFormatPr baseColWidth="10" defaultColWidth="11" defaultRowHeight="13.5" x14ac:dyDescent="0.35"/>
  <cols>
    <col min="1" max="1" width="11" style="185"/>
    <col min="2" max="2" width="6.625" customWidth="1"/>
    <col min="3" max="25" width="6.625" style="185" customWidth="1"/>
    <col min="26" max="16384" width="11" style="185"/>
  </cols>
  <sheetData>
    <row r="3" spans="2:25" ht="118.5" x14ac:dyDescent="0.35">
      <c r="B3" s="221" t="s">
        <v>450</v>
      </c>
      <c r="C3" s="221" t="s">
        <v>451</v>
      </c>
      <c r="D3" s="221" t="s">
        <v>452</v>
      </c>
      <c r="E3" s="221" t="s">
        <v>389</v>
      </c>
      <c r="F3" s="221" t="s">
        <v>453</v>
      </c>
      <c r="G3" s="221" t="s">
        <v>394</v>
      </c>
      <c r="H3" s="221" t="s">
        <v>454</v>
      </c>
      <c r="I3" s="222"/>
      <c r="J3" s="221" t="s">
        <v>455</v>
      </c>
      <c r="K3" s="221" t="s">
        <v>456</v>
      </c>
      <c r="L3" s="221" t="s">
        <v>457</v>
      </c>
      <c r="M3" s="221" t="s">
        <v>458</v>
      </c>
      <c r="N3" s="223" t="s">
        <v>459</v>
      </c>
      <c r="O3" s="221" t="s">
        <v>460</v>
      </c>
      <c r="P3" s="221" t="s">
        <v>461</v>
      </c>
      <c r="Q3" s="221" t="s">
        <v>391</v>
      </c>
      <c r="R3" s="221" t="s">
        <v>462</v>
      </c>
      <c r="S3" s="221" t="s">
        <v>463</v>
      </c>
      <c r="T3" s="221" t="s">
        <v>464</v>
      </c>
      <c r="U3" s="221" t="s">
        <v>465</v>
      </c>
      <c r="V3" s="221" t="s">
        <v>392</v>
      </c>
      <c r="W3" s="221" t="s">
        <v>466</v>
      </c>
      <c r="X3" s="221" t="s">
        <v>393</v>
      </c>
      <c r="Y3" s="221" t="s">
        <v>390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C252-DB17-4185-B274-202C8F174433}">
  <dimension ref="A1:DK49"/>
  <sheetViews>
    <sheetView workbookViewId="0">
      <selection activeCell="AR14" sqref="AR14:AS14"/>
    </sheetView>
  </sheetViews>
  <sheetFormatPr baseColWidth="10" defaultRowHeight="13.5" x14ac:dyDescent="0.35"/>
  <cols>
    <col min="1" max="1" width="17.625" customWidth="1"/>
    <col min="2" max="105" width="1.5" customWidth="1"/>
    <col min="106" max="106" width="5" customWidth="1"/>
    <col min="107" max="108" width="2.375" customWidth="1"/>
  </cols>
  <sheetData>
    <row r="1" spans="1:115" ht="13.9" thickBot="1" x14ac:dyDescent="0.4">
      <c r="A1" s="519" t="s">
        <v>479</v>
      </c>
      <c r="B1" s="516" t="s">
        <v>480</v>
      </c>
      <c r="C1" s="517"/>
      <c r="D1" s="517"/>
      <c r="E1" s="517"/>
      <c r="F1" s="517"/>
      <c r="G1" s="517"/>
      <c r="H1" s="517"/>
      <c r="I1" s="518"/>
      <c r="J1" s="516" t="s">
        <v>481</v>
      </c>
      <c r="K1" s="517"/>
      <c r="L1" s="517"/>
      <c r="M1" s="517"/>
      <c r="N1" s="517"/>
      <c r="O1" s="517"/>
      <c r="P1" s="517"/>
      <c r="Q1" s="518"/>
      <c r="R1" s="516" t="s">
        <v>482</v>
      </c>
      <c r="S1" s="517"/>
      <c r="T1" s="517"/>
      <c r="U1" s="517"/>
      <c r="V1" s="517"/>
      <c r="W1" s="517"/>
      <c r="X1" s="517"/>
      <c r="Y1" s="517"/>
      <c r="Z1" s="518"/>
      <c r="AA1" s="516" t="s">
        <v>483</v>
      </c>
      <c r="AB1" s="517"/>
      <c r="AC1" s="517"/>
      <c r="AD1" s="517"/>
      <c r="AE1" s="517"/>
      <c r="AF1" s="517"/>
      <c r="AG1" s="517"/>
      <c r="AH1" s="517"/>
      <c r="AI1" s="518"/>
      <c r="AJ1" s="516" t="s">
        <v>484</v>
      </c>
      <c r="AK1" s="517"/>
      <c r="AL1" s="517"/>
      <c r="AM1" s="517"/>
      <c r="AN1" s="517"/>
      <c r="AO1" s="517"/>
      <c r="AP1" s="517"/>
      <c r="AQ1" s="518"/>
      <c r="AR1" s="516" t="s">
        <v>485</v>
      </c>
      <c r="AS1" s="517"/>
      <c r="AT1" s="517"/>
      <c r="AU1" s="517"/>
      <c r="AV1" s="517"/>
      <c r="AW1" s="517"/>
      <c r="AX1" s="517"/>
      <c r="AY1" s="517"/>
      <c r="AZ1" s="518"/>
      <c r="BA1" s="516" t="s">
        <v>486</v>
      </c>
      <c r="BB1" s="517"/>
      <c r="BC1" s="517"/>
      <c r="BD1" s="517"/>
      <c r="BE1" s="517"/>
      <c r="BF1" s="517"/>
      <c r="BG1" s="517"/>
      <c r="BH1" s="517"/>
      <c r="BI1" s="518"/>
      <c r="BJ1" s="516" t="s">
        <v>487</v>
      </c>
      <c r="BK1" s="517"/>
      <c r="BL1" s="517"/>
      <c r="BM1" s="517"/>
      <c r="BN1" s="517"/>
      <c r="BO1" s="517"/>
      <c r="BP1" s="517"/>
      <c r="BQ1" s="517"/>
      <c r="BR1" s="518"/>
      <c r="BS1" s="516" t="s">
        <v>488</v>
      </c>
      <c r="BT1" s="517"/>
      <c r="BU1" s="517"/>
      <c r="BV1" s="517"/>
      <c r="BW1" s="517"/>
      <c r="BX1" s="517"/>
      <c r="BY1" s="517"/>
      <c r="BZ1" s="517"/>
      <c r="CA1" s="518"/>
      <c r="CB1" s="516" t="s">
        <v>489</v>
      </c>
      <c r="CC1" s="517"/>
      <c r="CD1" s="517"/>
      <c r="CE1" s="517"/>
      <c r="CF1" s="517"/>
      <c r="CG1" s="517"/>
      <c r="CH1" s="517"/>
      <c r="CI1" s="518"/>
      <c r="CJ1" s="516" t="s">
        <v>490</v>
      </c>
      <c r="CK1" s="517"/>
      <c r="CL1" s="517"/>
      <c r="CM1" s="517"/>
      <c r="CN1" s="517"/>
      <c r="CO1" s="517"/>
      <c r="CP1" s="517"/>
      <c r="CQ1" s="517"/>
      <c r="CR1" s="518"/>
      <c r="CS1" s="516" t="s">
        <v>491</v>
      </c>
      <c r="CT1" s="517"/>
      <c r="CU1" s="517"/>
      <c r="CV1" s="517"/>
      <c r="CW1" s="517"/>
      <c r="CX1" s="517"/>
      <c r="CY1" s="517"/>
      <c r="CZ1" s="517"/>
      <c r="DA1" s="518"/>
    </row>
    <row r="2" spans="1:115" ht="13.9" thickBot="1" x14ac:dyDescent="0.4">
      <c r="A2" s="520"/>
      <c r="B2" s="514">
        <v>1</v>
      </c>
      <c r="C2" s="515"/>
      <c r="D2" s="512">
        <v>2</v>
      </c>
      <c r="E2" s="513"/>
      <c r="F2" s="514">
        <v>3</v>
      </c>
      <c r="G2" s="515"/>
      <c r="H2" s="512">
        <v>4</v>
      </c>
      <c r="I2" s="513"/>
      <c r="J2" s="514">
        <v>5</v>
      </c>
      <c r="K2" s="515"/>
      <c r="L2" s="512">
        <v>6</v>
      </c>
      <c r="M2" s="513"/>
      <c r="N2" s="514">
        <v>7</v>
      </c>
      <c r="O2" s="515"/>
      <c r="P2" s="512">
        <v>8</v>
      </c>
      <c r="Q2" s="513"/>
      <c r="R2" s="514">
        <v>9</v>
      </c>
      <c r="S2" s="515"/>
      <c r="T2" s="512">
        <v>10</v>
      </c>
      <c r="U2" s="513"/>
      <c r="V2" s="514">
        <v>11</v>
      </c>
      <c r="W2" s="515"/>
      <c r="X2" s="512">
        <v>12</v>
      </c>
      <c r="Y2" s="513"/>
      <c r="Z2" s="514">
        <v>13</v>
      </c>
      <c r="AA2" s="515"/>
      <c r="AB2" s="512">
        <v>14</v>
      </c>
      <c r="AC2" s="513"/>
      <c r="AD2" s="514">
        <v>15</v>
      </c>
      <c r="AE2" s="515"/>
      <c r="AF2" s="512">
        <v>16</v>
      </c>
      <c r="AG2" s="513"/>
      <c r="AH2" s="514">
        <v>17</v>
      </c>
      <c r="AI2" s="515"/>
      <c r="AJ2" s="512">
        <v>18</v>
      </c>
      <c r="AK2" s="513"/>
      <c r="AL2" s="514">
        <v>19</v>
      </c>
      <c r="AM2" s="515"/>
      <c r="AN2" s="512">
        <v>20</v>
      </c>
      <c r="AO2" s="513"/>
      <c r="AP2" s="514">
        <v>21</v>
      </c>
      <c r="AQ2" s="515"/>
      <c r="AR2" s="512">
        <v>22</v>
      </c>
      <c r="AS2" s="513"/>
      <c r="AT2" s="514">
        <v>23</v>
      </c>
      <c r="AU2" s="515"/>
      <c r="AV2" s="512">
        <v>24</v>
      </c>
      <c r="AW2" s="513"/>
      <c r="AX2" s="514">
        <v>25</v>
      </c>
      <c r="AY2" s="515"/>
      <c r="AZ2" s="512">
        <v>26</v>
      </c>
      <c r="BA2" s="513"/>
      <c r="BB2" s="514">
        <v>27</v>
      </c>
      <c r="BC2" s="515"/>
      <c r="BD2" s="512">
        <v>28</v>
      </c>
      <c r="BE2" s="513"/>
      <c r="BF2" s="514">
        <v>29</v>
      </c>
      <c r="BG2" s="515"/>
      <c r="BH2" s="512">
        <v>30</v>
      </c>
      <c r="BI2" s="513"/>
      <c r="BJ2" s="514">
        <v>31</v>
      </c>
      <c r="BK2" s="515"/>
      <c r="BL2" s="512">
        <v>32</v>
      </c>
      <c r="BM2" s="513"/>
      <c r="BN2" s="514">
        <v>33</v>
      </c>
      <c r="BO2" s="515"/>
      <c r="BP2" s="512">
        <v>34</v>
      </c>
      <c r="BQ2" s="513"/>
      <c r="BR2" s="514">
        <v>35</v>
      </c>
      <c r="BS2" s="515"/>
      <c r="BT2" s="512">
        <v>36</v>
      </c>
      <c r="BU2" s="513"/>
      <c r="BV2" s="514">
        <v>37</v>
      </c>
      <c r="BW2" s="515"/>
      <c r="BX2" s="512">
        <v>38</v>
      </c>
      <c r="BY2" s="513"/>
      <c r="BZ2" s="514">
        <v>39</v>
      </c>
      <c r="CA2" s="515"/>
      <c r="CB2" s="512">
        <v>40</v>
      </c>
      <c r="CC2" s="513"/>
      <c r="CD2" s="514">
        <v>41</v>
      </c>
      <c r="CE2" s="515"/>
      <c r="CF2" s="512">
        <v>42</v>
      </c>
      <c r="CG2" s="513"/>
      <c r="CH2" s="514">
        <v>43</v>
      </c>
      <c r="CI2" s="515"/>
      <c r="CJ2" s="512">
        <v>44</v>
      </c>
      <c r="CK2" s="513"/>
      <c r="CL2" s="514">
        <v>45</v>
      </c>
      <c r="CM2" s="515"/>
      <c r="CN2" s="512">
        <v>46</v>
      </c>
      <c r="CO2" s="513"/>
      <c r="CP2" s="514">
        <v>47</v>
      </c>
      <c r="CQ2" s="515"/>
      <c r="CR2" s="512">
        <v>48</v>
      </c>
      <c r="CS2" s="513"/>
      <c r="CT2" s="514">
        <v>49</v>
      </c>
      <c r="CU2" s="515"/>
      <c r="CV2" s="512">
        <v>50</v>
      </c>
      <c r="CW2" s="513"/>
      <c r="CX2" s="514">
        <v>51</v>
      </c>
      <c r="CY2" s="515"/>
      <c r="CZ2" s="512">
        <v>52</v>
      </c>
      <c r="DA2" s="513"/>
    </row>
    <row r="3" spans="1:115" x14ac:dyDescent="0.35">
      <c r="A3" s="237" t="s">
        <v>432</v>
      </c>
      <c r="B3" s="487"/>
      <c r="C3" s="488"/>
      <c r="D3" s="481"/>
      <c r="E3" s="481"/>
      <c r="F3" s="484"/>
      <c r="G3" s="484"/>
      <c r="H3" s="481"/>
      <c r="I3" s="481"/>
      <c r="J3" s="484"/>
      <c r="K3" s="484"/>
      <c r="L3" s="481"/>
      <c r="M3" s="481"/>
      <c r="N3" s="484"/>
      <c r="O3" s="484"/>
      <c r="P3" s="481"/>
      <c r="Q3" s="481"/>
      <c r="R3" s="484"/>
      <c r="S3" s="484"/>
      <c r="T3" s="481"/>
      <c r="U3" s="481"/>
      <c r="V3" s="484"/>
      <c r="W3" s="484"/>
      <c r="X3" s="481"/>
      <c r="Y3" s="481"/>
      <c r="Z3" s="484"/>
      <c r="AA3" s="484"/>
      <c r="AB3" s="481"/>
      <c r="AC3" s="481"/>
      <c r="AD3" s="484"/>
      <c r="AE3" s="484"/>
      <c r="AF3" s="481"/>
      <c r="AG3" s="481"/>
      <c r="AH3" s="484"/>
      <c r="AI3" s="484"/>
      <c r="AJ3" s="481"/>
      <c r="AK3" s="481"/>
      <c r="AL3" s="484"/>
      <c r="AM3" s="484"/>
      <c r="AN3" s="481"/>
      <c r="AO3" s="481"/>
      <c r="AP3" s="484"/>
      <c r="AQ3" s="484"/>
      <c r="AR3" s="481"/>
      <c r="AS3" s="481"/>
      <c r="AT3" s="484"/>
      <c r="AU3" s="484"/>
      <c r="AV3" s="481"/>
      <c r="AW3" s="481"/>
      <c r="AX3" s="484"/>
      <c r="AY3" s="484"/>
      <c r="AZ3" s="481"/>
      <c r="BA3" s="481"/>
      <c r="BB3" s="484"/>
      <c r="BC3" s="484"/>
      <c r="BD3" s="481"/>
      <c r="BE3" s="481"/>
      <c r="BF3" s="484"/>
      <c r="BG3" s="484"/>
      <c r="BH3" s="481"/>
      <c r="BI3" s="481"/>
      <c r="BJ3" s="484"/>
      <c r="BK3" s="484"/>
      <c r="BL3" s="481"/>
      <c r="BM3" s="481"/>
      <c r="BN3" s="484"/>
      <c r="BO3" s="484"/>
      <c r="BP3" s="481"/>
      <c r="BQ3" s="481"/>
      <c r="BR3" s="484"/>
      <c r="BS3" s="484"/>
      <c r="BT3" s="481"/>
      <c r="BU3" s="481"/>
      <c r="BV3" s="484"/>
      <c r="BW3" s="484"/>
      <c r="BX3" s="481"/>
      <c r="BY3" s="481"/>
      <c r="BZ3" s="484"/>
      <c r="CA3" s="484"/>
      <c r="CB3" s="481"/>
      <c r="CC3" s="481"/>
      <c r="CD3" s="484"/>
      <c r="CE3" s="484"/>
      <c r="CF3" s="481"/>
      <c r="CG3" s="481"/>
      <c r="CH3" s="484"/>
      <c r="CI3" s="484"/>
      <c r="CJ3" s="481"/>
      <c r="CK3" s="481"/>
      <c r="CL3" s="484"/>
      <c r="CM3" s="484"/>
      <c r="CN3" s="481"/>
      <c r="CO3" s="481"/>
      <c r="CP3" s="484"/>
      <c r="CQ3" s="484"/>
      <c r="CR3" s="481"/>
      <c r="CS3" s="481"/>
      <c r="CT3" s="484"/>
      <c r="CU3" s="484"/>
      <c r="CV3" s="481"/>
      <c r="CW3" s="481"/>
      <c r="CX3" s="484"/>
      <c r="CY3" s="484"/>
      <c r="CZ3" s="481"/>
      <c r="DA3" s="482"/>
      <c r="DC3" s="511"/>
      <c r="DD3" s="511"/>
      <c r="DE3" s="471" t="s">
        <v>492</v>
      </c>
      <c r="DF3" s="472"/>
      <c r="DH3" t="s">
        <v>493</v>
      </c>
      <c r="DI3" t="s">
        <v>494</v>
      </c>
      <c r="DJ3" t="s">
        <v>495</v>
      </c>
      <c r="DK3" t="s">
        <v>496</v>
      </c>
    </row>
    <row r="4" spans="1:115" ht="13.9" thickBot="1" x14ac:dyDescent="0.4">
      <c r="A4" s="238" t="s">
        <v>403</v>
      </c>
      <c r="B4" s="483"/>
      <c r="C4" s="480"/>
      <c r="D4" s="473"/>
      <c r="E4" s="473"/>
      <c r="F4" s="480"/>
      <c r="G4" s="480"/>
      <c r="H4" s="473"/>
      <c r="I4" s="473"/>
      <c r="J4" s="480"/>
      <c r="K4" s="480"/>
      <c r="L4" s="473"/>
      <c r="M4" s="473"/>
      <c r="N4" s="480"/>
      <c r="O4" s="480"/>
      <c r="P4" s="473"/>
      <c r="Q4" s="473"/>
      <c r="R4" s="480"/>
      <c r="S4" s="480"/>
      <c r="T4" s="473"/>
      <c r="U4" s="473"/>
      <c r="V4" s="480"/>
      <c r="W4" s="480"/>
      <c r="X4" s="473"/>
      <c r="Y4" s="473"/>
      <c r="Z4" s="480"/>
      <c r="AA4" s="480"/>
      <c r="AB4" s="473"/>
      <c r="AC4" s="473"/>
      <c r="AD4" s="480"/>
      <c r="AE4" s="480"/>
      <c r="AF4" s="473"/>
      <c r="AG4" s="473"/>
      <c r="AH4" s="480"/>
      <c r="AI4" s="480"/>
      <c r="AJ4" s="473"/>
      <c r="AK4" s="473"/>
      <c r="AL4" s="480"/>
      <c r="AM4" s="480"/>
      <c r="AN4" s="239"/>
      <c r="AO4" s="240"/>
      <c r="AP4" s="510"/>
      <c r="AQ4" s="510"/>
      <c r="AR4" s="494"/>
      <c r="AS4" s="494"/>
      <c r="AT4" s="480"/>
      <c r="AU4" s="480"/>
      <c r="AV4" s="473"/>
      <c r="AW4" s="473"/>
      <c r="AX4" s="480"/>
      <c r="AY4" s="480"/>
      <c r="AZ4" s="473"/>
      <c r="BA4" s="473"/>
      <c r="BB4" s="480"/>
      <c r="BC4" s="480"/>
      <c r="BD4" s="473"/>
      <c r="BE4" s="473"/>
      <c r="BF4" s="480"/>
      <c r="BG4" s="480"/>
      <c r="BH4" s="473"/>
      <c r="BI4" s="473"/>
      <c r="BJ4" s="480"/>
      <c r="BK4" s="480"/>
      <c r="BL4" s="473"/>
      <c r="BM4" s="473"/>
      <c r="BN4" s="480"/>
      <c r="BO4" s="480"/>
      <c r="BP4" s="473"/>
      <c r="BQ4" s="473"/>
      <c r="BR4" s="480"/>
      <c r="BS4" s="480"/>
      <c r="BT4" s="473"/>
      <c r="BU4" s="473"/>
      <c r="BV4" s="480"/>
      <c r="BW4" s="480"/>
      <c r="BX4" s="473"/>
      <c r="BY4" s="473"/>
      <c r="BZ4" s="480"/>
      <c r="CA4" s="480"/>
      <c r="CB4" s="473"/>
      <c r="CC4" s="473"/>
      <c r="CD4" s="480"/>
      <c r="CE4" s="480"/>
      <c r="CF4" s="473"/>
      <c r="CG4" s="473"/>
      <c r="CH4" s="480"/>
      <c r="CI4" s="480"/>
      <c r="CJ4" s="473"/>
      <c r="CK4" s="473"/>
      <c r="CL4" s="480"/>
      <c r="CM4" s="480"/>
      <c r="CN4" s="473"/>
      <c r="CO4" s="473"/>
      <c r="CP4" s="480"/>
      <c r="CQ4" s="480"/>
      <c r="CR4" s="473"/>
      <c r="CS4" s="473"/>
      <c r="CT4" s="486"/>
      <c r="CU4" s="483"/>
      <c r="CV4" s="473"/>
      <c r="CW4" s="473"/>
      <c r="CX4" s="480"/>
      <c r="CY4" s="480"/>
      <c r="CZ4" s="473"/>
      <c r="DA4" s="474"/>
      <c r="DC4" s="508"/>
      <c r="DD4" s="508"/>
      <c r="DE4" t="s">
        <v>497</v>
      </c>
      <c r="DH4" t="s">
        <v>498</v>
      </c>
      <c r="DI4" t="s">
        <v>499</v>
      </c>
      <c r="DJ4" t="s">
        <v>500</v>
      </c>
      <c r="DK4" t="s">
        <v>501</v>
      </c>
    </row>
    <row r="5" spans="1:115" x14ac:dyDescent="0.35">
      <c r="A5" s="241" t="s">
        <v>404</v>
      </c>
      <c r="B5" s="487"/>
      <c r="C5" s="488"/>
      <c r="D5" s="481"/>
      <c r="E5" s="481"/>
      <c r="F5" s="484"/>
      <c r="G5" s="484"/>
      <c r="H5" s="481"/>
      <c r="I5" s="481"/>
      <c r="J5" s="484"/>
      <c r="K5" s="484"/>
      <c r="L5" s="481"/>
      <c r="M5" s="481"/>
      <c r="N5" s="484"/>
      <c r="O5" s="484"/>
      <c r="P5" s="481"/>
      <c r="Q5" s="481"/>
      <c r="R5" s="484"/>
      <c r="S5" s="484"/>
      <c r="T5" s="481"/>
      <c r="U5" s="481"/>
      <c r="V5" s="484"/>
      <c r="W5" s="484"/>
      <c r="X5" s="475"/>
      <c r="Y5" s="475"/>
      <c r="Z5" s="475"/>
      <c r="AA5" s="475"/>
      <c r="AB5" s="508"/>
      <c r="AC5" s="508"/>
      <c r="AD5" s="508"/>
      <c r="AE5" s="508"/>
      <c r="AF5" s="481"/>
      <c r="AG5" s="481"/>
      <c r="AH5" s="484"/>
      <c r="AI5" s="484"/>
      <c r="AJ5" s="481"/>
      <c r="AK5" s="481"/>
      <c r="AL5" s="484"/>
      <c r="AM5" s="484"/>
      <c r="AN5" s="509"/>
      <c r="AO5" s="509"/>
      <c r="AP5" s="501"/>
      <c r="AQ5" s="501"/>
      <c r="AR5" s="494"/>
      <c r="AS5" s="494"/>
      <c r="AT5" s="494"/>
      <c r="AU5" s="494"/>
      <c r="AV5" s="481"/>
      <c r="AW5" s="481"/>
      <c r="AX5" s="484"/>
      <c r="AY5" s="484"/>
      <c r="AZ5" s="481"/>
      <c r="BA5" s="481"/>
      <c r="BB5" s="484"/>
      <c r="BC5" s="484"/>
      <c r="BD5" s="481"/>
      <c r="BE5" s="481"/>
      <c r="BF5" s="484"/>
      <c r="BG5" s="484"/>
      <c r="BH5" s="481"/>
      <c r="BI5" s="481"/>
      <c r="BJ5" s="484"/>
      <c r="BK5" s="484"/>
      <c r="BL5" s="481"/>
      <c r="BM5" s="481"/>
      <c r="BN5" s="484"/>
      <c r="BO5" s="484"/>
      <c r="BP5" s="481"/>
      <c r="BQ5" s="481"/>
      <c r="BR5" s="484"/>
      <c r="BS5" s="484"/>
      <c r="BT5" s="481"/>
      <c r="BU5" s="481"/>
      <c r="BV5" s="484"/>
      <c r="BW5" s="484"/>
      <c r="BX5" s="481"/>
      <c r="BY5" s="481"/>
      <c r="BZ5" s="484"/>
      <c r="CA5" s="484"/>
      <c r="CB5" s="481"/>
      <c r="CC5" s="481"/>
      <c r="CD5" s="484"/>
      <c r="CE5" s="484"/>
      <c r="CF5" s="481"/>
      <c r="CG5" s="481"/>
      <c r="CH5" s="484"/>
      <c r="CI5" s="484"/>
      <c r="CJ5" s="481"/>
      <c r="CK5" s="481"/>
      <c r="CL5" s="484"/>
      <c r="CM5" s="484"/>
      <c r="CN5" s="481"/>
      <c r="CO5" s="481"/>
      <c r="CP5" s="484"/>
      <c r="CQ5" s="484"/>
      <c r="CR5" s="481"/>
      <c r="CS5" s="481"/>
      <c r="CT5" s="484"/>
      <c r="CU5" s="484"/>
      <c r="CV5" s="481"/>
      <c r="CW5" s="481"/>
      <c r="CX5" s="484"/>
      <c r="CY5" s="484"/>
      <c r="CZ5" s="481"/>
      <c r="DA5" s="482"/>
      <c r="DC5" s="506"/>
      <c r="DD5" s="507"/>
      <c r="DE5" t="s">
        <v>502</v>
      </c>
      <c r="DH5" t="s">
        <v>503</v>
      </c>
    </row>
    <row r="6" spans="1:115" ht="14.65" thickBot="1" x14ac:dyDescent="0.5">
      <c r="A6" s="242" t="s">
        <v>436</v>
      </c>
      <c r="B6" s="483"/>
      <c r="C6" s="480"/>
      <c r="D6" s="473"/>
      <c r="E6" s="473"/>
      <c r="F6" s="480"/>
      <c r="G6" s="480"/>
      <c r="H6" s="473"/>
      <c r="I6" s="473"/>
      <c r="J6" s="480"/>
      <c r="K6" s="480"/>
      <c r="L6" s="473"/>
      <c r="M6" s="473"/>
      <c r="N6" s="480"/>
      <c r="O6" s="480"/>
      <c r="P6" s="473"/>
      <c r="Q6" s="473"/>
      <c r="R6" s="480"/>
      <c r="S6" s="480"/>
      <c r="T6" s="473"/>
      <c r="U6" s="473"/>
      <c r="V6" s="480"/>
      <c r="W6" s="480"/>
      <c r="X6" s="473"/>
      <c r="Y6" s="473"/>
      <c r="Z6" s="480"/>
      <c r="AA6" s="480"/>
      <c r="AB6" s="473"/>
      <c r="AC6" s="473"/>
      <c r="AD6" s="480"/>
      <c r="AE6" s="480"/>
      <c r="AF6" s="473"/>
      <c r="AG6" s="473"/>
      <c r="AH6" s="480"/>
      <c r="AI6" s="480"/>
      <c r="AJ6" s="491"/>
      <c r="AK6" s="491"/>
      <c r="AL6" s="491"/>
      <c r="AM6" s="491"/>
      <c r="AN6" s="491"/>
      <c r="AO6" s="491"/>
      <c r="AP6" s="492"/>
      <c r="AQ6" s="492"/>
      <c r="AR6" s="492"/>
      <c r="AS6" s="492"/>
      <c r="AT6" s="508"/>
      <c r="AU6" s="508"/>
      <c r="AV6" s="506"/>
      <c r="AW6" s="507"/>
      <c r="AX6" s="500"/>
      <c r="AY6" s="500"/>
      <c r="AZ6" s="500"/>
      <c r="BA6" s="500"/>
      <c r="BB6" s="500"/>
      <c r="BC6" s="500"/>
      <c r="BD6" s="501"/>
      <c r="BE6" s="501"/>
      <c r="BF6" s="501"/>
      <c r="BG6" s="501"/>
      <c r="BH6" s="501"/>
      <c r="BI6" s="501"/>
      <c r="BJ6" s="480"/>
      <c r="BK6" s="480"/>
      <c r="BL6" s="473"/>
      <c r="BM6" s="473"/>
      <c r="BN6" s="480"/>
      <c r="BO6" s="480"/>
      <c r="BP6" s="473"/>
      <c r="BQ6" s="473"/>
      <c r="BR6" s="480"/>
      <c r="BS6" s="480"/>
      <c r="BT6" s="473"/>
      <c r="BU6" s="473"/>
      <c r="BV6" s="480"/>
      <c r="BW6" s="480"/>
      <c r="BX6" s="473"/>
      <c r="BY6" s="473"/>
      <c r="BZ6" s="480"/>
      <c r="CA6" s="480"/>
      <c r="CB6" s="473"/>
      <c r="CC6" s="473"/>
      <c r="CD6" s="480"/>
      <c r="CE6" s="480"/>
      <c r="CF6" s="473"/>
      <c r="CG6" s="473"/>
      <c r="CH6" s="480"/>
      <c r="CI6" s="480"/>
      <c r="CJ6" s="473"/>
      <c r="CK6" s="473"/>
      <c r="CL6" s="480"/>
      <c r="CM6" s="480"/>
      <c r="CN6" s="473"/>
      <c r="CO6" s="473"/>
      <c r="CP6" s="480"/>
      <c r="CQ6" s="480"/>
      <c r="CR6" s="473"/>
      <c r="CS6" s="473"/>
      <c r="CT6" s="486"/>
      <c r="CU6" s="483"/>
      <c r="CV6" s="473"/>
      <c r="CW6" s="473"/>
      <c r="CX6" s="480"/>
      <c r="CY6" s="480"/>
      <c r="CZ6" s="473"/>
      <c r="DA6" s="474"/>
      <c r="DC6" s="495"/>
      <c r="DD6" s="496"/>
      <c r="DE6" t="s">
        <v>529</v>
      </c>
    </row>
    <row r="7" spans="1:115" ht="14.25" x14ac:dyDescent="0.45">
      <c r="A7" s="243" t="s">
        <v>504</v>
      </c>
      <c r="B7" s="487"/>
      <c r="C7" s="488"/>
      <c r="D7" s="481"/>
      <c r="E7" s="481"/>
      <c r="F7" s="484"/>
      <c r="G7" s="484"/>
      <c r="H7" s="481"/>
      <c r="I7" s="481"/>
      <c r="J7" s="484"/>
      <c r="K7" s="484"/>
      <c r="L7" s="481"/>
      <c r="M7" s="481"/>
      <c r="N7" s="484"/>
      <c r="O7" s="484"/>
      <c r="P7" s="481"/>
      <c r="Q7" s="481"/>
      <c r="R7" s="484"/>
      <c r="S7" s="484"/>
      <c r="T7" s="481"/>
      <c r="U7" s="481"/>
      <c r="V7" s="484"/>
      <c r="W7" s="484"/>
      <c r="X7" s="481"/>
      <c r="Y7" s="481"/>
      <c r="Z7" s="484"/>
      <c r="AA7" s="484"/>
      <c r="AB7" s="481"/>
      <c r="AC7" s="481"/>
      <c r="AD7" s="484"/>
      <c r="AE7" s="484"/>
      <c r="AF7" s="481"/>
      <c r="AG7" s="481"/>
      <c r="AH7" s="484"/>
      <c r="AI7" s="484"/>
      <c r="AJ7" s="489"/>
      <c r="AK7" s="489"/>
      <c r="AL7" s="488"/>
      <c r="AM7" s="488"/>
      <c r="AN7" s="489"/>
      <c r="AO7" s="489"/>
      <c r="AP7" s="488"/>
      <c r="AQ7" s="488"/>
      <c r="AR7" s="489"/>
      <c r="AS7" s="489"/>
      <c r="AT7" s="488"/>
      <c r="AU7" s="488"/>
      <c r="AV7" s="481"/>
      <c r="AW7" s="481"/>
      <c r="AX7" s="484"/>
      <c r="AY7" s="484"/>
      <c r="AZ7" s="481"/>
      <c r="BA7" s="481"/>
      <c r="BB7" s="475"/>
      <c r="BC7" s="475"/>
      <c r="BD7" s="475"/>
      <c r="BE7" s="475"/>
      <c r="BF7" s="504"/>
      <c r="BG7" s="505"/>
      <c r="BH7" s="502"/>
      <c r="BI7" s="503"/>
      <c r="BJ7" s="484"/>
      <c r="BK7" s="484"/>
      <c r="BL7" s="502"/>
      <c r="BM7" s="503"/>
      <c r="BN7" s="504"/>
      <c r="BO7" s="505"/>
      <c r="BP7" s="481"/>
      <c r="BQ7" s="481"/>
      <c r="BR7" s="484"/>
      <c r="BS7" s="484"/>
      <c r="BT7" s="481"/>
      <c r="BU7" s="481"/>
      <c r="BV7" s="484"/>
      <c r="BW7" s="484"/>
      <c r="BX7" s="481"/>
      <c r="BY7" s="481"/>
      <c r="BZ7" s="484"/>
      <c r="CA7" s="484"/>
      <c r="CB7" s="481"/>
      <c r="CC7" s="481"/>
      <c r="CD7" s="484"/>
      <c r="CE7" s="484"/>
      <c r="CF7" s="481"/>
      <c r="CG7" s="481"/>
      <c r="CH7" s="484"/>
      <c r="CI7" s="484"/>
      <c r="CJ7" s="481"/>
      <c r="CK7" s="481"/>
      <c r="CL7" s="484"/>
      <c r="CM7" s="484"/>
      <c r="CN7" s="481"/>
      <c r="CO7" s="481"/>
      <c r="CP7" s="484"/>
      <c r="CQ7" s="484"/>
      <c r="CR7" s="481"/>
      <c r="CS7" s="481"/>
      <c r="CT7" s="484"/>
      <c r="CU7" s="484"/>
      <c r="CV7" s="481"/>
      <c r="CW7" s="481"/>
      <c r="CX7" s="484"/>
      <c r="CY7" s="484"/>
      <c r="CZ7" s="481"/>
      <c r="DA7" s="482"/>
      <c r="DC7" s="501"/>
      <c r="DD7" s="501"/>
      <c r="DE7" s="472" t="s">
        <v>505</v>
      </c>
      <c r="DF7" s="472"/>
    </row>
    <row r="8" spans="1:115" ht="14.65" thickBot="1" x14ac:dyDescent="0.5">
      <c r="A8" s="242" t="s">
        <v>435</v>
      </c>
      <c r="B8" s="483"/>
      <c r="C8" s="480"/>
      <c r="D8" s="473"/>
      <c r="E8" s="473"/>
      <c r="F8" s="480"/>
      <c r="G8" s="480"/>
      <c r="H8" s="473"/>
      <c r="I8" s="473"/>
      <c r="J8" s="480"/>
      <c r="K8" s="480"/>
      <c r="L8" s="473"/>
      <c r="M8" s="473"/>
      <c r="N8" s="480"/>
      <c r="O8" s="480"/>
      <c r="P8" s="473"/>
      <c r="Q8" s="473"/>
      <c r="R8" s="480"/>
      <c r="S8" s="480"/>
      <c r="T8" s="473"/>
      <c r="U8" s="473"/>
      <c r="V8" s="480"/>
      <c r="W8" s="480"/>
      <c r="X8" s="473"/>
      <c r="Y8" s="473"/>
      <c r="Z8" s="480"/>
      <c r="AA8" s="480"/>
      <c r="AB8" s="473"/>
      <c r="AC8" s="473"/>
      <c r="AD8" s="480"/>
      <c r="AE8" s="480"/>
      <c r="AF8" s="473"/>
      <c r="AG8" s="473"/>
      <c r="AH8" s="480"/>
      <c r="AI8" s="480"/>
      <c r="AJ8" s="473"/>
      <c r="AK8" s="473"/>
      <c r="AL8" s="480"/>
      <c r="AM8" s="480"/>
      <c r="AN8" s="473"/>
      <c r="AO8" s="473"/>
      <c r="AP8" s="480"/>
      <c r="AQ8" s="480"/>
      <c r="AR8" s="473"/>
      <c r="AS8" s="473"/>
      <c r="AT8" s="480"/>
      <c r="AU8" s="480"/>
      <c r="AV8" s="473"/>
      <c r="AW8" s="473"/>
      <c r="AX8" s="480"/>
      <c r="AY8" s="480"/>
      <c r="AZ8" s="473"/>
      <c r="BA8" s="473"/>
      <c r="BB8" s="480"/>
      <c r="BC8" s="480"/>
      <c r="BD8" s="473"/>
      <c r="BE8" s="473"/>
      <c r="BF8" s="480"/>
      <c r="BG8" s="480"/>
      <c r="BH8" s="473"/>
      <c r="BI8" s="473"/>
      <c r="BJ8" s="480"/>
      <c r="BK8" s="480"/>
      <c r="BL8" s="473"/>
      <c r="BM8" s="473"/>
      <c r="BN8" s="480"/>
      <c r="BO8" s="480"/>
      <c r="BP8" s="473"/>
      <c r="BQ8" s="473"/>
      <c r="BR8" s="480"/>
      <c r="BS8" s="480"/>
      <c r="BT8" s="473"/>
      <c r="BU8" s="473"/>
      <c r="BV8" s="480"/>
      <c r="BW8" s="480"/>
      <c r="BX8" s="473"/>
      <c r="BY8" s="473"/>
      <c r="BZ8" s="480"/>
      <c r="CA8" s="480"/>
      <c r="CB8" s="473"/>
      <c r="CC8" s="473"/>
      <c r="CD8" s="480"/>
      <c r="CE8" s="480"/>
      <c r="CF8" s="473"/>
      <c r="CG8" s="473"/>
      <c r="CH8" s="480"/>
      <c r="CI8" s="480"/>
      <c r="CJ8" s="473"/>
      <c r="CK8" s="473"/>
      <c r="CL8" s="480"/>
      <c r="CM8" s="480"/>
      <c r="CN8" s="473"/>
      <c r="CO8" s="473"/>
      <c r="CP8" s="480"/>
      <c r="CQ8" s="480"/>
      <c r="CR8" s="473"/>
      <c r="CS8" s="473"/>
      <c r="CT8" s="486"/>
      <c r="CU8" s="483"/>
      <c r="CV8" s="473"/>
      <c r="CW8" s="473"/>
      <c r="CX8" s="480"/>
      <c r="CY8" s="480"/>
      <c r="CZ8" s="473"/>
      <c r="DA8" s="474"/>
      <c r="DC8" s="494"/>
      <c r="DD8" s="494"/>
      <c r="DE8" s="471" t="s">
        <v>506</v>
      </c>
      <c r="DF8" s="472"/>
    </row>
    <row r="9" spans="1:115" ht="14.25" x14ac:dyDescent="0.45">
      <c r="A9" s="244" t="s">
        <v>330</v>
      </c>
      <c r="B9" s="487"/>
      <c r="C9" s="488"/>
      <c r="D9" s="481"/>
      <c r="E9" s="481"/>
      <c r="F9" s="484"/>
      <c r="G9" s="484"/>
      <c r="H9" s="481"/>
      <c r="I9" s="481"/>
      <c r="J9" s="484"/>
      <c r="K9" s="484"/>
      <c r="L9" s="481"/>
      <c r="M9" s="481"/>
      <c r="N9" s="484"/>
      <c r="O9" s="484"/>
      <c r="P9" s="481"/>
      <c r="Q9" s="481"/>
      <c r="R9" s="484"/>
      <c r="S9" s="484"/>
      <c r="T9" s="481"/>
      <c r="U9" s="481"/>
      <c r="V9" s="484"/>
      <c r="W9" s="484"/>
      <c r="X9" s="481"/>
      <c r="Y9" s="481"/>
      <c r="Z9" s="484"/>
      <c r="AA9" s="484"/>
      <c r="AB9" s="481"/>
      <c r="AC9" s="481"/>
      <c r="AD9" s="484"/>
      <c r="AE9" s="484"/>
      <c r="AF9" s="481"/>
      <c r="AG9" s="481"/>
      <c r="AH9" s="484"/>
      <c r="AI9" s="484"/>
      <c r="AJ9" s="481"/>
      <c r="AK9" s="481"/>
      <c r="AL9" s="484"/>
      <c r="AM9" s="484"/>
      <c r="AN9" s="481"/>
      <c r="AO9" s="481"/>
      <c r="AP9" s="484"/>
      <c r="AQ9" s="484"/>
      <c r="AR9" s="481"/>
      <c r="AS9" s="481"/>
      <c r="AT9" s="484"/>
      <c r="AU9" s="484"/>
      <c r="AV9" s="500"/>
      <c r="AW9" s="500"/>
      <c r="AX9" s="501"/>
      <c r="AY9" s="501"/>
      <c r="AZ9" s="501"/>
      <c r="BA9" s="501"/>
      <c r="BB9" s="484"/>
      <c r="BC9" s="484"/>
      <c r="BD9" s="481"/>
      <c r="BE9" s="481"/>
      <c r="BF9" s="484"/>
      <c r="BG9" s="484"/>
      <c r="BH9" s="481"/>
      <c r="BI9" s="481"/>
      <c r="BJ9" s="484"/>
      <c r="BK9" s="484"/>
      <c r="BL9" s="481"/>
      <c r="BM9" s="481"/>
      <c r="BN9" s="484"/>
      <c r="BO9" s="484"/>
      <c r="BP9" s="481"/>
      <c r="BQ9" s="481"/>
      <c r="BR9" s="484"/>
      <c r="BS9" s="484"/>
      <c r="BT9" s="481"/>
      <c r="BU9" s="481"/>
      <c r="BV9" s="484"/>
      <c r="BW9" s="484"/>
      <c r="BX9" s="481"/>
      <c r="BY9" s="481"/>
      <c r="BZ9" s="484"/>
      <c r="CA9" s="484"/>
      <c r="CB9" s="481"/>
      <c r="CC9" s="481"/>
      <c r="CD9" s="484"/>
      <c r="CE9" s="484"/>
      <c r="CF9" s="481"/>
      <c r="CG9" s="481"/>
      <c r="CH9" s="484"/>
      <c r="CI9" s="484"/>
      <c r="CJ9" s="481"/>
      <c r="CK9" s="481"/>
      <c r="CL9" s="484"/>
      <c r="CM9" s="484"/>
      <c r="CN9" s="481"/>
      <c r="CO9" s="481"/>
      <c r="CP9" s="484"/>
      <c r="CQ9" s="484"/>
      <c r="CR9" s="481"/>
      <c r="CS9" s="481"/>
      <c r="CT9" s="484"/>
      <c r="CU9" s="484"/>
      <c r="CV9" s="481"/>
      <c r="CW9" s="481"/>
      <c r="CX9" s="484"/>
      <c r="CY9" s="484"/>
      <c r="CZ9" s="481"/>
      <c r="DA9" s="482"/>
      <c r="DC9" s="499"/>
      <c r="DD9" s="499"/>
      <c r="DE9" s="471" t="s">
        <v>507</v>
      </c>
      <c r="DF9" s="472"/>
    </row>
    <row r="10" spans="1:115" ht="13.9" thickBot="1" x14ac:dyDescent="0.4">
      <c r="A10" s="238" t="s">
        <v>349</v>
      </c>
      <c r="B10" s="483"/>
      <c r="C10" s="480"/>
      <c r="D10" s="473"/>
      <c r="E10" s="473"/>
      <c r="F10" s="480"/>
      <c r="G10" s="480"/>
      <c r="H10" s="473"/>
      <c r="I10" s="473"/>
      <c r="J10" s="480"/>
      <c r="K10" s="480"/>
      <c r="L10" s="473"/>
      <c r="M10" s="473"/>
      <c r="N10" s="480"/>
      <c r="O10" s="480"/>
      <c r="P10" s="473"/>
      <c r="Q10" s="473"/>
      <c r="R10" s="480"/>
      <c r="S10" s="480"/>
      <c r="T10" s="473"/>
      <c r="U10" s="473"/>
      <c r="V10" s="480"/>
      <c r="W10" s="480"/>
      <c r="X10" s="473"/>
      <c r="Y10" s="473"/>
      <c r="Z10" s="480"/>
      <c r="AA10" s="480"/>
      <c r="AB10" s="473"/>
      <c r="AC10" s="473"/>
      <c r="AD10" s="480"/>
      <c r="AE10" s="480"/>
      <c r="AF10" s="473"/>
      <c r="AG10" s="473"/>
      <c r="AH10" s="480"/>
      <c r="AI10" s="480"/>
      <c r="AJ10" s="473"/>
      <c r="AK10" s="473"/>
      <c r="AL10" s="480"/>
      <c r="AM10" s="480"/>
      <c r="AN10" s="473"/>
      <c r="AO10" s="473"/>
      <c r="AP10" s="480"/>
      <c r="AQ10" s="480"/>
      <c r="AR10" s="473"/>
      <c r="AS10" s="473"/>
      <c r="AT10" s="480"/>
      <c r="AU10" s="480"/>
      <c r="AV10" s="473"/>
      <c r="AW10" s="473"/>
      <c r="AX10" s="480"/>
      <c r="AY10" s="480"/>
      <c r="AZ10" s="473"/>
      <c r="BA10" s="473"/>
      <c r="BB10" s="480"/>
      <c r="BC10" s="480"/>
      <c r="BD10" s="473"/>
      <c r="BE10" s="473"/>
      <c r="BF10" s="480"/>
      <c r="BG10" s="480"/>
      <c r="BH10" s="473"/>
      <c r="BI10" s="473"/>
      <c r="BJ10" s="480"/>
      <c r="BK10" s="480"/>
      <c r="BL10" s="473"/>
      <c r="BM10" s="473"/>
      <c r="BN10" s="480"/>
      <c r="BO10" s="480"/>
      <c r="BP10" s="473"/>
      <c r="BQ10" s="473"/>
      <c r="BR10" s="480"/>
      <c r="BS10" s="480"/>
      <c r="BT10" s="473"/>
      <c r="BU10" s="473"/>
      <c r="BV10" s="480"/>
      <c r="BW10" s="480"/>
      <c r="BX10" s="473"/>
      <c r="BY10" s="473"/>
      <c r="BZ10" s="480"/>
      <c r="CA10" s="480"/>
      <c r="CB10" s="473"/>
      <c r="CC10" s="473"/>
      <c r="CD10" s="480"/>
      <c r="CE10" s="480"/>
      <c r="CF10" s="473"/>
      <c r="CG10" s="473"/>
      <c r="CH10" s="480"/>
      <c r="CI10" s="480"/>
      <c r="CJ10" s="473"/>
      <c r="CK10" s="473"/>
      <c r="CL10" s="480"/>
      <c r="CM10" s="480"/>
      <c r="CN10" s="473"/>
      <c r="CO10" s="473"/>
      <c r="CP10" s="480"/>
      <c r="CQ10" s="480"/>
      <c r="CR10" s="473"/>
      <c r="CS10" s="473"/>
      <c r="CT10" s="486"/>
      <c r="CU10" s="483"/>
      <c r="CV10" s="473"/>
      <c r="CW10" s="473"/>
      <c r="CX10" s="480"/>
      <c r="CY10" s="480"/>
      <c r="CZ10" s="473"/>
      <c r="DA10" s="474"/>
    </row>
    <row r="11" spans="1:115" x14ac:dyDescent="0.35">
      <c r="A11" s="241" t="s">
        <v>396</v>
      </c>
      <c r="B11" s="487"/>
      <c r="C11" s="488"/>
      <c r="D11" s="481"/>
      <c r="E11" s="481"/>
      <c r="F11" s="484"/>
      <c r="G11" s="484"/>
      <c r="H11" s="481"/>
      <c r="I11" s="481"/>
      <c r="J11" s="484"/>
      <c r="K11" s="484"/>
      <c r="L11" s="481"/>
      <c r="M11" s="481"/>
      <c r="N11" s="484"/>
      <c r="O11" s="484"/>
      <c r="P11" s="481"/>
      <c r="Q11" s="481"/>
      <c r="R11" s="484"/>
      <c r="S11" s="484"/>
      <c r="T11" s="481"/>
      <c r="U11" s="481"/>
      <c r="V11" s="484"/>
      <c r="W11" s="484"/>
      <c r="X11" s="481"/>
      <c r="Y11" s="481"/>
      <c r="Z11" s="484"/>
      <c r="AA11" s="484"/>
      <c r="AB11" s="481"/>
      <c r="AC11" s="481"/>
      <c r="AD11" s="484"/>
      <c r="AE11" s="484"/>
      <c r="AF11" s="481"/>
      <c r="AG11" s="481"/>
      <c r="AH11" s="484"/>
      <c r="AI11" s="484"/>
      <c r="AJ11" s="481"/>
      <c r="AK11" s="481"/>
      <c r="AL11" s="484"/>
      <c r="AM11" s="484"/>
      <c r="AN11" s="481"/>
      <c r="AO11" s="481"/>
      <c r="AP11" s="484"/>
      <c r="AQ11" s="484"/>
      <c r="AR11" s="481"/>
      <c r="AS11" s="481"/>
      <c r="AT11" s="484"/>
      <c r="AU11" s="484"/>
      <c r="AV11" s="481"/>
      <c r="AW11" s="481"/>
      <c r="AX11" s="484"/>
      <c r="AY11" s="484"/>
      <c r="AZ11" s="481"/>
      <c r="BA11" s="481"/>
      <c r="BB11" s="484"/>
      <c r="BC11" s="484"/>
      <c r="BD11" s="481"/>
      <c r="BE11" s="481"/>
      <c r="BF11" s="484"/>
      <c r="BG11" s="484"/>
      <c r="BH11" s="481"/>
      <c r="BI11" s="481"/>
      <c r="BJ11" s="484"/>
      <c r="BK11" s="484"/>
      <c r="BL11" s="481"/>
      <c r="BM11" s="481"/>
      <c r="BN11" s="484"/>
      <c r="BO11" s="484"/>
      <c r="BP11" s="481"/>
      <c r="BQ11" s="481"/>
      <c r="BR11" s="484"/>
      <c r="BS11" s="484"/>
      <c r="BT11" s="481"/>
      <c r="BU11" s="481"/>
      <c r="BV11" s="484"/>
      <c r="BW11" s="484"/>
      <c r="BX11" s="481"/>
      <c r="BY11" s="481"/>
      <c r="BZ11" s="484"/>
      <c r="CA11" s="484"/>
      <c r="CB11" s="481"/>
      <c r="CC11" s="481"/>
      <c r="CD11" s="484"/>
      <c r="CE11" s="484"/>
      <c r="CF11" s="481"/>
      <c r="CG11" s="481"/>
      <c r="CH11" s="484"/>
      <c r="CI11" s="484"/>
      <c r="CJ11" s="481"/>
      <c r="CK11" s="481"/>
      <c r="CL11" s="484"/>
      <c r="CM11" s="484"/>
      <c r="CN11" s="481"/>
      <c r="CO11" s="481"/>
      <c r="CP11" s="484"/>
      <c r="CQ11" s="484"/>
      <c r="CR11" s="481"/>
      <c r="CS11" s="481"/>
      <c r="CT11" s="484"/>
      <c r="CU11" s="484"/>
      <c r="CV11" s="481"/>
      <c r="CW11" s="481"/>
      <c r="CX11" s="484"/>
      <c r="CY11" s="484"/>
      <c r="CZ11" s="481"/>
      <c r="DA11" s="482"/>
      <c r="DC11" t="s">
        <v>91</v>
      </c>
    </row>
    <row r="12" spans="1:115" ht="13.9" thickBot="1" x14ac:dyDescent="0.4">
      <c r="A12" s="238" t="s">
        <v>355</v>
      </c>
      <c r="B12" s="483"/>
      <c r="C12" s="480"/>
      <c r="D12" s="473"/>
      <c r="E12" s="473"/>
      <c r="F12" s="480"/>
      <c r="G12" s="480"/>
      <c r="H12" s="473"/>
      <c r="I12" s="473"/>
      <c r="J12" s="480"/>
      <c r="K12" s="480"/>
      <c r="L12" s="473"/>
      <c r="M12" s="473"/>
      <c r="N12" s="480"/>
      <c r="O12" s="480"/>
      <c r="P12" s="473"/>
      <c r="Q12" s="473"/>
      <c r="R12" s="480"/>
      <c r="S12" s="480"/>
      <c r="T12" s="473"/>
      <c r="U12" s="473"/>
      <c r="V12" s="480"/>
      <c r="W12" s="480"/>
      <c r="X12" s="473"/>
      <c r="Y12" s="473"/>
      <c r="Z12" s="480"/>
      <c r="AA12" s="480"/>
      <c r="AB12" s="473"/>
      <c r="AC12" s="473"/>
      <c r="AD12" s="480"/>
      <c r="AE12" s="480"/>
      <c r="AF12" s="473"/>
      <c r="AG12" s="473"/>
      <c r="AH12" s="480"/>
      <c r="AI12" s="480"/>
      <c r="AJ12" s="473"/>
      <c r="AK12" s="473"/>
      <c r="AL12" s="480"/>
      <c r="AM12" s="480"/>
      <c r="AN12" s="473"/>
      <c r="AO12" s="473"/>
      <c r="AP12" s="480"/>
      <c r="AQ12" s="480"/>
      <c r="AR12" s="473"/>
      <c r="AS12" s="473"/>
      <c r="AT12" s="480"/>
      <c r="AU12" s="480"/>
      <c r="AV12" s="473"/>
      <c r="AW12" s="473"/>
      <c r="AX12" s="480"/>
      <c r="AY12" s="480"/>
      <c r="AZ12" s="473"/>
      <c r="BA12" s="473"/>
      <c r="BB12" s="480"/>
      <c r="BC12" s="480"/>
      <c r="BD12" s="473"/>
      <c r="BE12" s="473"/>
      <c r="BF12" s="480"/>
      <c r="BG12" s="480"/>
      <c r="BH12" s="473"/>
      <c r="BI12" s="473"/>
      <c r="BJ12" s="480"/>
      <c r="BK12" s="480"/>
      <c r="BL12" s="473"/>
      <c r="BM12" s="473"/>
      <c r="BN12" s="480"/>
      <c r="BO12" s="480"/>
      <c r="BP12" s="473"/>
      <c r="BQ12" s="473"/>
      <c r="BR12" s="480"/>
      <c r="BS12" s="480"/>
      <c r="BT12" s="473"/>
      <c r="BU12" s="473"/>
      <c r="BV12" s="480"/>
      <c r="BW12" s="480"/>
      <c r="BX12" s="473"/>
      <c r="BY12" s="473"/>
      <c r="BZ12" s="480"/>
      <c r="CA12" s="480"/>
      <c r="CB12" s="473"/>
      <c r="CC12" s="473"/>
      <c r="CD12" s="480"/>
      <c r="CE12" s="480"/>
      <c r="CF12" s="473"/>
      <c r="CG12" s="473"/>
      <c r="CH12" s="480"/>
      <c r="CI12" s="480"/>
      <c r="CJ12" s="473"/>
      <c r="CK12" s="473"/>
      <c r="CL12" s="480"/>
      <c r="CM12" s="480"/>
      <c r="CN12" s="473"/>
      <c r="CO12" s="473"/>
      <c r="CP12" s="480"/>
      <c r="CQ12" s="480"/>
      <c r="CR12" s="473"/>
      <c r="CS12" s="473"/>
      <c r="CT12" s="486"/>
      <c r="CU12" s="483"/>
      <c r="CV12" s="473"/>
      <c r="CW12" s="473"/>
      <c r="CX12" s="480"/>
      <c r="CY12" s="480"/>
      <c r="CZ12" s="473"/>
      <c r="DA12" s="474"/>
    </row>
    <row r="13" spans="1:115" x14ac:dyDescent="0.35">
      <c r="A13" s="241" t="s">
        <v>395</v>
      </c>
      <c r="B13" s="487"/>
      <c r="C13" s="488"/>
      <c r="D13" s="481"/>
      <c r="E13" s="481"/>
      <c r="F13" s="484"/>
      <c r="G13" s="484"/>
      <c r="H13" s="481"/>
      <c r="I13" s="481"/>
      <c r="J13" s="484"/>
      <c r="K13" s="484"/>
      <c r="L13" s="481"/>
      <c r="M13" s="481"/>
      <c r="N13" s="484"/>
      <c r="O13" s="484"/>
      <c r="P13" s="481"/>
      <c r="Q13" s="481"/>
      <c r="R13" s="484"/>
      <c r="S13" s="484"/>
      <c r="T13" s="481"/>
      <c r="U13" s="481"/>
      <c r="V13" s="484"/>
      <c r="W13" s="484"/>
      <c r="X13" s="481"/>
      <c r="Y13" s="481"/>
      <c r="Z13" s="484"/>
      <c r="AA13" s="484"/>
      <c r="AB13" s="481"/>
      <c r="AC13" s="481"/>
      <c r="AD13" s="484"/>
      <c r="AE13" s="484"/>
      <c r="AF13" s="481"/>
      <c r="AG13" s="481"/>
      <c r="AH13" s="484"/>
      <c r="AI13" s="484"/>
      <c r="AJ13" s="481"/>
      <c r="AK13" s="481"/>
      <c r="AL13" s="484"/>
      <c r="AM13" s="484"/>
      <c r="AN13" s="481"/>
      <c r="AO13" s="481"/>
      <c r="AP13" s="484"/>
      <c r="AQ13" s="484"/>
      <c r="AR13" s="481"/>
      <c r="AS13" s="481"/>
      <c r="AT13" s="484"/>
      <c r="AU13" s="484"/>
      <c r="AV13" s="481"/>
      <c r="AW13" s="481"/>
      <c r="AX13" s="484"/>
      <c r="AY13" s="484"/>
      <c r="AZ13" s="481"/>
      <c r="BA13" s="481"/>
      <c r="BB13" s="484"/>
      <c r="BC13" s="484"/>
      <c r="BD13" s="481"/>
      <c r="BE13" s="481"/>
      <c r="BF13" s="484"/>
      <c r="BG13" s="484"/>
      <c r="BH13" s="481"/>
      <c r="BI13" s="481"/>
      <c r="BJ13" s="484"/>
      <c r="BK13" s="484"/>
      <c r="BL13" s="481"/>
      <c r="BM13" s="481"/>
      <c r="BN13" s="484"/>
      <c r="BO13" s="484"/>
      <c r="BP13" s="481"/>
      <c r="BQ13" s="481"/>
      <c r="BR13" s="484"/>
      <c r="BS13" s="484"/>
      <c r="BT13" s="481"/>
      <c r="BU13" s="481"/>
      <c r="BV13" s="484"/>
      <c r="BW13" s="484"/>
      <c r="BX13" s="481"/>
      <c r="BY13" s="481"/>
      <c r="BZ13" s="484"/>
      <c r="CA13" s="484"/>
      <c r="CB13" s="481"/>
      <c r="CC13" s="481"/>
      <c r="CD13" s="484"/>
      <c r="CE13" s="484"/>
      <c r="CF13" s="481"/>
      <c r="CG13" s="481"/>
      <c r="CH13" s="484"/>
      <c r="CI13" s="484"/>
      <c r="CJ13" s="481"/>
      <c r="CK13" s="481"/>
      <c r="CL13" s="484"/>
      <c r="CM13" s="484"/>
      <c r="CN13" s="481"/>
      <c r="CO13" s="481"/>
      <c r="CP13" s="484"/>
      <c r="CQ13" s="484"/>
      <c r="CR13" s="481"/>
      <c r="CS13" s="481"/>
      <c r="CT13" s="484"/>
      <c r="CU13" s="484"/>
      <c r="CV13" s="481"/>
      <c r="CW13" s="481"/>
      <c r="CX13" s="484"/>
      <c r="CY13" s="484"/>
      <c r="CZ13" s="481"/>
      <c r="DA13" s="482"/>
    </row>
    <row r="14" spans="1:115" ht="14.65" thickBot="1" x14ac:dyDescent="0.5">
      <c r="A14" s="242" t="s">
        <v>437</v>
      </c>
      <c r="B14" s="483"/>
      <c r="C14" s="480"/>
      <c r="D14" s="473"/>
      <c r="E14" s="473"/>
      <c r="F14" s="480"/>
      <c r="G14" s="480"/>
      <c r="H14" s="473"/>
      <c r="I14" s="473"/>
      <c r="J14" s="480"/>
      <c r="K14" s="480"/>
      <c r="L14" s="473"/>
      <c r="M14" s="473"/>
      <c r="N14" s="480"/>
      <c r="O14" s="480"/>
      <c r="P14" s="473"/>
      <c r="Q14" s="473"/>
      <c r="R14" s="480"/>
      <c r="S14" s="480"/>
      <c r="T14" s="473"/>
      <c r="U14" s="473"/>
      <c r="V14" s="480"/>
      <c r="W14" s="480"/>
      <c r="X14" s="473"/>
      <c r="Y14" s="473"/>
      <c r="Z14" s="480"/>
      <c r="AA14" s="480"/>
      <c r="AB14" s="473"/>
      <c r="AC14" s="473"/>
      <c r="AD14" s="480"/>
      <c r="AE14" s="480"/>
      <c r="AF14" s="473"/>
      <c r="AG14" s="473"/>
      <c r="AH14" s="480"/>
      <c r="AI14" s="480"/>
      <c r="AJ14" s="473"/>
      <c r="AK14" s="473"/>
      <c r="AL14" s="245"/>
      <c r="AM14" s="246"/>
      <c r="AN14" s="247"/>
      <c r="AO14" s="248"/>
      <c r="AP14" s="494"/>
      <c r="AQ14" s="494"/>
      <c r="AR14" s="495"/>
      <c r="AS14" s="496"/>
      <c r="AT14" s="497"/>
      <c r="AU14" s="498"/>
      <c r="AV14" s="280"/>
      <c r="AW14" s="279"/>
      <c r="AX14" s="480"/>
      <c r="AY14" s="480"/>
      <c r="AZ14" s="473"/>
      <c r="BA14" s="473"/>
      <c r="BB14" s="480"/>
      <c r="BC14" s="480"/>
      <c r="BD14" s="473"/>
      <c r="BE14" s="473"/>
      <c r="BF14" s="480"/>
      <c r="BG14" s="480"/>
      <c r="BH14" s="473"/>
      <c r="BI14" s="473"/>
      <c r="BJ14" s="480"/>
      <c r="BK14" s="480"/>
      <c r="BL14" s="473"/>
      <c r="BM14" s="473"/>
      <c r="BN14" s="480"/>
      <c r="BO14" s="480"/>
      <c r="BP14" s="473"/>
      <c r="BQ14" s="473"/>
      <c r="BR14" s="480"/>
      <c r="BS14" s="480"/>
      <c r="BT14" s="473"/>
      <c r="BU14" s="473"/>
      <c r="BV14" s="480"/>
      <c r="BW14" s="480"/>
      <c r="BX14" s="473"/>
      <c r="BY14" s="473"/>
      <c r="BZ14" s="480"/>
      <c r="CA14" s="480"/>
      <c r="CB14" s="473"/>
      <c r="CC14" s="473"/>
      <c r="CD14" s="480"/>
      <c r="CE14" s="480"/>
      <c r="CF14" s="473"/>
      <c r="CG14" s="473"/>
      <c r="CH14" s="480"/>
      <c r="CI14" s="480"/>
      <c r="CJ14" s="473"/>
      <c r="CK14" s="473"/>
      <c r="CL14" s="480"/>
      <c r="CM14" s="480"/>
      <c r="CN14" s="473"/>
      <c r="CO14" s="473"/>
      <c r="CP14" s="480"/>
      <c r="CQ14" s="480"/>
      <c r="CR14" s="473"/>
      <c r="CS14" s="473"/>
      <c r="CT14" s="486"/>
      <c r="CU14" s="483"/>
      <c r="CV14" s="473"/>
      <c r="CW14" s="473"/>
      <c r="CX14" s="480"/>
      <c r="CY14" s="480"/>
      <c r="CZ14" s="473"/>
      <c r="DA14" s="474"/>
    </row>
    <row r="15" spans="1:115" x14ac:dyDescent="0.35">
      <c r="A15" s="241" t="s">
        <v>431</v>
      </c>
      <c r="B15" s="487"/>
      <c r="C15" s="488"/>
      <c r="D15" s="481"/>
      <c r="E15" s="481"/>
      <c r="F15" s="484"/>
      <c r="G15" s="484"/>
      <c r="H15" s="481"/>
      <c r="I15" s="481"/>
      <c r="J15" s="484"/>
      <c r="K15" s="484"/>
      <c r="L15" s="481"/>
      <c r="M15" s="481"/>
      <c r="N15" s="484"/>
      <c r="O15" s="484"/>
      <c r="P15" s="481"/>
      <c r="Q15" s="481"/>
      <c r="R15" s="484"/>
      <c r="S15" s="484"/>
      <c r="T15" s="481"/>
      <c r="U15" s="481"/>
      <c r="V15" s="484"/>
      <c r="W15" s="484"/>
      <c r="X15" s="481"/>
      <c r="Y15" s="481"/>
      <c r="Z15" s="484"/>
      <c r="AA15" s="484"/>
      <c r="AB15" s="481"/>
      <c r="AC15" s="481"/>
      <c r="AD15" s="484"/>
      <c r="AE15" s="484"/>
      <c r="AF15" s="481"/>
      <c r="AG15" s="481"/>
      <c r="AH15" s="484"/>
      <c r="AI15" s="484"/>
      <c r="AJ15" s="481"/>
      <c r="AK15" s="481"/>
      <c r="AL15" s="488"/>
      <c r="AM15" s="488"/>
      <c r="AN15" s="489"/>
      <c r="AO15" s="489"/>
      <c r="AP15" s="484"/>
      <c r="AQ15" s="484"/>
      <c r="AR15" s="481"/>
      <c r="AS15" s="481"/>
      <c r="AT15" s="484"/>
      <c r="AU15" s="484"/>
      <c r="AV15" s="481"/>
      <c r="AW15" s="481"/>
      <c r="AX15" s="484"/>
      <c r="AY15" s="484"/>
      <c r="AZ15" s="481"/>
      <c r="BA15" s="481"/>
      <c r="BB15" s="484"/>
      <c r="BC15" s="484"/>
      <c r="BD15" s="481"/>
      <c r="BE15" s="481"/>
      <c r="BF15" s="484"/>
      <c r="BG15" s="484"/>
      <c r="BH15" s="481"/>
      <c r="BI15" s="481"/>
      <c r="BJ15" s="484"/>
      <c r="BK15" s="484"/>
      <c r="BL15" s="481"/>
      <c r="BM15" s="481"/>
      <c r="BN15" s="484"/>
      <c r="BO15" s="484"/>
      <c r="BP15" s="481"/>
      <c r="BQ15" s="481"/>
      <c r="BR15" s="484"/>
      <c r="BS15" s="484"/>
      <c r="BT15" s="481"/>
      <c r="BU15" s="481"/>
      <c r="BV15" s="484"/>
      <c r="BW15" s="484"/>
      <c r="BX15" s="481"/>
      <c r="BY15" s="481"/>
      <c r="BZ15" s="484"/>
      <c r="CA15" s="484"/>
      <c r="CB15" s="481"/>
      <c r="CC15" s="481"/>
      <c r="CD15" s="484"/>
      <c r="CE15" s="484"/>
      <c r="CF15" s="481"/>
      <c r="CG15" s="481"/>
      <c r="CH15" s="484"/>
      <c r="CI15" s="484"/>
      <c r="CJ15" s="481"/>
      <c r="CK15" s="481"/>
      <c r="CL15" s="484"/>
      <c r="CM15" s="484"/>
      <c r="CN15" s="481"/>
      <c r="CO15" s="481"/>
      <c r="CP15" s="484"/>
      <c r="CQ15" s="484"/>
      <c r="CR15" s="481"/>
      <c r="CS15" s="481"/>
      <c r="CT15" s="484"/>
      <c r="CU15" s="484"/>
      <c r="CV15" s="481"/>
      <c r="CW15" s="481"/>
      <c r="CX15" s="484"/>
      <c r="CY15" s="484"/>
      <c r="CZ15" s="481"/>
      <c r="DA15" s="482"/>
    </row>
    <row r="16" spans="1:115" ht="13.9" thickBot="1" x14ac:dyDescent="0.4">
      <c r="A16" s="238" t="s">
        <v>416</v>
      </c>
      <c r="B16" s="483"/>
      <c r="C16" s="480"/>
      <c r="D16" s="473"/>
      <c r="E16" s="473"/>
      <c r="F16" s="480"/>
      <c r="G16" s="480"/>
      <c r="H16" s="473"/>
      <c r="I16" s="473"/>
      <c r="J16" s="480"/>
      <c r="K16" s="480"/>
      <c r="L16" s="473"/>
      <c r="M16" s="473"/>
      <c r="N16" s="480"/>
      <c r="O16" s="480"/>
      <c r="P16" s="473"/>
      <c r="Q16" s="473"/>
      <c r="R16" s="480"/>
      <c r="S16" s="480"/>
      <c r="T16" s="473"/>
      <c r="U16" s="473"/>
      <c r="V16" s="480"/>
      <c r="W16" s="480"/>
      <c r="X16" s="473"/>
      <c r="Y16" s="473"/>
      <c r="Z16" s="480"/>
      <c r="AA16" s="480"/>
      <c r="AB16" s="473"/>
      <c r="AC16" s="473"/>
      <c r="AD16" s="480"/>
      <c r="AE16" s="480"/>
      <c r="AF16" s="473"/>
      <c r="AG16" s="473"/>
      <c r="AH16" s="480"/>
      <c r="AI16" s="480"/>
      <c r="AJ16" s="473"/>
      <c r="AK16" s="473"/>
      <c r="AL16" s="480"/>
      <c r="AM16" s="480"/>
      <c r="AN16" s="473"/>
      <c r="AO16" s="473"/>
      <c r="AP16" s="480"/>
      <c r="AQ16" s="480"/>
      <c r="AR16" s="473"/>
      <c r="AS16" s="473"/>
      <c r="AT16" s="480"/>
      <c r="AU16" s="480"/>
      <c r="AV16" s="473"/>
      <c r="AW16" s="473"/>
      <c r="AX16" s="480"/>
      <c r="AY16" s="480"/>
      <c r="AZ16" s="473"/>
      <c r="BA16" s="473"/>
      <c r="BB16" s="480"/>
      <c r="BC16" s="480"/>
      <c r="BD16" s="473"/>
      <c r="BE16" s="473"/>
      <c r="BF16" s="480"/>
      <c r="BG16" s="480"/>
      <c r="BH16" s="473"/>
      <c r="BI16" s="473"/>
      <c r="BJ16" s="480"/>
      <c r="BK16" s="480"/>
      <c r="BL16" s="473"/>
      <c r="BM16" s="473"/>
      <c r="BN16" s="480"/>
      <c r="BO16" s="480"/>
      <c r="BP16" s="473"/>
      <c r="BQ16" s="473"/>
      <c r="BR16" s="480"/>
      <c r="BS16" s="480"/>
      <c r="BT16" s="473"/>
      <c r="BU16" s="473"/>
      <c r="BV16" s="480"/>
      <c r="BW16" s="480"/>
      <c r="BX16" s="473"/>
      <c r="BY16" s="473"/>
      <c r="BZ16" s="480"/>
      <c r="CA16" s="480"/>
      <c r="CB16" s="473"/>
      <c r="CC16" s="473"/>
      <c r="CD16" s="480"/>
      <c r="CE16" s="480"/>
      <c r="CF16" s="473"/>
      <c r="CG16" s="473"/>
      <c r="CH16" s="480"/>
      <c r="CI16" s="480"/>
      <c r="CJ16" s="473"/>
      <c r="CK16" s="473"/>
      <c r="CL16" s="480"/>
      <c r="CM16" s="480"/>
      <c r="CN16" s="473"/>
      <c r="CO16" s="473"/>
      <c r="CP16" s="480"/>
      <c r="CQ16" s="480"/>
      <c r="CR16" s="473"/>
      <c r="CS16" s="473"/>
      <c r="CT16" s="486"/>
      <c r="CU16" s="483"/>
      <c r="CV16" s="473"/>
      <c r="CW16" s="473"/>
      <c r="CX16" s="480"/>
      <c r="CY16" s="480"/>
      <c r="CZ16" s="473"/>
      <c r="DA16" s="474"/>
    </row>
    <row r="17" spans="1:105" ht="14.25" x14ac:dyDescent="0.45">
      <c r="A17" s="243" t="s">
        <v>363</v>
      </c>
      <c r="B17" s="487"/>
      <c r="C17" s="488"/>
      <c r="D17" s="481"/>
      <c r="E17" s="481"/>
      <c r="F17" s="484"/>
      <c r="G17" s="484"/>
      <c r="H17" s="481"/>
      <c r="I17" s="481"/>
      <c r="J17" s="484"/>
      <c r="K17" s="484"/>
      <c r="L17" s="481"/>
      <c r="M17" s="481"/>
      <c r="N17" s="484"/>
      <c r="O17" s="484"/>
      <c r="P17" s="481"/>
      <c r="Q17" s="481"/>
      <c r="R17" s="484"/>
      <c r="S17" s="484"/>
      <c r="T17" s="481"/>
      <c r="U17" s="481"/>
      <c r="V17" s="484"/>
      <c r="W17" s="484"/>
      <c r="X17" s="481"/>
      <c r="Y17" s="481"/>
      <c r="Z17" s="484"/>
      <c r="AA17" s="484"/>
      <c r="AB17" s="481"/>
      <c r="AC17" s="481"/>
      <c r="AD17" s="484"/>
      <c r="AE17" s="484"/>
      <c r="AF17" s="481"/>
      <c r="AG17" s="481"/>
      <c r="AH17" s="484"/>
      <c r="AI17" s="484"/>
      <c r="AJ17" s="481"/>
      <c r="AK17" s="481"/>
      <c r="AL17" s="484"/>
      <c r="AM17" s="484"/>
      <c r="AN17" s="481"/>
      <c r="AO17" s="481"/>
      <c r="AP17" s="484"/>
      <c r="AQ17" s="484"/>
      <c r="AR17" s="481"/>
      <c r="AS17" s="481"/>
      <c r="AT17" s="484"/>
      <c r="AU17" s="484"/>
      <c r="AV17" s="481"/>
      <c r="AW17" s="481"/>
      <c r="AX17" s="484"/>
      <c r="AY17" s="484"/>
      <c r="AZ17" s="481"/>
      <c r="BA17" s="481"/>
      <c r="BB17" s="484"/>
      <c r="BC17" s="484"/>
      <c r="BD17" s="481"/>
      <c r="BE17" s="481"/>
      <c r="BF17" s="484"/>
      <c r="BG17" s="484"/>
      <c r="BH17" s="481"/>
      <c r="BI17" s="481"/>
      <c r="BJ17" s="484"/>
      <c r="BK17" s="484"/>
      <c r="BL17" s="481"/>
      <c r="BM17" s="481"/>
      <c r="BN17" s="484"/>
      <c r="BO17" s="484"/>
      <c r="BP17" s="481"/>
      <c r="BQ17" s="481"/>
      <c r="BR17" s="484"/>
      <c r="BS17" s="484"/>
      <c r="BT17" s="481"/>
      <c r="BU17" s="481"/>
      <c r="BV17" s="484"/>
      <c r="BW17" s="484"/>
      <c r="BX17" s="481"/>
      <c r="BY17" s="481"/>
      <c r="BZ17" s="484"/>
      <c r="CA17" s="484"/>
      <c r="CB17" s="481"/>
      <c r="CC17" s="481"/>
      <c r="CD17" s="484"/>
      <c r="CE17" s="484"/>
      <c r="CF17" s="481"/>
      <c r="CG17" s="481"/>
      <c r="CH17" s="484"/>
      <c r="CI17" s="484"/>
      <c r="CJ17" s="481"/>
      <c r="CK17" s="481"/>
      <c r="CL17" s="484"/>
      <c r="CM17" s="484"/>
      <c r="CN17" s="481"/>
      <c r="CO17" s="481"/>
      <c r="CP17" s="484"/>
      <c r="CQ17" s="484"/>
      <c r="CR17" s="481"/>
      <c r="CS17" s="481"/>
      <c r="CT17" s="484"/>
      <c r="CU17" s="484"/>
      <c r="CV17" s="481"/>
      <c r="CW17" s="481"/>
      <c r="CX17" s="484"/>
      <c r="CY17" s="484"/>
      <c r="CZ17" s="481"/>
      <c r="DA17" s="482"/>
    </row>
    <row r="18" spans="1:105" ht="14.65" thickBot="1" x14ac:dyDescent="0.5">
      <c r="A18" s="242" t="s">
        <v>444</v>
      </c>
      <c r="B18" s="483"/>
      <c r="C18" s="480"/>
      <c r="D18" s="473"/>
      <c r="E18" s="473"/>
      <c r="F18" s="480"/>
      <c r="G18" s="480"/>
      <c r="H18" s="473"/>
      <c r="I18" s="473"/>
      <c r="J18" s="480"/>
      <c r="K18" s="480"/>
      <c r="L18" s="473"/>
      <c r="M18" s="473"/>
      <c r="N18" s="480"/>
      <c r="O18" s="480"/>
      <c r="P18" s="473"/>
      <c r="Q18" s="473"/>
      <c r="R18" s="480"/>
      <c r="S18" s="480"/>
      <c r="T18" s="473"/>
      <c r="U18" s="473"/>
      <c r="V18" s="480"/>
      <c r="W18" s="480"/>
      <c r="X18" s="473"/>
      <c r="Y18" s="473"/>
      <c r="Z18" s="480"/>
      <c r="AA18" s="480"/>
      <c r="AB18" s="473"/>
      <c r="AC18" s="473"/>
      <c r="AD18" s="480"/>
      <c r="AE18" s="480"/>
      <c r="AF18" s="473"/>
      <c r="AG18" s="473"/>
      <c r="AH18" s="480"/>
      <c r="AI18" s="480"/>
      <c r="AJ18" s="473"/>
      <c r="AK18" s="473"/>
      <c r="AL18" s="480"/>
      <c r="AM18" s="480"/>
      <c r="AN18" s="249"/>
      <c r="AO18" s="246"/>
      <c r="AP18" s="491"/>
      <c r="AQ18" s="491"/>
      <c r="AR18" s="491"/>
      <c r="AS18" s="491"/>
      <c r="AT18" s="492"/>
      <c r="AU18" s="492"/>
      <c r="AV18" s="493"/>
      <c r="AW18" s="493"/>
      <c r="AX18" s="493"/>
      <c r="AY18" s="493"/>
      <c r="AZ18" s="473"/>
      <c r="BA18" s="473"/>
      <c r="BB18" s="480"/>
      <c r="BC18" s="480"/>
      <c r="BD18" s="473"/>
      <c r="BE18" s="473"/>
      <c r="BF18" s="480"/>
      <c r="BG18" s="480"/>
      <c r="BH18" s="473"/>
      <c r="BI18" s="473"/>
      <c r="BJ18" s="480"/>
      <c r="BK18" s="480"/>
      <c r="BL18" s="473"/>
      <c r="BM18" s="473"/>
      <c r="BN18" s="480"/>
      <c r="BO18" s="480"/>
      <c r="BP18" s="473"/>
      <c r="BQ18" s="473"/>
      <c r="BR18" s="490"/>
      <c r="BS18" s="490"/>
      <c r="BT18" s="473"/>
      <c r="BU18" s="473"/>
      <c r="BV18" s="480"/>
      <c r="BW18" s="480"/>
      <c r="BX18" s="473"/>
      <c r="BY18" s="473"/>
      <c r="BZ18" s="480"/>
      <c r="CA18" s="480"/>
      <c r="CB18" s="473"/>
      <c r="CC18" s="473"/>
      <c r="CD18" s="480"/>
      <c r="CE18" s="480"/>
      <c r="CF18" s="473"/>
      <c r="CG18" s="473"/>
      <c r="CH18" s="480"/>
      <c r="CI18" s="480"/>
      <c r="CJ18" s="473"/>
      <c r="CK18" s="473"/>
      <c r="CL18" s="480"/>
      <c r="CM18" s="480"/>
      <c r="CN18" s="473"/>
      <c r="CO18" s="473"/>
      <c r="CP18" s="480"/>
      <c r="CQ18" s="480"/>
      <c r="CR18" s="473"/>
      <c r="CS18" s="473"/>
      <c r="CT18" s="486"/>
      <c r="CU18" s="483"/>
      <c r="CV18" s="473"/>
      <c r="CW18" s="473"/>
      <c r="CX18" s="480"/>
      <c r="CY18" s="480"/>
      <c r="CZ18" s="473"/>
      <c r="DA18" s="474"/>
    </row>
    <row r="19" spans="1:105" x14ac:dyDescent="0.35">
      <c r="A19" s="241" t="s">
        <v>429</v>
      </c>
      <c r="B19" s="487"/>
      <c r="C19" s="488"/>
      <c r="D19" s="481"/>
      <c r="E19" s="481"/>
      <c r="F19" s="484"/>
      <c r="G19" s="484"/>
      <c r="H19" s="481"/>
      <c r="I19" s="481"/>
      <c r="J19" s="484"/>
      <c r="K19" s="484"/>
      <c r="L19" s="481"/>
      <c r="M19" s="481"/>
      <c r="N19" s="484"/>
      <c r="O19" s="484"/>
      <c r="P19" s="481"/>
      <c r="Q19" s="481"/>
      <c r="R19" s="484"/>
      <c r="S19" s="484"/>
      <c r="T19" s="481"/>
      <c r="U19" s="481"/>
      <c r="V19" s="484"/>
      <c r="W19" s="484"/>
      <c r="X19" s="481"/>
      <c r="Y19" s="481"/>
      <c r="Z19" s="484"/>
      <c r="AA19" s="484"/>
      <c r="AB19" s="481"/>
      <c r="AC19" s="481"/>
      <c r="AD19" s="484"/>
      <c r="AE19" s="484"/>
      <c r="AF19" s="481"/>
      <c r="AG19" s="481"/>
      <c r="AH19" s="484"/>
      <c r="AI19" s="484"/>
      <c r="AJ19" s="481"/>
      <c r="AK19" s="481"/>
      <c r="AL19" s="488"/>
      <c r="AM19" s="488"/>
      <c r="AN19" s="489"/>
      <c r="AO19" s="489"/>
      <c r="AP19" s="488"/>
      <c r="AQ19" s="488"/>
      <c r="AR19" s="489"/>
      <c r="AS19" s="489"/>
      <c r="AT19" s="488"/>
      <c r="AU19" s="488"/>
      <c r="AV19" s="489"/>
      <c r="AW19" s="489"/>
      <c r="AX19" s="488"/>
      <c r="AY19" s="488"/>
      <c r="AZ19" s="489"/>
      <c r="BA19" s="489"/>
      <c r="BB19" s="488"/>
      <c r="BC19" s="488"/>
      <c r="BD19" s="489"/>
      <c r="BE19" s="489"/>
      <c r="BF19" s="488"/>
      <c r="BG19" s="488"/>
      <c r="BH19" s="489"/>
      <c r="BI19" s="489"/>
      <c r="BJ19" s="488"/>
      <c r="BK19" s="488"/>
      <c r="BL19" s="489"/>
      <c r="BM19" s="489"/>
      <c r="BN19" s="488"/>
      <c r="BO19" s="488"/>
      <c r="BP19" s="489"/>
      <c r="BQ19" s="489"/>
      <c r="BR19" s="488"/>
      <c r="BS19" s="488"/>
      <c r="BT19" s="489"/>
      <c r="BU19" s="489"/>
      <c r="BV19" s="488"/>
      <c r="BW19" s="488"/>
      <c r="BX19" s="481"/>
      <c r="BY19" s="481"/>
      <c r="BZ19" s="484"/>
      <c r="CA19" s="484"/>
      <c r="CB19" s="481"/>
      <c r="CC19" s="481"/>
      <c r="CD19" s="484"/>
      <c r="CE19" s="484"/>
      <c r="CF19" s="481"/>
      <c r="CG19" s="481"/>
      <c r="CH19" s="484"/>
      <c r="CI19" s="484"/>
      <c r="CJ19" s="481"/>
      <c r="CK19" s="481"/>
      <c r="CL19" s="484"/>
      <c r="CM19" s="484"/>
      <c r="CN19" s="481"/>
      <c r="CO19" s="481"/>
      <c r="CP19" s="484"/>
      <c r="CQ19" s="484"/>
      <c r="CR19" s="481"/>
      <c r="CS19" s="481"/>
      <c r="CT19" s="484"/>
      <c r="CU19" s="484"/>
      <c r="CV19" s="481"/>
      <c r="CW19" s="481"/>
      <c r="CX19" s="484"/>
      <c r="CY19" s="484"/>
      <c r="CZ19" s="481"/>
      <c r="DA19" s="482"/>
    </row>
    <row r="20" spans="1:105" ht="13.9" thickBot="1" x14ac:dyDescent="0.4">
      <c r="A20" s="238" t="s">
        <v>508</v>
      </c>
      <c r="B20" s="483"/>
      <c r="C20" s="480"/>
      <c r="D20" s="473"/>
      <c r="E20" s="473"/>
      <c r="F20" s="480"/>
      <c r="G20" s="480"/>
      <c r="H20" s="473"/>
      <c r="I20" s="473"/>
      <c r="J20" s="480"/>
      <c r="K20" s="480"/>
      <c r="L20" s="473"/>
      <c r="M20" s="473"/>
      <c r="N20" s="480"/>
      <c r="O20" s="480"/>
      <c r="P20" s="473"/>
      <c r="Q20" s="473"/>
      <c r="R20" s="480"/>
      <c r="S20" s="480"/>
      <c r="T20" s="473"/>
      <c r="U20" s="473"/>
      <c r="V20" s="480"/>
      <c r="W20" s="480"/>
      <c r="X20" s="473"/>
      <c r="Y20" s="473"/>
      <c r="Z20" s="480"/>
      <c r="AA20" s="480"/>
      <c r="AB20" s="473"/>
      <c r="AC20" s="473"/>
      <c r="AD20" s="480"/>
      <c r="AE20" s="480"/>
      <c r="AF20" s="473"/>
      <c r="AG20" s="473"/>
      <c r="AH20" s="480"/>
      <c r="AI20" s="480"/>
      <c r="AJ20" s="473"/>
      <c r="AK20" s="473"/>
      <c r="AL20" s="480"/>
      <c r="AM20" s="480"/>
      <c r="AN20" s="473"/>
      <c r="AO20" s="473"/>
      <c r="AP20" s="480"/>
      <c r="AQ20" s="480"/>
      <c r="AR20" s="473"/>
      <c r="AS20" s="473"/>
      <c r="AT20" s="480"/>
      <c r="AU20" s="480"/>
      <c r="AV20" s="473"/>
      <c r="AW20" s="473"/>
      <c r="AX20" s="480"/>
      <c r="AY20" s="480"/>
      <c r="AZ20" s="473"/>
      <c r="BA20" s="473"/>
      <c r="BB20" s="480"/>
      <c r="BC20" s="480"/>
      <c r="BD20" s="473"/>
      <c r="BE20" s="473"/>
      <c r="BF20" s="480"/>
      <c r="BG20" s="480"/>
      <c r="BH20" s="473"/>
      <c r="BI20" s="473"/>
      <c r="BJ20" s="480"/>
      <c r="BK20" s="480"/>
      <c r="BL20" s="473"/>
      <c r="BM20" s="473"/>
      <c r="BN20" s="480"/>
      <c r="BO20" s="480"/>
      <c r="BP20" s="473"/>
      <c r="BQ20" s="473"/>
      <c r="BR20" s="480"/>
      <c r="BS20" s="480"/>
      <c r="BT20" s="473"/>
      <c r="BU20" s="473"/>
      <c r="BV20" s="480"/>
      <c r="BW20" s="480"/>
      <c r="BX20" s="473"/>
      <c r="BY20" s="473"/>
      <c r="BZ20" s="480"/>
      <c r="CA20" s="480"/>
      <c r="CB20" s="473"/>
      <c r="CC20" s="473"/>
      <c r="CD20" s="480"/>
      <c r="CE20" s="480"/>
      <c r="CF20" s="473"/>
      <c r="CG20" s="473"/>
      <c r="CH20" s="480"/>
      <c r="CI20" s="480"/>
      <c r="CJ20" s="473"/>
      <c r="CK20" s="473"/>
      <c r="CL20" s="480"/>
      <c r="CM20" s="480"/>
      <c r="CN20" s="473"/>
      <c r="CO20" s="473"/>
      <c r="CP20" s="480"/>
      <c r="CQ20" s="480"/>
      <c r="CR20" s="473"/>
      <c r="CS20" s="473"/>
      <c r="CT20" s="486"/>
      <c r="CU20" s="483"/>
      <c r="CV20" s="473"/>
      <c r="CW20" s="473"/>
      <c r="CX20" s="480"/>
      <c r="CY20" s="480"/>
      <c r="CZ20" s="473"/>
      <c r="DA20" s="474"/>
    </row>
    <row r="21" spans="1:105" x14ac:dyDescent="0.35">
      <c r="A21" s="241" t="s">
        <v>221</v>
      </c>
      <c r="B21" s="487"/>
      <c r="C21" s="488"/>
      <c r="D21" s="481"/>
      <c r="E21" s="481"/>
      <c r="F21" s="484"/>
      <c r="G21" s="484"/>
      <c r="H21" s="481"/>
      <c r="I21" s="481"/>
      <c r="J21" s="484"/>
      <c r="K21" s="484"/>
      <c r="L21" s="481"/>
      <c r="M21" s="481"/>
      <c r="N21" s="484"/>
      <c r="O21" s="484"/>
      <c r="P21" s="481"/>
      <c r="Q21" s="481"/>
      <c r="R21" s="484"/>
      <c r="S21" s="484"/>
      <c r="T21" s="481"/>
      <c r="U21" s="481"/>
      <c r="V21" s="484"/>
      <c r="W21" s="484"/>
      <c r="X21" s="481"/>
      <c r="Y21" s="481"/>
      <c r="Z21" s="484"/>
      <c r="AA21" s="484"/>
      <c r="AB21" s="481"/>
      <c r="AC21" s="481"/>
      <c r="AD21" s="484"/>
      <c r="AE21" s="484"/>
      <c r="AF21" s="481"/>
      <c r="AG21" s="481"/>
      <c r="AH21" s="484"/>
      <c r="AI21" s="484"/>
      <c r="AJ21" s="481"/>
      <c r="AK21" s="481"/>
      <c r="AL21" s="484"/>
      <c r="AM21" s="484"/>
      <c r="AN21" s="481"/>
      <c r="AO21" s="481"/>
      <c r="AP21" s="484"/>
      <c r="AQ21" s="484"/>
      <c r="AR21" s="481"/>
      <c r="AS21" s="481"/>
      <c r="AT21" s="484"/>
      <c r="AU21" s="484"/>
      <c r="AV21" s="481"/>
      <c r="AW21" s="481"/>
      <c r="AX21" s="484"/>
      <c r="AY21" s="484"/>
      <c r="AZ21" s="481"/>
      <c r="BA21" s="481"/>
      <c r="BB21" s="484"/>
      <c r="BC21" s="484"/>
      <c r="BD21" s="481"/>
      <c r="BE21" s="481"/>
      <c r="BF21" s="484"/>
      <c r="BG21" s="484"/>
      <c r="BH21" s="481"/>
      <c r="BI21" s="481"/>
      <c r="BJ21" s="484"/>
      <c r="BK21" s="484"/>
      <c r="BL21" s="481"/>
      <c r="BM21" s="481"/>
      <c r="BN21" s="484"/>
      <c r="BO21" s="484"/>
      <c r="BP21" s="481"/>
      <c r="BQ21" s="481"/>
      <c r="BR21" s="484"/>
      <c r="BS21" s="484"/>
      <c r="BT21" s="481"/>
      <c r="BU21" s="481"/>
      <c r="BV21" s="484"/>
      <c r="BW21" s="484"/>
      <c r="BX21" s="481"/>
      <c r="BY21" s="481"/>
      <c r="BZ21" s="484"/>
      <c r="CA21" s="484"/>
      <c r="CB21" s="481"/>
      <c r="CC21" s="481"/>
      <c r="CD21" s="484"/>
      <c r="CE21" s="484"/>
      <c r="CF21" s="481"/>
      <c r="CG21" s="481"/>
      <c r="CH21" s="484"/>
      <c r="CI21" s="484"/>
      <c r="CJ21" s="481"/>
      <c r="CK21" s="481"/>
      <c r="CL21" s="484"/>
      <c r="CM21" s="484"/>
      <c r="CN21" s="481"/>
      <c r="CO21" s="481"/>
      <c r="CP21" s="484"/>
      <c r="CQ21" s="484"/>
      <c r="CR21" s="481"/>
      <c r="CS21" s="481"/>
      <c r="CT21" s="484"/>
      <c r="CU21" s="484"/>
      <c r="CV21" s="481"/>
      <c r="CW21" s="481"/>
      <c r="CX21" s="484"/>
      <c r="CY21" s="484"/>
      <c r="CZ21" s="481"/>
      <c r="DA21" s="482"/>
    </row>
    <row r="22" spans="1:105" ht="14.65" thickBot="1" x14ac:dyDescent="0.5">
      <c r="A22" s="242" t="s">
        <v>468</v>
      </c>
      <c r="B22" s="483"/>
      <c r="C22" s="480"/>
      <c r="D22" s="473"/>
      <c r="E22" s="473"/>
      <c r="F22" s="480"/>
      <c r="G22" s="480"/>
      <c r="H22" s="473"/>
      <c r="I22" s="473"/>
      <c r="J22" s="480"/>
      <c r="K22" s="480"/>
      <c r="L22" s="473"/>
      <c r="M22" s="473"/>
      <c r="N22" s="480"/>
      <c r="O22" s="480"/>
      <c r="P22" s="473"/>
      <c r="Q22" s="473"/>
      <c r="R22" s="480"/>
      <c r="S22" s="480"/>
      <c r="T22" s="473"/>
      <c r="U22" s="473"/>
      <c r="V22" s="480"/>
      <c r="W22" s="480"/>
      <c r="X22" s="473"/>
      <c r="Y22" s="473"/>
      <c r="Z22" s="480"/>
      <c r="AA22" s="480"/>
      <c r="AB22" s="473"/>
      <c r="AC22" s="473"/>
      <c r="AD22" s="480"/>
      <c r="AE22" s="480"/>
      <c r="AF22" s="473"/>
      <c r="AG22" s="473"/>
      <c r="AH22" s="480"/>
      <c r="AI22" s="480"/>
      <c r="AJ22" s="473"/>
      <c r="AK22" s="473"/>
      <c r="AL22" s="480"/>
      <c r="AM22" s="480"/>
      <c r="AN22" s="473"/>
      <c r="AO22" s="473"/>
      <c r="AP22" s="480"/>
      <c r="AQ22" s="480"/>
      <c r="AR22" s="473"/>
      <c r="AS22" s="473"/>
      <c r="AT22" s="480"/>
      <c r="AU22" s="480"/>
      <c r="AV22" s="473"/>
      <c r="AW22" s="473"/>
      <c r="AX22" s="480"/>
      <c r="AY22" s="480"/>
      <c r="AZ22" s="473"/>
      <c r="BA22" s="473"/>
      <c r="BB22" s="480"/>
      <c r="BC22" s="480"/>
      <c r="BD22" s="473"/>
      <c r="BE22" s="473"/>
      <c r="BF22" s="480"/>
      <c r="BG22" s="480"/>
      <c r="BH22" s="473"/>
      <c r="BI22" s="473"/>
      <c r="BJ22" s="480"/>
      <c r="BK22" s="480"/>
      <c r="BL22" s="473"/>
      <c r="BM22" s="473"/>
      <c r="BN22" s="480"/>
      <c r="BO22" s="480"/>
      <c r="BP22" s="473"/>
      <c r="BQ22" s="473"/>
      <c r="BR22" s="480"/>
      <c r="BS22" s="480"/>
      <c r="BT22" s="473"/>
      <c r="BU22" s="473"/>
      <c r="BV22" s="480"/>
      <c r="BW22" s="480"/>
      <c r="BX22" s="473"/>
      <c r="BY22" s="473"/>
      <c r="BZ22" s="480"/>
      <c r="CA22" s="480"/>
      <c r="CB22" s="473"/>
      <c r="CC22" s="473"/>
      <c r="CD22" s="480"/>
      <c r="CE22" s="480"/>
      <c r="CF22" s="473"/>
      <c r="CG22" s="473"/>
      <c r="CH22" s="480"/>
      <c r="CI22" s="480"/>
      <c r="CJ22" s="473"/>
      <c r="CK22" s="473"/>
      <c r="CL22" s="480"/>
      <c r="CM22" s="480"/>
      <c r="CN22" s="473"/>
      <c r="CO22" s="473"/>
      <c r="CP22" s="480"/>
      <c r="CQ22" s="480"/>
      <c r="CR22" s="473"/>
      <c r="CS22" s="473"/>
      <c r="CT22" s="486"/>
      <c r="CU22" s="483"/>
      <c r="CV22" s="473"/>
      <c r="CW22" s="473"/>
      <c r="CX22" s="480"/>
      <c r="CY22" s="480"/>
      <c r="CZ22" s="473"/>
      <c r="DA22" s="474"/>
    </row>
    <row r="23" spans="1:105" x14ac:dyDescent="0.35">
      <c r="A23" s="241" t="s">
        <v>441</v>
      </c>
      <c r="B23" s="487"/>
      <c r="C23" s="488"/>
      <c r="D23" s="481"/>
      <c r="E23" s="481"/>
      <c r="F23" s="484"/>
      <c r="G23" s="484"/>
      <c r="H23" s="481"/>
      <c r="I23" s="481"/>
      <c r="J23" s="484"/>
      <c r="K23" s="484"/>
      <c r="L23" s="481"/>
      <c r="M23" s="481"/>
      <c r="N23" s="484"/>
      <c r="O23" s="484"/>
      <c r="P23" s="481"/>
      <c r="Q23" s="481"/>
      <c r="R23" s="484"/>
      <c r="S23" s="484"/>
      <c r="T23" s="481"/>
      <c r="U23" s="481"/>
      <c r="V23" s="484"/>
      <c r="W23" s="484"/>
      <c r="X23" s="481"/>
      <c r="Y23" s="481"/>
      <c r="Z23" s="484"/>
      <c r="AA23" s="484"/>
      <c r="AB23" s="481"/>
      <c r="AC23" s="481"/>
      <c r="AD23" s="484"/>
      <c r="AE23" s="484"/>
      <c r="AF23" s="481"/>
      <c r="AG23" s="481"/>
      <c r="AH23" s="484"/>
      <c r="AI23" s="484"/>
      <c r="AJ23" s="481"/>
      <c r="AK23" s="481"/>
      <c r="AL23" s="484"/>
      <c r="AM23" s="484"/>
      <c r="AN23" s="481"/>
      <c r="AO23" s="481"/>
      <c r="AP23" s="484"/>
      <c r="AQ23" s="484"/>
      <c r="AR23" s="481"/>
      <c r="AS23" s="481"/>
      <c r="AT23" s="484"/>
      <c r="AU23" s="484"/>
      <c r="AV23" s="481"/>
      <c r="AW23" s="481"/>
      <c r="AX23" s="484"/>
      <c r="AY23" s="484"/>
      <c r="AZ23" s="481"/>
      <c r="BA23" s="481"/>
      <c r="BB23" s="484"/>
      <c r="BC23" s="484"/>
      <c r="BD23" s="481"/>
      <c r="BE23" s="481"/>
      <c r="BF23" s="484"/>
      <c r="BG23" s="484"/>
      <c r="BH23" s="481"/>
      <c r="BI23" s="481"/>
      <c r="BJ23" s="484"/>
      <c r="BK23" s="484"/>
      <c r="BL23" s="481"/>
      <c r="BM23" s="481"/>
      <c r="BN23" s="484"/>
      <c r="BO23" s="484"/>
      <c r="BP23" s="481"/>
      <c r="BQ23" s="481"/>
      <c r="BR23" s="484"/>
      <c r="BS23" s="484"/>
      <c r="BT23" s="481"/>
      <c r="BU23" s="481"/>
      <c r="BV23" s="484"/>
      <c r="BW23" s="484"/>
      <c r="BX23" s="481"/>
      <c r="BY23" s="481"/>
      <c r="BZ23" s="484"/>
      <c r="CA23" s="484"/>
      <c r="CB23" s="481"/>
      <c r="CC23" s="481"/>
      <c r="CD23" s="484"/>
      <c r="CE23" s="484"/>
      <c r="CF23" s="481"/>
      <c r="CG23" s="481"/>
      <c r="CH23" s="484"/>
      <c r="CI23" s="484"/>
      <c r="CJ23" s="481"/>
      <c r="CK23" s="481"/>
      <c r="CL23" s="484"/>
      <c r="CM23" s="484"/>
      <c r="CN23" s="481"/>
      <c r="CO23" s="481"/>
      <c r="CP23" s="484"/>
      <c r="CQ23" s="484"/>
      <c r="CR23" s="481"/>
      <c r="CS23" s="481"/>
      <c r="CT23" s="484"/>
      <c r="CU23" s="484"/>
      <c r="CV23" s="481"/>
      <c r="CW23" s="481"/>
      <c r="CX23" s="484"/>
      <c r="CY23" s="484"/>
      <c r="CZ23" s="481"/>
      <c r="DA23" s="482"/>
    </row>
    <row r="24" spans="1:105" ht="13.9" thickBot="1" x14ac:dyDescent="0.4">
      <c r="A24" s="238" t="s">
        <v>509</v>
      </c>
      <c r="B24" s="483"/>
      <c r="C24" s="480"/>
      <c r="D24" s="473"/>
      <c r="E24" s="473"/>
      <c r="F24" s="480"/>
      <c r="G24" s="480"/>
      <c r="H24" s="473"/>
      <c r="I24" s="473"/>
      <c r="J24" s="480"/>
      <c r="K24" s="480"/>
      <c r="L24" s="473"/>
      <c r="M24" s="473"/>
      <c r="N24" s="480"/>
      <c r="O24" s="480"/>
      <c r="P24" s="473"/>
      <c r="Q24" s="473"/>
      <c r="R24" s="480"/>
      <c r="S24" s="480"/>
      <c r="T24" s="473"/>
      <c r="U24" s="473"/>
      <c r="V24" s="480"/>
      <c r="W24" s="480"/>
      <c r="X24" s="473"/>
      <c r="Y24" s="473"/>
      <c r="Z24" s="480"/>
      <c r="AA24" s="480"/>
      <c r="AB24" s="473"/>
      <c r="AC24" s="473"/>
      <c r="AD24" s="480"/>
      <c r="AE24" s="480"/>
      <c r="AF24" s="473"/>
      <c r="AG24" s="473"/>
      <c r="AH24" s="480"/>
      <c r="AI24" s="480"/>
      <c r="AJ24" s="473"/>
      <c r="AK24" s="473"/>
      <c r="AL24" s="480"/>
      <c r="AM24" s="480"/>
      <c r="AN24" s="473"/>
      <c r="AO24" s="473"/>
      <c r="AP24" s="480"/>
      <c r="AQ24" s="480"/>
      <c r="AR24" s="473"/>
      <c r="AS24" s="473"/>
      <c r="AT24" s="480"/>
      <c r="AU24" s="480"/>
      <c r="AV24" s="473"/>
      <c r="AW24" s="473"/>
      <c r="AX24" s="480"/>
      <c r="AY24" s="480"/>
      <c r="AZ24" s="473"/>
      <c r="BA24" s="473"/>
      <c r="BB24" s="480"/>
      <c r="BC24" s="480"/>
      <c r="BD24" s="473"/>
      <c r="BE24" s="473"/>
      <c r="BF24" s="480"/>
      <c r="BG24" s="480"/>
      <c r="BH24" s="473"/>
      <c r="BI24" s="473"/>
      <c r="BJ24" s="480"/>
      <c r="BK24" s="480"/>
      <c r="BL24" s="473"/>
      <c r="BM24" s="473"/>
      <c r="BN24" s="480"/>
      <c r="BO24" s="480"/>
      <c r="BP24" s="473"/>
      <c r="BQ24" s="473"/>
      <c r="BR24" s="480"/>
      <c r="BS24" s="480"/>
      <c r="BT24" s="473"/>
      <c r="BU24" s="473"/>
      <c r="BV24" s="480"/>
      <c r="BW24" s="480"/>
      <c r="BX24" s="473"/>
      <c r="BY24" s="473"/>
      <c r="BZ24" s="480"/>
      <c r="CA24" s="480"/>
      <c r="CB24" s="473"/>
      <c r="CC24" s="473"/>
      <c r="CD24" s="480"/>
      <c r="CE24" s="480"/>
      <c r="CF24" s="473"/>
      <c r="CG24" s="473"/>
      <c r="CH24" s="480"/>
      <c r="CI24" s="480"/>
      <c r="CJ24" s="473"/>
      <c r="CK24" s="473"/>
      <c r="CL24" s="480"/>
      <c r="CM24" s="480"/>
      <c r="CN24" s="473"/>
      <c r="CO24" s="473"/>
      <c r="CP24" s="480"/>
      <c r="CQ24" s="480"/>
      <c r="CR24" s="473"/>
      <c r="CS24" s="473"/>
      <c r="CT24" s="486"/>
      <c r="CU24" s="483"/>
      <c r="CV24" s="473"/>
      <c r="CW24" s="473"/>
      <c r="CX24" s="480"/>
      <c r="CY24" s="480"/>
      <c r="CZ24" s="473"/>
      <c r="DA24" s="474"/>
    </row>
    <row r="25" spans="1:105" x14ac:dyDescent="0.35">
      <c r="A25" s="241" t="s">
        <v>510</v>
      </c>
      <c r="B25" s="487"/>
      <c r="C25" s="488"/>
      <c r="D25" s="481"/>
      <c r="E25" s="481"/>
      <c r="F25" s="484"/>
      <c r="G25" s="484"/>
      <c r="H25" s="481"/>
      <c r="I25" s="481"/>
      <c r="J25" s="484"/>
      <c r="K25" s="484"/>
      <c r="L25" s="481"/>
      <c r="M25" s="481"/>
      <c r="N25" s="484"/>
      <c r="O25" s="484"/>
      <c r="P25" s="481"/>
      <c r="Q25" s="481"/>
      <c r="R25" s="484"/>
      <c r="S25" s="484"/>
      <c r="T25" s="481"/>
      <c r="U25" s="481"/>
      <c r="V25" s="484"/>
      <c r="W25" s="484"/>
      <c r="X25" s="481"/>
      <c r="Y25" s="481"/>
      <c r="Z25" s="484"/>
      <c r="AA25" s="484"/>
      <c r="AB25" s="481"/>
      <c r="AC25" s="481"/>
      <c r="AD25" s="484"/>
      <c r="AE25" s="484"/>
      <c r="AF25" s="481"/>
      <c r="AG25" s="481"/>
      <c r="AH25" s="484"/>
      <c r="AI25" s="484"/>
      <c r="AJ25" s="481"/>
      <c r="AK25" s="481"/>
      <c r="AL25" s="484"/>
      <c r="AM25" s="484"/>
      <c r="AN25" s="481"/>
      <c r="AO25" s="481"/>
      <c r="AP25" s="484"/>
      <c r="AQ25" s="484"/>
      <c r="AR25" s="481"/>
      <c r="AS25" s="481"/>
      <c r="AT25" s="484"/>
      <c r="AU25" s="484"/>
      <c r="AV25" s="481"/>
      <c r="AW25" s="481"/>
      <c r="AX25" s="484"/>
      <c r="AY25" s="484"/>
      <c r="AZ25" s="481"/>
      <c r="BA25" s="481"/>
      <c r="BB25" s="484"/>
      <c r="BC25" s="484"/>
      <c r="BD25" s="481"/>
      <c r="BE25" s="481"/>
      <c r="BF25" s="484"/>
      <c r="BG25" s="484"/>
      <c r="BH25" s="481"/>
      <c r="BI25" s="481"/>
      <c r="BJ25" s="484"/>
      <c r="BK25" s="484"/>
      <c r="BL25" s="481"/>
      <c r="BM25" s="481"/>
      <c r="BN25" s="484"/>
      <c r="BO25" s="484"/>
      <c r="BP25" s="481"/>
      <c r="BQ25" s="481"/>
      <c r="BR25" s="484"/>
      <c r="BS25" s="484"/>
      <c r="BT25" s="481"/>
      <c r="BU25" s="481"/>
      <c r="BV25" s="484"/>
      <c r="BW25" s="484"/>
      <c r="BX25" s="481"/>
      <c r="BY25" s="481"/>
      <c r="BZ25" s="484"/>
      <c r="CA25" s="484"/>
      <c r="CB25" s="481"/>
      <c r="CC25" s="481"/>
      <c r="CD25" s="484"/>
      <c r="CE25" s="484"/>
      <c r="CF25" s="481"/>
      <c r="CG25" s="481"/>
      <c r="CH25" s="484"/>
      <c r="CI25" s="484"/>
      <c r="CJ25" s="481"/>
      <c r="CK25" s="481"/>
      <c r="CL25" s="484"/>
      <c r="CM25" s="484"/>
      <c r="CN25" s="481"/>
      <c r="CO25" s="481"/>
      <c r="CP25" s="484"/>
      <c r="CQ25" s="484"/>
      <c r="CR25" s="481"/>
      <c r="CS25" s="481"/>
      <c r="CT25" s="484"/>
      <c r="CU25" s="484"/>
      <c r="CV25" s="481"/>
      <c r="CW25" s="481"/>
      <c r="CX25" s="484"/>
      <c r="CY25" s="484"/>
      <c r="CZ25" s="481"/>
      <c r="DA25" s="482"/>
    </row>
    <row r="26" spans="1:105" ht="13.9" thickBot="1" x14ac:dyDescent="0.4">
      <c r="A26" s="238"/>
      <c r="B26" s="483"/>
      <c r="C26" s="480"/>
      <c r="D26" s="473"/>
      <c r="E26" s="473"/>
      <c r="F26" s="480"/>
      <c r="G26" s="480"/>
      <c r="H26" s="473"/>
      <c r="I26" s="473"/>
      <c r="J26" s="480"/>
      <c r="K26" s="480"/>
      <c r="L26" s="473"/>
      <c r="M26" s="473"/>
      <c r="N26" s="480"/>
      <c r="O26" s="480"/>
      <c r="P26" s="473"/>
      <c r="Q26" s="473"/>
      <c r="R26" s="480"/>
      <c r="S26" s="480"/>
      <c r="T26" s="473"/>
      <c r="U26" s="473"/>
      <c r="V26" s="480"/>
      <c r="W26" s="480"/>
      <c r="X26" s="473"/>
      <c r="Y26" s="473"/>
      <c r="Z26" s="480"/>
      <c r="AA26" s="480"/>
      <c r="AB26" s="473"/>
      <c r="AC26" s="473"/>
      <c r="AD26" s="480"/>
      <c r="AE26" s="480"/>
      <c r="AF26" s="473"/>
      <c r="AG26" s="473"/>
      <c r="AH26" s="480"/>
      <c r="AI26" s="480"/>
      <c r="AJ26" s="473"/>
      <c r="AK26" s="473"/>
      <c r="AL26" s="480"/>
      <c r="AM26" s="480"/>
      <c r="AN26" s="473"/>
      <c r="AO26" s="473"/>
      <c r="AP26" s="480"/>
      <c r="AQ26" s="480"/>
      <c r="AR26" s="473"/>
      <c r="AS26" s="473"/>
      <c r="AT26" s="480"/>
      <c r="AU26" s="480"/>
      <c r="AV26" s="473"/>
      <c r="AW26" s="473"/>
      <c r="AX26" s="480"/>
      <c r="AY26" s="480"/>
      <c r="AZ26" s="473"/>
      <c r="BA26" s="473"/>
      <c r="BB26" s="480"/>
      <c r="BC26" s="480"/>
      <c r="BD26" s="473"/>
      <c r="BE26" s="473"/>
      <c r="BF26" s="480"/>
      <c r="BG26" s="480"/>
      <c r="BH26" s="473"/>
      <c r="BI26" s="473"/>
      <c r="BJ26" s="480"/>
      <c r="BK26" s="480"/>
      <c r="BL26" s="473"/>
      <c r="BM26" s="473"/>
      <c r="BN26" s="480"/>
      <c r="BO26" s="480"/>
      <c r="BP26" s="473"/>
      <c r="BQ26" s="473"/>
      <c r="BR26" s="480"/>
      <c r="BS26" s="480"/>
      <c r="BT26" s="473"/>
      <c r="BU26" s="473"/>
      <c r="BV26" s="480"/>
      <c r="BW26" s="480"/>
      <c r="BX26" s="473"/>
      <c r="BY26" s="473"/>
      <c r="BZ26" s="480"/>
      <c r="CA26" s="480"/>
      <c r="CB26" s="473"/>
      <c r="CC26" s="473"/>
      <c r="CD26" s="480"/>
      <c r="CE26" s="480"/>
      <c r="CF26" s="473"/>
      <c r="CG26" s="473"/>
      <c r="CH26" s="480"/>
      <c r="CI26" s="480"/>
      <c r="CJ26" s="473"/>
      <c r="CK26" s="473"/>
      <c r="CL26" s="480"/>
      <c r="CM26" s="480"/>
      <c r="CN26" s="473"/>
      <c r="CO26" s="473"/>
      <c r="CP26" s="480"/>
      <c r="CQ26" s="480"/>
      <c r="CR26" s="473"/>
      <c r="CS26" s="473"/>
      <c r="CT26" s="486"/>
      <c r="CU26" s="483"/>
      <c r="CV26" s="473"/>
      <c r="CW26" s="473"/>
      <c r="CX26" s="480"/>
      <c r="CY26" s="480"/>
      <c r="CZ26" s="473"/>
      <c r="DA26" s="474"/>
    </row>
    <row r="27" spans="1:105" x14ac:dyDescent="0.35">
      <c r="A27" s="241"/>
      <c r="B27" s="487"/>
      <c r="C27" s="488"/>
      <c r="D27" s="481"/>
      <c r="E27" s="481"/>
      <c r="F27" s="484"/>
      <c r="G27" s="484"/>
      <c r="H27" s="481"/>
      <c r="I27" s="481"/>
      <c r="J27" s="484"/>
      <c r="K27" s="484"/>
      <c r="L27" s="481"/>
      <c r="M27" s="481"/>
      <c r="N27" s="484"/>
      <c r="O27" s="484"/>
      <c r="P27" s="481"/>
      <c r="Q27" s="481"/>
      <c r="R27" s="484"/>
      <c r="S27" s="484"/>
      <c r="T27" s="481"/>
      <c r="U27" s="481"/>
      <c r="V27" s="484"/>
      <c r="W27" s="484"/>
      <c r="X27" s="481"/>
      <c r="Y27" s="481"/>
      <c r="Z27" s="484"/>
      <c r="AA27" s="484"/>
      <c r="AB27" s="481"/>
      <c r="AC27" s="481"/>
      <c r="AD27" s="484"/>
      <c r="AE27" s="484"/>
      <c r="AF27" s="481"/>
      <c r="AG27" s="481"/>
      <c r="AH27" s="484"/>
      <c r="AI27" s="484"/>
      <c r="AJ27" s="481"/>
      <c r="AK27" s="481"/>
      <c r="AL27" s="484"/>
      <c r="AM27" s="484"/>
      <c r="AN27" s="481"/>
      <c r="AO27" s="481"/>
      <c r="AP27" s="484"/>
      <c r="AQ27" s="484"/>
      <c r="AR27" s="481"/>
      <c r="AS27" s="481"/>
      <c r="AT27" s="484"/>
      <c r="AU27" s="484"/>
      <c r="AV27" s="481"/>
      <c r="AW27" s="481"/>
      <c r="AX27" s="484"/>
      <c r="AY27" s="484"/>
      <c r="AZ27" s="481"/>
      <c r="BA27" s="481"/>
      <c r="BB27" s="484"/>
      <c r="BC27" s="484"/>
      <c r="BD27" s="481"/>
      <c r="BE27" s="481"/>
      <c r="BF27" s="484"/>
      <c r="BG27" s="484"/>
      <c r="BH27" s="481"/>
      <c r="BI27" s="481"/>
      <c r="BJ27" s="484"/>
      <c r="BK27" s="484"/>
      <c r="BL27" s="481"/>
      <c r="BM27" s="481"/>
      <c r="BN27" s="484"/>
      <c r="BO27" s="484"/>
      <c r="BP27" s="481"/>
      <c r="BQ27" s="481"/>
      <c r="BR27" s="484"/>
      <c r="BS27" s="484"/>
      <c r="BT27" s="481"/>
      <c r="BU27" s="481"/>
      <c r="BV27" s="484"/>
      <c r="BW27" s="484"/>
      <c r="BX27" s="481"/>
      <c r="BY27" s="481"/>
      <c r="BZ27" s="484"/>
      <c r="CA27" s="484"/>
      <c r="CB27" s="481"/>
      <c r="CC27" s="481"/>
      <c r="CD27" s="484"/>
      <c r="CE27" s="484"/>
      <c r="CF27" s="481"/>
      <c r="CG27" s="481"/>
      <c r="CH27" s="484"/>
      <c r="CI27" s="484"/>
      <c r="CJ27" s="481"/>
      <c r="CK27" s="481"/>
      <c r="CL27" s="484"/>
      <c r="CM27" s="484"/>
      <c r="CN27" s="481"/>
      <c r="CO27" s="481"/>
      <c r="CP27" s="484"/>
      <c r="CQ27" s="484"/>
      <c r="CR27" s="481"/>
      <c r="CS27" s="481"/>
      <c r="CT27" s="484"/>
      <c r="CU27" s="484"/>
      <c r="CV27" s="481"/>
      <c r="CW27" s="481"/>
      <c r="CX27" s="484"/>
      <c r="CY27" s="484"/>
      <c r="CZ27" s="481"/>
      <c r="DA27" s="482"/>
    </row>
    <row r="28" spans="1:105" ht="13.9" thickBot="1" x14ac:dyDescent="0.4">
      <c r="A28" s="238"/>
      <c r="B28" s="483"/>
      <c r="C28" s="480"/>
      <c r="D28" s="473"/>
      <c r="E28" s="473"/>
      <c r="F28" s="480"/>
      <c r="G28" s="480"/>
      <c r="H28" s="473"/>
      <c r="I28" s="473"/>
      <c r="J28" s="480"/>
      <c r="K28" s="480"/>
      <c r="L28" s="473"/>
      <c r="M28" s="473"/>
      <c r="N28" s="480"/>
      <c r="O28" s="480"/>
      <c r="P28" s="473"/>
      <c r="Q28" s="473"/>
      <c r="R28" s="480"/>
      <c r="S28" s="480"/>
      <c r="T28" s="473"/>
      <c r="U28" s="473"/>
      <c r="V28" s="480"/>
      <c r="W28" s="480"/>
      <c r="X28" s="473"/>
      <c r="Y28" s="473"/>
      <c r="Z28" s="480"/>
      <c r="AA28" s="480"/>
      <c r="AB28" s="473"/>
      <c r="AC28" s="473"/>
      <c r="AD28" s="480"/>
      <c r="AE28" s="480"/>
      <c r="AF28" s="473"/>
      <c r="AG28" s="473"/>
      <c r="AH28" s="480"/>
      <c r="AI28" s="480"/>
      <c r="AJ28" s="473"/>
      <c r="AK28" s="473"/>
      <c r="AL28" s="480"/>
      <c r="AM28" s="480"/>
      <c r="AN28" s="473"/>
      <c r="AO28" s="473"/>
      <c r="AP28" s="480"/>
      <c r="AQ28" s="480"/>
      <c r="AR28" s="473"/>
      <c r="AS28" s="473"/>
      <c r="AT28" s="480"/>
      <c r="AU28" s="480"/>
      <c r="AV28" s="473"/>
      <c r="AW28" s="473"/>
      <c r="AX28" s="480"/>
      <c r="AY28" s="480"/>
      <c r="AZ28" s="473"/>
      <c r="BA28" s="473"/>
      <c r="BB28" s="480"/>
      <c r="BC28" s="480"/>
      <c r="BD28" s="473"/>
      <c r="BE28" s="473"/>
      <c r="BF28" s="480"/>
      <c r="BG28" s="480"/>
      <c r="BH28" s="473"/>
      <c r="BI28" s="473"/>
      <c r="BJ28" s="480"/>
      <c r="BK28" s="480"/>
      <c r="BL28" s="473"/>
      <c r="BM28" s="473"/>
      <c r="BN28" s="480"/>
      <c r="BO28" s="480"/>
      <c r="BP28" s="473"/>
      <c r="BQ28" s="473"/>
      <c r="BR28" s="480"/>
      <c r="BS28" s="480"/>
      <c r="BT28" s="473"/>
      <c r="BU28" s="473"/>
      <c r="BV28" s="480"/>
      <c r="BW28" s="480"/>
      <c r="BX28" s="473"/>
      <c r="BY28" s="473"/>
      <c r="BZ28" s="480"/>
      <c r="CA28" s="480"/>
      <c r="CB28" s="473"/>
      <c r="CC28" s="473"/>
      <c r="CD28" s="480"/>
      <c r="CE28" s="480"/>
      <c r="CF28" s="473"/>
      <c r="CG28" s="473"/>
      <c r="CH28" s="480"/>
      <c r="CI28" s="480"/>
      <c r="CJ28" s="473"/>
      <c r="CK28" s="473"/>
      <c r="CL28" s="480"/>
      <c r="CM28" s="480"/>
      <c r="CN28" s="473"/>
      <c r="CO28" s="473"/>
      <c r="CP28" s="480"/>
      <c r="CQ28" s="480"/>
      <c r="CR28" s="473"/>
      <c r="CS28" s="473"/>
      <c r="CT28" s="486"/>
      <c r="CU28" s="483"/>
      <c r="CV28" s="473"/>
      <c r="CW28" s="473"/>
      <c r="CX28" s="480"/>
      <c r="CY28" s="480"/>
      <c r="CZ28" s="473"/>
      <c r="DA28" s="474"/>
    </row>
    <row r="29" spans="1:105" x14ac:dyDescent="0.35">
      <c r="A29" s="241"/>
      <c r="B29" s="487"/>
      <c r="C29" s="488"/>
      <c r="D29" s="481"/>
      <c r="E29" s="481"/>
      <c r="F29" s="484"/>
      <c r="G29" s="484"/>
      <c r="H29" s="481"/>
      <c r="I29" s="481"/>
      <c r="J29" s="484"/>
      <c r="K29" s="484"/>
      <c r="L29" s="481"/>
      <c r="M29" s="481"/>
      <c r="N29" s="484"/>
      <c r="O29" s="484"/>
      <c r="P29" s="481"/>
      <c r="Q29" s="481"/>
      <c r="R29" s="484"/>
      <c r="S29" s="484"/>
      <c r="T29" s="481"/>
      <c r="U29" s="481"/>
      <c r="V29" s="484"/>
      <c r="W29" s="484"/>
      <c r="X29" s="481"/>
      <c r="Y29" s="481"/>
      <c r="Z29" s="484"/>
      <c r="AA29" s="484"/>
      <c r="AB29" s="481"/>
      <c r="AC29" s="481"/>
      <c r="AD29" s="484"/>
      <c r="AE29" s="484"/>
      <c r="AF29" s="481"/>
      <c r="AG29" s="481"/>
      <c r="AH29" s="484"/>
      <c r="AI29" s="484"/>
      <c r="AJ29" s="481"/>
      <c r="AK29" s="481"/>
      <c r="AL29" s="484"/>
      <c r="AM29" s="484"/>
      <c r="AN29" s="481"/>
      <c r="AO29" s="481"/>
      <c r="AP29" s="484"/>
      <c r="AQ29" s="484"/>
      <c r="AR29" s="481"/>
      <c r="AS29" s="481"/>
      <c r="AT29" s="484"/>
      <c r="AU29" s="484"/>
      <c r="AV29" s="481"/>
      <c r="AW29" s="481"/>
      <c r="AX29" s="484"/>
      <c r="AY29" s="484"/>
      <c r="AZ29" s="481"/>
      <c r="BA29" s="481"/>
      <c r="BB29" s="484"/>
      <c r="BC29" s="484"/>
      <c r="BD29" s="481"/>
      <c r="BE29" s="481"/>
      <c r="BF29" s="484"/>
      <c r="BG29" s="484"/>
      <c r="BH29" s="481"/>
      <c r="BI29" s="481"/>
      <c r="BJ29" s="484"/>
      <c r="BK29" s="484"/>
      <c r="BL29" s="481"/>
      <c r="BM29" s="481"/>
      <c r="BN29" s="484"/>
      <c r="BO29" s="484"/>
      <c r="BP29" s="481"/>
      <c r="BQ29" s="481"/>
      <c r="BR29" s="484"/>
      <c r="BS29" s="484"/>
      <c r="BT29" s="481"/>
      <c r="BU29" s="481"/>
      <c r="BV29" s="484"/>
      <c r="BW29" s="484"/>
      <c r="BX29" s="481"/>
      <c r="BY29" s="481"/>
      <c r="BZ29" s="484"/>
      <c r="CA29" s="484"/>
      <c r="CB29" s="481"/>
      <c r="CC29" s="481"/>
      <c r="CD29" s="484"/>
      <c r="CE29" s="484"/>
      <c r="CF29" s="481"/>
      <c r="CG29" s="481"/>
      <c r="CH29" s="484"/>
      <c r="CI29" s="484"/>
      <c r="CJ29" s="481"/>
      <c r="CK29" s="481"/>
      <c r="CL29" s="484"/>
      <c r="CM29" s="484"/>
      <c r="CN29" s="481"/>
      <c r="CO29" s="481"/>
      <c r="CP29" s="484"/>
      <c r="CQ29" s="484"/>
      <c r="CR29" s="481"/>
      <c r="CS29" s="481"/>
      <c r="CT29" s="484"/>
      <c r="CU29" s="484"/>
      <c r="CV29" s="481"/>
      <c r="CW29" s="481"/>
      <c r="CX29" s="484"/>
      <c r="CY29" s="484"/>
      <c r="CZ29" s="481"/>
      <c r="DA29" s="482"/>
    </row>
    <row r="30" spans="1:105" ht="13.9" thickBot="1" x14ac:dyDescent="0.4">
      <c r="A30" s="238"/>
      <c r="B30" s="483"/>
      <c r="C30" s="480"/>
      <c r="D30" s="473"/>
      <c r="E30" s="473"/>
      <c r="F30" s="480"/>
      <c r="G30" s="480"/>
      <c r="H30" s="473"/>
      <c r="I30" s="473"/>
      <c r="J30" s="480"/>
      <c r="K30" s="480"/>
      <c r="L30" s="473"/>
      <c r="M30" s="473"/>
      <c r="N30" s="480"/>
      <c r="O30" s="480"/>
      <c r="P30" s="473"/>
      <c r="Q30" s="473"/>
      <c r="R30" s="480"/>
      <c r="S30" s="480"/>
      <c r="T30" s="473"/>
      <c r="U30" s="473"/>
      <c r="V30" s="480"/>
      <c r="W30" s="480"/>
      <c r="X30" s="473"/>
      <c r="Y30" s="473"/>
      <c r="Z30" s="480"/>
      <c r="AA30" s="480"/>
      <c r="AB30" s="473"/>
      <c r="AC30" s="473"/>
      <c r="AD30" s="480"/>
      <c r="AE30" s="480"/>
      <c r="AF30" s="473"/>
      <c r="AG30" s="473"/>
      <c r="AH30" s="480"/>
      <c r="AI30" s="480"/>
      <c r="AJ30" s="473"/>
      <c r="AK30" s="473"/>
      <c r="AL30" s="480"/>
      <c r="AM30" s="480"/>
      <c r="AN30" s="473"/>
      <c r="AO30" s="473"/>
      <c r="AP30" s="480"/>
      <c r="AQ30" s="480"/>
      <c r="AR30" s="473"/>
      <c r="AS30" s="473"/>
      <c r="AT30" s="480"/>
      <c r="AU30" s="480"/>
      <c r="AV30" s="473"/>
      <c r="AW30" s="473"/>
      <c r="AX30" s="480"/>
      <c r="AY30" s="480"/>
      <c r="AZ30" s="473"/>
      <c r="BA30" s="473"/>
      <c r="BB30" s="480"/>
      <c r="BC30" s="480"/>
      <c r="BD30" s="473"/>
      <c r="BE30" s="473"/>
      <c r="BF30" s="480"/>
      <c r="BG30" s="480"/>
      <c r="BH30" s="473"/>
      <c r="BI30" s="473"/>
      <c r="BJ30" s="480"/>
      <c r="BK30" s="480"/>
      <c r="BL30" s="473"/>
      <c r="BM30" s="473"/>
      <c r="BN30" s="480"/>
      <c r="BO30" s="480"/>
      <c r="BP30" s="473"/>
      <c r="BQ30" s="473"/>
      <c r="BR30" s="480"/>
      <c r="BS30" s="480"/>
      <c r="BT30" s="473"/>
      <c r="BU30" s="473"/>
      <c r="BV30" s="480"/>
      <c r="BW30" s="480"/>
      <c r="BX30" s="473"/>
      <c r="BY30" s="473"/>
      <c r="BZ30" s="480"/>
      <c r="CA30" s="480"/>
      <c r="CB30" s="473"/>
      <c r="CC30" s="473"/>
      <c r="CD30" s="480"/>
      <c r="CE30" s="480"/>
      <c r="CF30" s="473"/>
      <c r="CG30" s="473"/>
      <c r="CH30" s="480"/>
      <c r="CI30" s="480"/>
      <c r="CJ30" s="473"/>
      <c r="CK30" s="473"/>
      <c r="CL30" s="480"/>
      <c r="CM30" s="480"/>
      <c r="CN30" s="473"/>
      <c r="CO30" s="473"/>
      <c r="CP30" s="480"/>
      <c r="CQ30" s="480"/>
      <c r="CR30" s="473"/>
      <c r="CS30" s="473"/>
      <c r="CT30" s="486"/>
      <c r="CU30" s="483"/>
      <c r="CV30" s="473"/>
      <c r="CW30" s="473"/>
      <c r="CX30" s="480"/>
      <c r="CY30" s="480"/>
      <c r="CZ30" s="473"/>
      <c r="DA30" s="474"/>
    </row>
    <row r="31" spans="1:105" x14ac:dyDescent="0.35">
      <c r="A31" s="241"/>
      <c r="B31" s="487"/>
      <c r="C31" s="488"/>
      <c r="D31" s="481"/>
      <c r="E31" s="481"/>
      <c r="F31" s="484"/>
      <c r="G31" s="484"/>
      <c r="H31" s="481"/>
      <c r="I31" s="481"/>
      <c r="J31" s="484"/>
      <c r="K31" s="484"/>
      <c r="L31" s="481"/>
      <c r="M31" s="481"/>
      <c r="N31" s="484"/>
      <c r="O31" s="484"/>
      <c r="P31" s="481"/>
      <c r="Q31" s="481"/>
      <c r="R31" s="484"/>
      <c r="S31" s="484"/>
      <c r="T31" s="481"/>
      <c r="U31" s="481"/>
      <c r="V31" s="484"/>
      <c r="W31" s="484"/>
      <c r="X31" s="481"/>
      <c r="Y31" s="481"/>
      <c r="Z31" s="484"/>
      <c r="AA31" s="484"/>
      <c r="AB31" s="481"/>
      <c r="AC31" s="481"/>
      <c r="AD31" s="484"/>
      <c r="AE31" s="484"/>
      <c r="AF31" s="481"/>
      <c r="AG31" s="481"/>
      <c r="AH31" s="484"/>
      <c r="AI31" s="484"/>
      <c r="AJ31" s="481"/>
      <c r="AK31" s="481"/>
      <c r="AL31" s="484"/>
      <c r="AM31" s="484"/>
      <c r="AN31" s="481"/>
      <c r="AO31" s="481"/>
      <c r="AP31" s="484"/>
      <c r="AQ31" s="484"/>
      <c r="AR31" s="481"/>
      <c r="AS31" s="481"/>
      <c r="AT31" s="484"/>
      <c r="AU31" s="484"/>
      <c r="AV31" s="481"/>
      <c r="AW31" s="481"/>
      <c r="AX31" s="484"/>
      <c r="AY31" s="484"/>
      <c r="AZ31" s="481"/>
      <c r="BA31" s="481"/>
      <c r="BB31" s="484"/>
      <c r="BC31" s="484"/>
      <c r="BD31" s="481"/>
      <c r="BE31" s="481"/>
      <c r="BF31" s="484"/>
      <c r="BG31" s="484"/>
      <c r="BH31" s="481"/>
      <c r="BI31" s="481"/>
      <c r="BJ31" s="484"/>
      <c r="BK31" s="484"/>
      <c r="BL31" s="481"/>
      <c r="BM31" s="481"/>
      <c r="BN31" s="484"/>
      <c r="BO31" s="484"/>
      <c r="BP31" s="481"/>
      <c r="BQ31" s="481"/>
      <c r="BR31" s="484"/>
      <c r="BS31" s="484"/>
      <c r="BT31" s="481"/>
      <c r="BU31" s="481"/>
      <c r="BV31" s="484"/>
      <c r="BW31" s="484"/>
      <c r="BX31" s="481"/>
      <c r="BY31" s="481"/>
      <c r="BZ31" s="484"/>
      <c r="CA31" s="484"/>
      <c r="CB31" s="481"/>
      <c r="CC31" s="481"/>
      <c r="CD31" s="484"/>
      <c r="CE31" s="484"/>
      <c r="CF31" s="481"/>
      <c r="CG31" s="481"/>
      <c r="CH31" s="484"/>
      <c r="CI31" s="484"/>
      <c r="CJ31" s="481"/>
      <c r="CK31" s="481"/>
      <c r="CL31" s="484"/>
      <c r="CM31" s="484"/>
      <c r="CN31" s="481"/>
      <c r="CO31" s="481"/>
      <c r="CP31" s="484"/>
      <c r="CQ31" s="484"/>
      <c r="CR31" s="481"/>
      <c r="CS31" s="481"/>
      <c r="CT31" s="484"/>
      <c r="CU31" s="484"/>
      <c r="CV31" s="481"/>
      <c r="CW31" s="481"/>
      <c r="CX31" s="484"/>
      <c r="CY31" s="484"/>
      <c r="CZ31" s="481"/>
      <c r="DA31" s="482"/>
    </row>
    <row r="32" spans="1:105" ht="13.9" thickBot="1" x14ac:dyDescent="0.4">
      <c r="A32" s="238"/>
      <c r="B32" s="483"/>
      <c r="C32" s="480"/>
      <c r="D32" s="473"/>
      <c r="E32" s="473"/>
      <c r="F32" s="480"/>
      <c r="G32" s="480"/>
      <c r="H32" s="473"/>
      <c r="I32" s="473"/>
      <c r="J32" s="480"/>
      <c r="K32" s="480"/>
      <c r="L32" s="473"/>
      <c r="M32" s="473"/>
      <c r="N32" s="480"/>
      <c r="O32" s="480"/>
      <c r="P32" s="473"/>
      <c r="Q32" s="473"/>
      <c r="R32" s="480"/>
      <c r="S32" s="480"/>
      <c r="T32" s="473"/>
      <c r="U32" s="473"/>
      <c r="V32" s="480"/>
      <c r="W32" s="480"/>
      <c r="X32" s="473"/>
      <c r="Y32" s="473"/>
      <c r="Z32" s="480"/>
      <c r="AA32" s="480"/>
      <c r="AB32" s="473"/>
      <c r="AC32" s="473"/>
      <c r="AD32" s="480"/>
      <c r="AE32" s="480"/>
      <c r="AF32" s="473"/>
      <c r="AG32" s="473"/>
      <c r="AH32" s="480"/>
      <c r="AI32" s="480"/>
      <c r="AJ32" s="473"/>
      <c r="AK32" s="473"/>
      <c r="AL32" s="480"/>
      <c r="AM32" s="480"/>
      <c r="AN32" s="473"/>
      <c r="AO32" s="473"/>
      <c r="AP32" s="480"/>
      <c r="AQ32" s="480"/>
      <c r="AR32" s="473"/>
      <c r="AS32" s="473"/>
      <c r="AT32" s="480"/>
      <c r="AU32" s="480"/>
      <c r="AV32" s="473"/>
      <c r="AW32" s="473"/>
      <c r="AX32" s="480"/>
      <c r="AY32" s="480"/>
      <c r="AZ32" s="473"/>
      <c r="BA32" s="473"/>
      <c r="BB32" s="480"/>
      <c r="BC32" s="480"/>
      <c r="BD32" s="473"/>
      <c r="BE32" s="473"/>
      <c r="BF32" s="480"/>
      <c r="BG32" s="480"/>
      <c r="BH32" s="473"/>
      <c r="BI32" s="473"/>
      <c r="BJ32" s="480"/>
      <c r="BK32" s="480"/>
      <c r="BL32" s="473"/>
      <c r="BM32" s="473"/>
      <c r="BN32" s="480"/>
      <c r="BO32" s="480"/>
      <c r="BP32" s="473"/>
      <c r="BQ32" s="473"/>
      <c r="BR32" s="480"/>
      <c r="BS32" s="480"/>
      <c r="BT32" s="473"/>
      <c r="BU32" s="473"/>
      <c r="BV32" s="480"/>
      <c r="BW32" s="480"/>
      <c r="BX32" s="473"/>
      <c r="BY32" s="473"/>
      <c r="BZ32" s="480"/>
      <c r="CA32" s="480"/>
      <c r="CB32" s="473"/>
      <c r="CC32" s="473"/>
      <c r="CD32" s="480"/>
      <c r="CE32" s="480"/>
      <c r="CF32" s="473"/>
      <c r="CG32" s="473"/>
      <c r="CH32" s="480"/>
      <c r="CI32" s="480"/>
      <c r="CJ32" s="473"/>
      <c r="CK32" s="473"/>
      <c r="CL32" s="480"/>
      <c r="CM32" s="480"/>
      <c r="CN32" s="473"/>
      <c r="CO32" s="473"/>
      <c r="CP32" s="480"/>
      <c r="CQ32" s="480"/>
      <c r="CR32" s="473"/>
      <c r="CS32" s="473"/>
      <c r="CT32" s="486"/>
      <c r="CU32" s="483"/>
      <c r="CV32" s="473"/>
      <c r="CW32" s="473"/>
      <c r="CX32" s="480"/>
      <c r="CY32" s="480"/>
      <c r="CZ32" s="473"/>
      <c r="DA32" s="474"/>
    </row>
    <row r="33" spans="1:105" x14ac:dyDescent="0.35">
      <c r="A33" s="241"/>
      <c r="B33" s="487"/>
      <c r="C33" s="488"/>
      <c r="D33" s="481"/>
      <c r="E33" s="481"/>
      <c r="F33" s="484"/>
      <c r="G33" s="484"/>
      <c r="H33" s="481"/>
      <c r="I33" s="481"/>
      <c r="J33" s="484"/>
      <c r="K33" s="484"/>
      <c r="L33" s="481"/>
      <c r="M33" s="481"/>
      <c r="N33" s="484"/>
      <c r="O33" s="484"/>
      <c r="P33" s="481"/>
      <c r="Q33" s="481"/>
      <c r="R33" s="484"/>
      <c r="S33" s="484"/>
      <c r="T33" s="481"/>
      <c r="U33" s="481"/>
      <c r="V33" s="484"/>
      <c r="W33" s="484"/>
      <c r="X33" s="481"/>
      <c r="Y33" s="481"/>
      <c r="Z33" s="484"/>
      <c r="AA33" s="484"/>
      <c r="AB33" s="481"/>
      <c r="AC33" s="481"/>
      <c r="AD33" s="484"/>
      <c r="AE33" s="484"/>
      <c r="AF33" s="481"/>
      <c r="AG33" s="481"/>
      <c r="AH33" s="484"/>
      <c r="AI33" s="484"/>
      <c r="AJ33" s="481"/>
      <c r="AK33" s="481"/>
      <c r="AL33" s="484"/>
      <c r="AM33" s="484"/>
      <c r="AN33" s="481"/>
      <c r="AO33" s="481"/>
      <c r="AP33" s="484"/>
      <c r="AQ33" s="484"/>
      <c r="AR33" s="481"/>
      <c r="AS33" s="481"/>
      <c r="AT33" s="484"/>
      <c r="AU33" s="484"/>
      <c r="AV33" s="481"/>
      <c r="AW33" s="481"/>
      <c r="AX33" s="484"/>
      <c r="AY33" s="484"/>
      <c r="AZ33" s="481"/>
      <c r="BA33" s="481"/>
      <c r="BB33" s="484"/>
      <c r="BC33" s="484"/>
      <c r="BD33" s="481"/>
      <c r="BE33" s="481"/>
      <c r="BF33" s="484"/>
      <c r="BG33" s="484"/>
      <c r="BH33" s="481"/>
      <c r="BI33" s="481"/>
      <c r="BJ33" s="484"/>
      <c r="BK33" s="484"/>
      <c r="BL33" s="481"/>
      <c r="BM33" s="481"/>
      <c r="BN33" s="484"/>
      <c r="BO33" s="484"/>
      <c r="BP33" s="481"/>
      <c r="BQ33" s="481"/>
      <c r="BR33" s="484"/>
      <c r="BS33" s="484"/>
      <c r="BT33" s="481"/>
      <c r="BU33" s="481"/>
      <c r="BV33" s="484"/>
      <c r="BW33" s="484"/>
      <c r="BX33" s="481"/>
      <c r="BY33" s="481"/>
      <c r="BZ33" s="484"/>
      <c r="CA33" s="484"/>
      <c r="CB33" s="481"/>
      <c r="CC33" s="481"/>
      <c r="CD33" s="484"/>
      <c r="CE33" s="484"/>
      <c r="CF33" s="481"/>
      <c r="CG33" s="481"/>
      <c r="CH33" s="484"/>
      <c r="CI33" s="484"/>
      <c r="CJ33" s="481"/>
      <c r="CK33" s="481"/>
      <c r="CL33" s="484"/>
      <c r="CM33" s="484"/>
      <c r="CN33" s="481"/>
      <c r="CO33" s="481"/>
      <c r="CP33" s="484"/>
      <c r="CQ33" s="484"/>
      <c r="CR33" s="481"/>
      <c r="CS33" s="481"/>
      <c r="CT33" s="484"/>
      <c r="CU33" s="484"/>
      <c r="CV33" s="481"/>
      <c r="CW33" s="481"/>
      <c r="CX33" s="484"/>
      <c r="CY33" s="484"/>
      <c r="CZ33" s="481"/>
      <c r="DA33" s="482"/>
    </row>
    <row r="34" spans="1:105" ht="13.9" thickBot="1" x14ac:dyDescent="0.4">
      <c r="A34" s="238"/>
      <c r="B34" s="483"/>
      <c r="C34" s="480"/>
      <c r="D34" s="473"/>
      <c r="E34" s="473"/>
      <c r="F34" s="480"/>
      <c r="G34" s="480"/>
      <c r="H34" s="473"/>
      <c r="I34" s="473"/>
      <c r="J34" s="480"/>
      <c r="K34" s="480"/>
      <c r="L34" s="473"/>
      <c r="M34" s="473"/>
      <c r="N34" s="480"/>
      <c r="O34" s="480"/>
      <c r="P34" s="473"/>
      <c r="Q34" s="473"/>
      <c r="R34" s="480"/>
      <c r="S34" s="480"/>
      <c r="T34" s="473"/>
      <c r="U34" s="473"/>
      <c r="V34" s="480"/>
      <c r="W34" s="480"/>
      <c r="X34" s="473"/>
      <c r="Y34" s="473"/>
      <c r="Z34" s="480"/>
      <c r="AA34" s="480"/>
      <c r="AB34" s="473"/>
      <c r="AC34" s="473"/>
      <c r="AD34" s="480"/>
      <c r="AE34" s="480"/>
      <c r="AF34" s="473"/>
      <c r="AG34" s="473"/>
      <c r="AH34" s="480"/>
      <c r="AI34" s="480"/>
      <c r="AJ34" s="473"/>
      <c r="AK34" s="473"/>
      <c r="AL34" s="480"/>
      <c r="AM34" s="480"/>
      <c r="AN34" s="473"/>
      <c r="AO34" s="473"/>
      <c r="AP34" s="480"/>
      <c r="AQ34" s="480"/>
      <c r="AR34" s="473"/>
      <c r="AS34" s="473"/>
      <c r="AT34" s="480"/>
      <c r="AU34" s="480"/>
      <c r="AV34" s="473"/>
      <c r="AW34" s="473"/>
      <c r="AX34" s="480"/>
      <c r="AY34" s="480"/>
      <c r="AZ34" s="473"/>
      <c r="BA34" s="473"/>
      <c r="BB34" s="480"/>
      <c r="BC34" s="480"/>
      <c r="BD34" s="473"/>
      <c r="BE34" s="473"/>
      <c r="BF34" s="480"/>
      <c r="BG34" s="480"/>
      <c r="BH34" s="473"/>
      <c r="BI34" s="473"/>
      <c r="BJ34" s="480"/>
      <c r="BK34" s="480"/>
      <c r="BL34" s="473"/>
      <c r="BM34" s="473"/>
      <c r="BN34" s="480"/>
      <c r="BO34" s="480"/>
      <c r="BP34" s="473"/>
      <c r="BQ34" s="473"/>
      <c r="BR34" s="480"/>
      <c r="BS34" s="480"/>
      <c r="BT34" s="473"/>
      <c r="BU34" s="473"/>
      <c r="BV34" s="480"/>
      <c r="BW34" s="480"/>
      <c r="BX34" s="473"/>
      <c r="BY34" s="473"/>
      <c r="BZ34" s="480"/>
      <c r="CA34" s="480"/>
      <c r="CB34" s="473"/>
      <c r="CC34" s="473"/>
      <c r="CD34" s="480"/>
      <c r="CE34" s="480"/>
      <c r="CF34" s="473"/>
      <c r="CG34" s="473"/>
      <c r="CH34" s="480"/>
      <c r="CI34" s="480"/>
      <c r="CJ34" s="473"/>
      <c r="CK34" s="473"/>
      <c r="CL34" s="480"/>
      <c r="CM34" s="480"/>
      <c r="CN34" s="473"/>
      <c r="CO34" s="473"/>
      <c r="CP34" s="480"/>
      <c r="CQ34" s="480"/>
      <c r="CR34" s="473"/>
      <c r="CS34" s="473"/>
      <c r="CT34" s="486"/>
      <c r="CU34" s="483"/>
      <c r="CV34" s="473"/>
      <c r="CW34" s="473"/>
      <c r="CX34" s="480"/>
      <c r="CY34" s="480"/>
      <c r="CZ34" s="473"/>
      <c r="DA34" s="474"/>
    </row>
    <row r="35" spans="1:105" ht="14.25" x14ac:dyDescent="0.2">
      <c r="A35" s="241"/>
      <c r="B35" s="487"/>
      <c r="C35" s="488"/>
      <c r="D35" s="481"/>
      <c r="E35" s="481"/>
      <c r="F35" s="484"/>
      <c r="G35" s="484"/>
      <c r="H35" s="481"/>
      <c r="I35" s="481"/>
      <c r="J35" s="484"/>
      <c r="K35" s="484"/>
      <c r="L35" s="481"/>
      <c r="M35" s="481"/>
      <c r="N35" s="484"/>
      <c r="O35" s="484"/>
      <c r="P35" s="481"/>
      <c r="Q35" s="481"/>
      <c r="R35" s="484"/>
      <c r="S35" s="484"/>
      <c r="T35" s="481"/>
      <c r="U35" s="481"/>
      <c r="V35" s="484"/>
      <c r="W35" s="484"/>
      <c r="X35" s="481"/>
      <c r="Y35" s="481"/>
      <c r="Z35" s="484"/>
      <c r="AA35" s="484"/>
      <c r="AB35" s="481"/>
      <c r="AC35" s="481"/>
      <c r="AD35" s="484"/>
      <c r="AE35" s="484"/>
      <c r="AF35" s="481"/>
      <c r="AG35" s="481"/>
      <c r="AH35" s="484"/>
      <c r="AI35" s="484"/>
      <c r="AJ35" s="481"/>
      <c r="AK35" s="481"/>
      <c r="AL35" s="484"/>
      <c r="AM35" s="484"/>
      <c r="AN35" s="481"/>
      <c r="AO35" s="481"/>
      <c r="AP35" s="484"/>
      <c r="AQ35" s="484"/>
      <c r="AR35" s="481"/>
      <c r="AS35" s="481"/>
      <c r="AT35" s="484"/>
      <c r="AU35" s="484"/>
      <c r="AV35" s="481"/>
      <c r="AW35" s="481"/>
      <c r="AX35" s="484"/>
      <c r="AY35" s="484"/>
      <c r="AZ35" s="481"/>
      <c r="BA35" s="481"/>
      <c r="BB35" s="484"/>
      <c r="BC35" s="484"/>
      <c r="BD35" s="481"/>
      <c r="BE35" s="481"/>
      <c r="BF35" s="484"/>
      <c r="BG35" s="484"/>
      <c r="BH35" s="481"/>
      <c r="BI35" s="481"/>
      <c r="BJ35" s="484"/>
      <c r="BK35" s="484"/>
      <c r="BL35" s="481"/>
      <c r="BM35" s="481"/>
      <c r="BN35" s="484"/>
      <c r="BO35" s="484"/>
      <c r="BP35" s="481"/>
      <c r="BQ35" s="481"/>
      <c r="BR35" s="484"/>
      <c r="BS35" s="484"/>
      <c r="BT35" s="481"/>
      <c r="BU35" s="481"/>
      <c r="BV35" s="484"/>
      <c r="BW35" s="484"/>
      <c r="BX35" s="481"/>
      <c r="BY35" s="481"/>
      <c r="BZ35" s="484"/>
      <c r="CA35" s="484"/>
      <c r="CB35" s="481"/>
      <c r="CC35" s="481"/>
      <c r="CD35" s="484"/>
      <c r="CE35" s="484"/>
      <c r="CF35" s="481"/>
      <c r="CG35" s="481"/>
      <c r="CH35" s="484"/>
      <c r="CI35" s="484"/>
      <c r="CJ35" s="481"/>
      <c r="CK35" s="481"/>
      <c r="CL35" s="484"/>
      <c r="CM35" s="484"/>
      <c r="CN35" s="481"/>
      <c r="CO35" s="481"/>
      <c r="CP35" s="484"/>
      <c r="CQ35" s="484"/>
      <c r="CR35" s="481"/>
      <c r="CS35" s="481"/>
      <c r="CT35" s="484"/>
      <c r="CU35" s="484"/>
      <c r="CV35" s="481"/>
      <c r="CW35" s="481"/>
      <c r="CX35" s="484"/>
      <c r="CY35" s="484"/>
      <c r="CZ35" s="481"/>
      <c r="DA35" s="482"/>
    </row>
    <row r="36" spans="1:105" ht="15" thickBot="1" x14ac:dyDescent="0.25">
      <c r="A36" s="238"/>
      <c r="B36" s="483"/>
      <c r="C36" s="480"/>
      <c r="D36" s="473"/>
      <c r="E36" s="473"/>
      <c r="F36" s="480"/>
      <c r="G36" s="480"/>
      <c r="H36" s="473"/>
      <c r="I36" s="473"/>
      <c r="J36" s="480"/>
      <c r="K36" s="480"/>
      <c r="L36" s="473"/>
      <c r="M36" s="473"/>
      <c r="N36" s="480"/>
      <c r="O36" s="480"/>
      <c r="P36" s="473"/>
      <c r="Q36" s="473"/>
      <c r="R36" s="480"/>
      <c r="S36" s="480"/>
      <c r="T36" s="473"/>
      <c r="U36" s="473"/>
      <c r="V36" s="480"/>
      <c r="W36" s="480"/>
      <c r="X36" s="473"/>
      <c r="Y36" s="473"/>
      <c r="Z36" s="480"/>
      <c r="AA36" s="480"/>
      <c r="AB36" s="473"/>
      <c r="AC36" s="473"/>
      <c r="AD36" s="480"/>
      <c r="AE36" s="480"/>
      <c r="AF36" s="473"/>
      <c r="AG36" s="473"/>
      <c r="AH36" s="480"/>
      <c r="AI36" s="480"/>
      <c r="AJ36" s="473"/>
      <c r="AK36" s="473"/>
      <c r="AL36" s="480"/>
      <c r="AM36" s="480"/>
      <c r="AN36" s="473"/>
      <c r="AO36" s="473"/>
      <c r="AP36" s="480"/>
      <c r="AQ36" s="480"/>
      <c r="AR36" s="473"/>
      <c r="AS36" s="473"/>
      <c r="AT36" s="480"/>
      <c r="AU36" s="480"/>
      <c r="AV36" s="473"/>
      <c r="AW36" s="473"/>
      <c r="AX36" s="480"/>
      <c r="AY36" s="480"/>
      <c r="AZ36" s="473"/>
      <c r="BA36" s="473"/>
      <c r="BB36" s="480"/>
      <c r="BC36" s="480"/>
      <c r="BD36" s="473"/>
      <c r="BE36" s="473"/>
      <c r="BF36" s="480"/>
      <c r="BG36" s="480"/>
      <c r="BH36" s="473"/>
      <c r="BI36" s="473"/>
      <c r="BJ36" s="480"/>
      <c r="BK36" s="480"/>
      <c r="BL36" s="473"/>
      <c r="BM36" s="473"/>
      <c r="BN36" s="480"/>
      <c r="BO36" s="480"/>
      <c r="BP36" s="473"/>
      <c r="BQ36" s="473"/>
      <c r="BR36" s="480"/>
      <c r="BS36" s="480"/>
      <c r="BT36" s="473"/>
      <c r="BU36" s="473"/>
      <c r="BV36" s="480"/>
      <c r="BW36" s="480"/>
      <c r="BX36" s="473"/>
      <c r="BY36" s="473"/>
      <c r="BZ36" s="480"/>
      <c r="CA36" s="480"/>
      <c r="CB36" s="473"/>
      <c r="CC36" s="473"/>
      <c r="CD36" s="480"/>
      <c r="CE36" s="480"/>
      <c r="CF36" s="473"/>
      <c r="CG36" s="473"/>
      <c r="CH36" s="480"/>
      <c r="CI36" s="480"/>
      <c r="CJ36" s="473"/>
      <c r="CK36" s="473"/>
      <c r="CL36" s="480"/>
      <c r="CM36" s="480"/>
      <c r="CN36" s="473"/>
      <c r="CO36" s="473"/>
      <c r="CP36" s="480"/>
      <c r="CQ36" s="480"/>
      <c r="CR36" s="473"/>
      <c r="CS36" s="473"/>
      <c r="CT36" s="486"/>
      <c r="CU36" s="483"/>
      <c r="CV36" s="473"/>
      <c r="CW36" s="473"/>
      <c r="CX36" s="480"/>
      <c r="CY36" s="480"/>
      <c r="CZ36" s="473"/>
      <c r="DA36" s="474"/>
    </row>
    <row r="37" spans="1:105" ht="14.25" x14ac:dyDescent="0.2">
      <c r="A37" s="241"/>
      <c r="B37" s="487"/>
      <c r="C37" s="488"/>
      <c r="D37" s="481"/>
      <c r="E37" s="481"/>
      <c r="F37" s="484"/>
      <c r="G37" s="484"/>
      <c r="H37" s="481"/>
      <c r="I37" s="481"/>
      <c r="J37" s="484"/>
      <c r="K37" s="484"/>
      <c r="L37" s="481"/>
      <c r="M37" s="481"/>
      <c r="N37" s="484"/>
      <c r="O37" s="484"/>
      <c r="P37" s="481"/>
      <c r="Q37" s="481"/>
      <c r="R37" s="484"/>
      <c r="S37" s="484"/>
      <c r="T37" s="481"/>
      <c r="U37" s="481"/>
      <c r="V37" s="484"/>
      <c r="W37" s="484"/>
      <c r="X37" s="481"/>
      <c r="Y37" s="481"/>
      <c r="Z37" s="484"/>
      <c r="AA37" s="484"/>
      <c r="AB37" s="481"/>
      <c r="AC37" s="481"/>
      <c r="AD37" s="484"/>
      <c r="AE37" s="484"/>
      <c r="AF37" s="481"/>
      <c r="AG37" s="481"/>
      <c r="AH37" s="484"/>
      <c r="AI37" s="484"/>
      <c r="AJ37" s="481"/>
      <c r="AK37" s="481"/>
      <c r="AL37" s="484"/>
      <c r="AM37" s="484"/>
      <c r="AN37" s="481"/>
      <c r="AO37" s="481"/>
      <c r="AP37" s="484"/>
      <c r="AQ37" s="484"/>
      <c r="AR37" s="481"/>
      <c r="AS37" s="481"/>
      <c r="AT37" s="484"/>
      <c r="AU37" s="484"/>
      <c r="AV37" s="481"/>
      <c r="AW37" s="481"/>
      <c r="AX37" s="484"/>
      <c r="AY37" s="484"/>
      <c r="AZ37" s="481"/>
      <c r="BA37" s="481"/>
      <c r="BB37" s="484"/>
      <c r="BC37" s="484"/>
      <c r="BD37" s="481"/>
      <c r="BE37" s="481"/>
      <c r="BF37" s="484"/>
      <c r="BG37" s="484"/>
      <c r="BH37" s="481"/>
      <c r="BI37" s="481"/>
      <c r="BJ37" s="484"/>
      <c r="BK37" s="484"/>
      <c r="BL37" s="481"/>
      <c r="BM37" s="481"/>
      <c r="BN37" s="484"/>
      <c r="BO37" s="484"/>
      <c r="BP37" s="481"/>
      <c r="BQ37" s="481"/>
      <c r="BR37" s="484"/>
      <c r="BS37" s="484"/>
      <c r="BT37" s="481"/>
      <c r="BU37" s="481"/>
      <c r="BV37" s="484"/>
      <c r="BW37" s="484"/>
      <c r="BX37" s="481"/>
      <c r="BY37" s="481"/>
      <c r="BZ37" s="484"/>
      <c r="CA37" s="484"/>
      <c r="CB37" s="481"/>
      <c r="CC37" s="481"/>
      <c r="CD37" s="484"/>
      <c r="CE37" s="484"/>
      <c r="CF37" s="481"/>
      <c r="CG37" s="481"/>
      <c r="CH37" s="484"/>
      <c r="CI37" s="484"/>
      <c r="CJ37" s="481"/>
      <c r="CK37" s="481"/>
      <c r="CL37" s="484"/>
      <c r="CM37" s="484"/>
      <c r="CN37" s="481"/>
      <c r="CO37" s="481"/>
      <c r="CP37" s="484"/>
      <c r="CQ37" s="484"/>
      <c r="CR37" s="481"/>
      <c r="CS37" s="481"/>
      <c r="CT37" s="484"/>
      <c r="CU37" s="484"/>
      <c r="CV37" s="481"/>
      <c r="CW37" s="481"/>
      <c r="CX37" s="484"/>
      <c r="CY37" s="484"/>
      <c r="CZ37" s="481"/>
      <c r="DA37" s="482"/>
    </row>
    <row r="38" spans="1:105" ht="15" thickBot="1" x14ac:dyDescent="0.25">
      <c r="A38" s="238"/>
      <c r="B38" s="483"/>
      <c r="C38" s="480"/>
      <c r="D38" s="473"/>
      <c r="E38" s="473"/>
      <c r="F38" s="480"/>
      <c r="G38" s="480"/>
      <c r="H38" s="473"/>
      <c r="I38" s="473"/>
      <c r="J38" s="480"/>
      <c r="K38" s="480"/>
      <c r="L38" s="473"/>
      <c r="M38" s="473"/>
      <c r="N38" s="480"/>
      <c r="O38" s="480"/>
      <c r="P38" s="473"/>
      <c r="Q38" s="473"/>
      <c r="R38" s="480"/>
      <c r="S38" s="480"/>
      <c r="T38" s="473"/>
      <c r="U38" s="473"/>
      <c r="V38" s="480"/>
      <c r="W38" s="480"/>
      <c r="X38" s="473"/>
      <c r="Y38" s="473"/>
      <c r="Z38" s="480"/>
      <c r="AA38" s="480"/>
      <c r="AB38" s="473"/>
      <c r="AC38" s="473"/>
      <c r="AD38" s="480"/>
      <c r="AE38" s="480"/>
      <c r="AF38" s="473"/>
      <c r="AG38" s="473"/>
      <c r="AH38" s="480"/>
      <c r="AI38" s="480"/>
      <c r="AJ38" s="473"/>
      <c r="AK38" s="473"/>
      <c r="AL38" s="480"/>
      <c r="AM38" s="480"/>
      <c r="AN38" s="473"/>
      <c r="AO38" s="473"/>
      <c r="AP38" s="480"/>
      <c r="AQ38" s="480"/>
      <c r="AR38" s="473"/>
      <c r="AS38" s="473"/>
      <c r="AT38" s="480"/>
      <c r="AU38" s="480"/>
      <c r="AV38" s="473"/>
      <c r="AW38" s="473"/>
      <c r="AX38" s="480"/>
      <c r="AY38" s="480"/>
      <c r="AZ38" s="473"/>
      <c r="BA38" s="473"/>
      <c r="BB38" s="480"/>
      <c r="BC38" s="480"/>
      <c r="BD38" s="473"/>
      <c r="BE38" s="473"/>
      <c r="BF38" s="480"/>
      <c r="BG38" s="480"/>
      <c r="BH38" s="473"/>
      <c r="BI38" s="473"/>
      <c r="BJ38" s="480"/>
      <c r="BK38" s="480"/>
      <c r="BL38" s="473"/>
      <c r="BM38" s="473"/>
      <c r="BN38" s="480"/>
      <c r="BO38" s="480"/>
      <c r="BP38" s="473"/>
      <c r="BQ38" s="473"/>
      <c r="BR38" s="480"/>
      <c r="BS38" s="480"/>
      <c r="BT38" s="473"/>
      <c r="BU38" s="473"/>
      <c r="BV38" s="480"/>
      <c r="BW38" s="480"/>
      <c r="BX38" s="473"/>
      <c r="BY38" s="473"/>
      <c r="BZ38" s="480"/>
      <c r="CA38" s="480"/>
      <c r="CB38" s="473"/>
      <c r="CC38" s="473"/>
      <c r="CD38" s="480"/>
      <c r="CE38" s="480"/>
      <c r="CF38" s="473"/>
      <c r="CG38" s="473"/>
      <c r="CH38" s="480"/>
      <c r="CI38" s="480"/>
      <c r="CJ38" s="473"/>
      <c r="CK38" s="473"/>
      <c r="CL38" s="480"/>
      <c r="CM38" s="480"/>
      <c r="CN38" s="473"/>
      <c r="CO38" s="473"/>
      <c r="CP38" s="480"/>
      <c r="CQ38" s="480"/>
      <c r="CR38" s="473"/>
      <c r="CS38" s="473"/>
      <c r="CT38" s="486"/>
      <c r="CU38" s="483"/>
      <c r="CV38" s="473"/>
      <c r="CW38" s="473"/>
      <c r="CX38" s="480"/>
      <c r="CY38" s="480"/>
      <c r="CZ38" s="473"/>
      <c r="DA38" s="474"/>
    </row>
    <row r="39" spans="1:105" ht="14.25" x14ac:dyDescent="0.2">
      <c r="A39" s="241"/>
      <c r="B39" s="487"/>
      <c r="C39" s="488"/>
      <c r="D39" s="481"/>
      <c r="E39" s="481"/>
      <c r="F39" s="484"/>
      <c r="G39" s="484"/>
      <c r="H39" s="481"/>
      <c r="I39" s="481"/>
      <c r="J39" s="484"/>
      <c r="K39" s="484"/>
      <c r="L39" s="481"/>
      <c r="M39" s="481"/>
      <c r="N39" s="484"/>
      <c r="O39" s="484"/>
      <c r="P39" s="481"/>
      <c r="Q39" s="481"/>
      <c r="R39" s="484"/>
      <c r="S39" s="484"/>
      <c r="T39" s="481"/>
      <c r="U39" s="481"/>
      <c r="V39" s="484"/>
      <c r="W39" s="484"/>
      <c r="X39" s="481"/>
      <c r="Y39" s="481"/>
      <c r="Z39" s="484"/>
      <c r="AA39" s="484"/>
      <c r="AB39" s="481"/>
      <c r="AC39" s="481"/>
      <c r="AD39" s="484"/>
      <c r="AE39" s="484"/>
      <c r="AF39" s="481"/>
      <c r="AG39" s="481"/>
      <c r="AH39" s="484"/>
      <c r="AI39" s="484"/>
      <c r="AJ39" s="481"/>
      <c r="AK39" s="481"/>
      <c r="AL39" s="484"/>
      <c r="AM39" s="484"/>
      <c r="AN39" s="481"/>
      <c r="AO39" s="481"/>
      <c r="AP39" s="484"/>
      <c r="AQ39" s="484"/>
      <c r="AR39" s="481"/>
      <c r="AS39" s="481"/>
      <c r="AT39" s="484"/>
      <c r="AU39" s="484"/>
      <c r="AV39" s="481"/>
      <c r="AW39" s="481"/>
      <c r="AX39" s="484"/>
      <c r="AY39" s="484"/>
      <c r="AZ39" s="481"/>
      <c r="BA39" s="481"/>
      <c r="BB39" s="484"/>
      <c r="BC39" s="484"/>
      <c r="BD39" s="481"/>
      <c r="BE39" s="481"/>
      <c r="BF39" s="484"/>
      <c r="BG39" s="484"/>
      <c r="BH39" s="481"/>
      <c r="BI39" s="481"/>
      <c r="BJ39" s="484"/>
      <c r="BK39" s="484"/>
      <c r="BL39" s="481"/>
      <c r="BM39" s="481"/>
      <c r="BN39" s="484"/>
      <c r="BO39" s="484"/>
      <c r="BP39" s="481"/>
      <c r="BQ39" s="481"/>
      <c r="BR39" s="484"/>
      <c r="BS39" s="484"/>
      <c r="BT39" s="481"/>
      <c r="BU39" s="481"/>
      <c r="BV39" s="484"/>
      <c r="BW39" s="484"/>
      <c r="BX39" s="481"/>
      <c r="BY39" s="481"/>
      <c r="BZ39" s="484"/>
      <c r="CA39" s="484"/>
      <c r="CB39" s="481"/>
      <c r="CC39" s="481"/>
      <c r="CD39" s="484"/>
      <c r="CE39" s="484"/>
      <c r="CF39" s="481"/>
      <c r="CG39" s="481"/>
      <c r="CH39" s="484"/>
      <c r="CI39" s="484"/>
      <c r="CJ39" s="481"/>
      <c r="CK39" s="481"/>
      <c r="CL39" s="484"/>
      <c r="CM39" s="484"/>
      <c r="CN39" s="481"/>
      <c r="CO39" s="481"/>
      <c r="CP39" s="484"/>
      <c r="CQ39" s="484"/>
      <c r="CR39" s="481"/>
      <c r="CS39" s="481"/>
      <c r="CT39" s="484"/>
      <c r="CU39" s="484"/>
      <c r="CV39" s="481"/>
      <c r="CW39" s="481"/>
      <c r="CX39" s="484"/>
      <c r="CY39" s="484"/>
      <c r="CZ39" s="481"/>
      <c r="DA39" s="482"/>
    </row>
    <row r="40" spans="1:105" ht="15" thickBot="1" x14ac:dyDescent="0.25">
      <c r="A40" s="238"/>
      <c r="B40" s="483"/>
      <c r="C40" s="480"/>
      <c r="D40" s="473"/>
      <c r="E40" s="473"/>
      <c r="F40" s="480"/>
      <c r="G40" s="480"/>
      <c r="H40" s="473"/>
      <c r="I40" s="473"/>
      <c r="J40" s="480"/>
      <c r="K40" s="480"/>
      <c r="L40" s="473"/>
      <c r="M40" s="473"/>
      <c r="N40" s="480"/>
      <c r="O40" s="480"/>
      <c r="P40" s="473"/>
      <c r="Q40" s="473"/>
      <c r="R40" s="480"/>
      <c r="S40" s="480"/>
      <c r="T40" s="473"/>
      <c r="U40" s="473"/>
      <c r="V40" s="480"/>
      <c r="W40" s="480"/>
      <c r="X40" s="473"/>
      <c r="Y40" s="473"/>
      <c r="Z40" s="480"/>
      <c r="AA40" s="480"/>
      <c r="AB40" s="473"/>
      <c r="AC40" s="473"/>
      <c r="AD40" s="480"/>
      <c r="AE40" s="480"/>
      <c r="AF40" s="473"/>
      <c r="AG40" s="473"/>
      <c r="AH40" s="480"/>
      <c r="AI40" s="480"/>
      <c r="AJ40" s="473"/>
      <c r="AK40" s="473"/>
      <c r="AL40" s="480"/>
      <c r="AM40" s="480"/>
      <c r="AN40" s="473"/>
      <c r="AO40" s="473"/>
      <c r="AP40" s="480"/>
      <c r="AQ40" s="480"/>
      <c r="AR40" s="473"/>
      <c r="AS40" s="473"/>
      <c r="AT40" s="480"/>
      <c r="AU40" s="480"/>
      <c r="AV40" s="473"/>
      <c r="AW40" s="473"/>
      <c r="AX40" s="480"/>
      <c r="AY40" s="480"/>
      <c r="AZ40" s="473"/>
      <c r="BA40" s="473"/>
      <c r="BB40" s="480"/>
      <c r="BC40" s="480"/>
      <c r="BD40" s="473"/>
      <c r="BE40" s="473"/>
      <c r="BF40" s="480"/>
      <c r="BG40" s="480"/>
      <c r="BH40" s="473"/>
      <c r="BI40" s="473"/>
      <c r="BJ40" s="480"/>
      <c r="BK40" s="480"/>
      <c r="BL40" s="473"/>
      <c r="BM40" s="473"/>
      <c r="BN40" s="480"/>
      <c r="BO40" s="480"/>
      <c r="BP40" s="473"/>
      <c r="BQ40" s="473"/>
      <c r="BR40" s="480"/>
      <c r="BS40" s="480"/>
      <c r="BT40" s="473"/>
      <c r="BU40" s="473"/>
      <c r="BV40" s="480"/>
      <c r="BW40" s="480"/>
      <c r="BX40" s="473"/>
      <c r="BY40" s="473"/>
      <c r="BZ40" s="480"/>
      <c r="CA40" s="480"/>
      <c r="CB40" s="473"/>
      <c r="CC40" s="473"/>
      <c r="CD40" s="480"/>
      <c r="CE40" s="480"/>
      <c r="CF40" s="473"/>
      <c r="CG40" s="473"/>
      <c r="CH40" s="480"/>
      <c r="CI40" s="480"/>
      <c r="CJ40" s="473"/>
      <c r="CK40" s="473"/>
      <c r="CL40" s="480"/>
      <c r="CM40" s="480"/>
      <c r="CN40" s="473"/>
      <c r="CO40" s="473"/>
      <c r="CP40" s="480"/>
      <c r="CQ40" s="480"/>
      <c r="CR40" s="473"/>
      <c r="CS40" s="473"/>
      <c r="CT40" s="486"/>
      <c r="CU40" s="483"/>
      <c r="CV40" s="473"/>
      <c r="CW40" s="473"/>
      <c r="CX40" s="480"/>
      <c r="CY40" s="480"/>
      <c r="CZ40" s="473"/>
      <c r="DA40" s="474"/>
    </row>
    <row r="41" spans="1:105" ht="14.25" x14ac:dyDescent="0.2">
      <c r="A41" s="241"/>
      <c r="B41" s="487"/>
      <c r="C41" s="488"/>
      <c r="D41" s="481"/>
      <c r="E41" s="481"/>
      <c r="F41" s="484"/>
      <c r="G41" s="484"/>
      <c r="H41" s="481"/>
      <c r="I41" s="481"/>
      <c r="J41" s="484"/>
      <c r="K41" s="484"/>
      <c r="L41" s="481"/>
      <c r="M41" s="481"/>
      <c r="N41" s="484"/>
      <c r="O41" s="484"/>
      <c r="P41" s="481"/>
      <c r="Q41" s="481"/>
      <c r="R41" s="484"/>
      <c r="S41" s="484"/>
      <c r="T41" s="481"/>
      <c r="U41" s="481"/>
      <c r="V41" s="484"/>
      <c r="W41" s="484"/>
      <c r="X41" s="481"/>
      <c r="Y41" s="481"/>
      <c r="Z41" s="484"/>
      <c r="AA41" s="484"/>
      <c r="AB41" s="481"/>
      <c r="AC41" s="481"/>
      <c r="AD41" s="484"/>
      <c r="AE41" s="484"/>
      <c r="AF41" s="481"/>
      <c r="AG41" s="481"/>
      <c r="AH41" s="484"/>
      <c r="AI41" s="484"/>
      <c r="AJ41" s="481"/>
      <c r="AK41" s="481"/>
      <c r="AL41" s="484"/>
      <c r="AM41" s="484"/>
      <c r="AN41" s="481"/>
      <c r="AO41" s="481"/>
      <c r="AP41" s="484"/>
      <c r="AQ41" s="484"/>
      <c r="AR41" s="481"/>
      <c r="AS41" s="481"/>
      <c r="AT41" s="484"/>
      <c r="AU41" s="484"/>
      <c r="AV41" s="481"/>
      <c r="AW41" s="481"/>
      <c r="AX41" s="484"/>
      <c r="AY41" s="484"/>
      <c r="AZ41" s="481"/>
      <c r="BA41" s="481"/>
      <c r="BB41" s="484"/>
      <c r="BC41" s="484"/>
      <c r="BD41" s="481"/>
      <c r="BE41" s="481"/>
      <c r="BF41" s="484"/>
      <c r="BG41" s="484"/>
      <c r="BH41" s="481"/>
      <c r="BI41" s="481"/>
      <c r="BJ41" s="484"/>
      <c r="BK41" s="484"/>
      <c r="BL41" s="481"/>
      <c r="BM41" s="481"/>
      <c r="BN41" s="484"/>
      <c r="BO41" s="484"/>
      <c r="BP41" s="481"/>
      <c r="BQ41" s="481"/>
      <c r="BR41" s="484"/>
      <c r="BS41" s="484"/>
      <c r="BT41" s="481"/>
      <c r="BU41" s="481"/>
      <c r="BV41" s="484"/>
      <c r="BW41" s="484"/>
      <c r="BX41" s="481"/>
      <c r="BY41" s="481"/>
      <c r="BZ41" s="484"/>
      <c r="CA41" s="484"/>
      <c r="CB41" s="481"/>
      <c r="CC41" s="481"/>
      <c r="CD41" s="484"/>
      <c r="CE41" s="484"/>
      <c r="CF41" s="481"/>
      <c r="CG41" s="481"/>
      <c r="CH41" s="484"/>
      <c r="CI41" s="484"/>
      <c r="CJ41" s="481"/>
      <c r="CK41" s="481"/>
      <c r="CL41" s="484"/>
      <c r="CM41" s="484"/>
      <c r="CN41" s="481"/>
      <c r="CO41" s="481"/>
      <c r="CP41" s="484"/>
      <c r="CQ41" s="484"/>
      <c r="CR41" s="481"/>
      <c r="CS41" s="481"/>
      <c r="CT41" s="484"/>
      <c r="CU41" s="484"/>
      <c r="CV41" s="481"/>
      <c r="CW41" s="481"/>
      <c r="CX41" s="484"/>
      <c r="CY41" s="484"/>
      <c r="CZ41" s="481"/>
      <c r="DA41" s="482"/>
    </row>
    <row r="42" spans="1:105" ht="15" thickBot="1" x14ac:dyDescent="0.25">
      <c r="A42" s="238"/>
      <c r="B42" s="483"/>
      <c r="C42" s="480"/>
      <c r="D42" s="473"/>
      <c r="E42" s="473"/>
      <c r="F42" s="480"/>
      <c r="G42" s="480"/>
      <c r="H42" s="473"/>
      <c r="I42" s="473"/>
      <c r="J42" s="480"/>
      <c r="K42" s="480"/>
      <c r="L42" s="473"/>
      <c r="M42" s="473"/>
      <c r="N42" s="480"/>
      <c r="O42" s="480"/>
      <c r="P42" s="473"/>
      <c r="Q42" s="473"/>
      <c r="R42" s="480"/>
      <c r="S42" s="480"/>
      <c r="T42" s="473"/>
      <c r="U42" s="473"/>
      <c r="V42" s="480"/>
      <c r="W42" s="480"/>
      <c r="X42" s="473"/>
      <c r="Y42" s="473"/>
      <c r="Z42" s="480"/>
      <c r="AA42" s="480"/>
      <c r="AB42" s="473"/>
      <c r="AC42" s="473"/>
      <c r="AD42" s="480"/>
      <c r="AE42" s="480"/>
      <c r="AF42" s="473"/>
      <c r="AG42" s="473"/>
      <c r="AH42" s="480"/>
      <c r="AI42" s="480"/>
      <c r="AJ42" s="473"/>
      <c r="AK42" s="473"/>
      <c r="AL42" s="480"/>
      <c r="AM42" s="480"/>
      <c r="AN42" s="473"/>
      <c r="AO42" s="473"/>
      <c r="AP42" s="480"/>
      <c r="AQ42" s="480"/>
      <c r="AR42" s="473"/>
      <c r="AS42" s="473"/>
      <c r="AT42" s="480"/>
      <c r="AU42" s="480"/>
      <c r="AV42" s="473"/>
      <c r="AW42" s="473"/>
      <c r="AX42" s="480"/>
      <c r="AY42" s="480"/>
      <c r="AZ42" s="473"/>
      <c r="BA42" s="473"/>
      <c r="BB42" s="480"/>
      <c r="BC42" s="480"/>
      <c r="BD42" s="473"/>
      <c r="BE42" s="473"/>
      <c r="BF42" s="480"/>
      <c r="BG42" s="480"/>
      <c r="BH42" s="473"/>
      <c r="BI42" s="473"/>
      <c r="BJ42" s="480"/>
      <c r="BK42" s="480"/>
      <c r="BL42" s="473"/>
      <c r="BM42" s="473"/>
      <c r="BN42" s="480"/>
      <c r="BO42" s="480"/>
      <c r="BP42" s="473"/>
      <c r="BQ42" s="473"/>
      <c r="BR42" s="480"/>
      <c r="BS42" s="480"/>
      <c r="BT42" s="473"/>
      <c r="BU42" s="473"/>
      <c r="BV42" s="480"/>
      <c r="BW42" s="480"/>
      <c r="BX42" s="473"/>
      <c r="BY42" s="473"/>
      <c r="BZ42" s="480"/>
      <c r="CA42" s="480"/>
      <c r="CB42" s="473"/>
      <c r="CC42" s="473"/>
      <c r="CD42" s="480"/>
      <c r="CE42" s="480"/>
      <c r="CF42" s="473"/>
      <c r="CG42" s="473"/>
      <c r="CH42" s="480"/>
      <c r="CI42" s="480"/>
      <c r="CJ42" s="473"/>
      <c r="CK42" s="473"/>
      <c r="CL42" s="480"/>
      <c r="CM42" s="480"/>
      <c r="CN42" s="473"/>
      <c r="CO42" s="473"/>
      <c r="CP42" s="480"/>
      <c r="CQ42" s="480"/>
      <c r="CR42" s="473"/>
      <c r="CS42" s="473"/>
      <c r="CT42" s="486"/>
      <c r="CU42" s="483"/>
      <c r="CV42" s="473"/>
      <c r="CW42" s="473"/>
      <c r="CX42" s="480"/>
      <c r="CY42" s="480"/>
      <c r="CZ42" s="473"/>
      <c r="DA42" s="474"/>
    </row>
    <row r="43" spans="1:105" ht="14.25" x14ac:dyDescent="0.2">
      <c r="A43" s="241"/>
      <c r="B43" s="487"/>
      <c r="C43" s="488"/>
      <c r="D43" s="481"/>
      <c r="E43" s="481"/>
      <c r="F43" s="484"/>
      <c r="G43" s="484"/>
      <c r="H43" s="481"/>
      <c r="I43" s="481"/>
      <c r="J43" s="484"/>
      <c r="K43" s="484"/>
      <c r="L43" s="481"/>
      <c r="M43" s="481"/>
      <c r="N43" s="484"/>
      <c r="O43" s="484"/>
      <c r="P43" s="481"/>
      <c r="Q43" s="481"/>
      <c r="R43" s="484"/>
      <c r="S43" s="484"/>
      <c r="T43" s="481"/>
      <c r="U43" s="481"/>
      <c r="V43" s="484"/>
      <c r="W43" s="484"/>
      <c r="X43" s="481"/>
      <c r="Y43" s="481"/>
      <c r="Z43" s="484"/>
      <c r="AA43" s="484"/>
      <c r="AB43" s="481"/>
      <c r="AC43" s="481"/>
      <c r="AD43" s="484"/>
      <c r="AE43" s="484"/>
      <c r="AF43" s="481"/>
      <c r="AG43" s="481"/>
      <c r="AH43" s="484"/>
      <c r="AI43" s="484"/>
      <c r="AJ43" s="481"/>
      <c r="AK43" s="481"/>
      <c r="AL43" s="484"/>
      <c r="AM43" s="484"/>
      <c r="AN43" s="481"/>
      <c r="AO43" s="481"/>
      <c r="AP43" s="484"/>
      <c r="AQ43" s="484"/>
      <c r="AR43" s="481"/>
      <c r="AS43" s="481"/>
      <c r="AT43" s="484"/>
      <c r="AU43" s="484"/>
      <c r="AV43" s="481"/>
      <c r="AW43" s="481"/>
      <c r="AX43" s="484"/>
      <c r="AY43" s="484"/>
      <c r="AZ43" s="481"/>
      <c r="BA43" s="481"/>
      <c r="BB43" s="484"/>
      <c r="BC43" s="484"/>
      <c r="BD43" s="481"/>
      <c r="BE43" s="481"/>
      <c r="BF43" s="484"/>
      <c r="BG43" s="484"/>
      <c r="BH43" s="481"/>
      <c r="BI43" s="481"/>
      <c r="BJ43" s="484"/>
      <c r="BK43" s="484"/>
      <c r="BL43" s="481"/>
      <c r="BM43" s="481"/>
      <c r="BN43" s="484"/>
      <c r="BO43" s="484"/>
      <c r="BP43" s="481"/>
      <c r="BQ43" s="481"/>
      <c r="BR43" s="484"/>
      <c r="BS43" s="484"/>
      <c r="BT43" s="481"/>
      <c r="BU43" s="481"/>
      <c r="BV43" s="484"/>
      <c r="BW43" s="484"/>
      <c r="BX43" s="481"/>
      <c r="BY43" s="481"/>
      <c r="BZ43" s="484"/>
      <c r="CA43" s="484"/>
      <c r="CB43" s="481"/>
      <c r="CC43" s="481"/>
      <c r="CD43" s="484"/>
      <c r="CE43" s="484"/>
      <c r="CF43" s="481"/>
      <c r="CG43" s="481"/>
      <c r="CH43" s="484"/>
      <c r="CI43" s="484"/>
      <c r="CJ43" s="481"/>
      <c r="CK43" s="481"/>
      <c r="CL43" s="484"/>
      <c r="CM43" s="484"/>
      <c r="CN43" s="481"/>
      <c r="CO43" s="481"/>
      <c r="CP43" s="484"/>
      <c r="CQ43" s="484"/>
      <c r="CR43" s="481"/>
      <c r="CS43" s="481"/>
      <c r="CT43" s="484"/>
      <c r="CU43" s="484"/>
      <c r="CV43" s="481"/>
      <c r="CW43" s="481"/>
      <c r="CX43" s="484"/>
      <c r="CY43" s="484"/>
      <c r="CZ43" s="481"/>
      <c r="DA43" s="482"/>
    </row>
    <row r="44" spans="1:105" ht="15" thickBot="1" x14ac:dyDescent="0.25">
      <c r="A44" s="238"/>
      <c r="B44" s="483"/>
      <c r="C44" s="480"/>
      <c r="D44" s="473"/>
      <c r="E44" s="473"/>
      <c r="F44" s="480"/>
      <c r="G44" s="480"/>
      <c r="H44" s="473"/>
      <c r="I44" s="473"/>
      <c r="J44" s="480"/>
      <c r="K44" s="480"/>
      <c r="L44" s="473"/>
      <c r="M44" s="473"/>
      <c r="N44" s="480"/>
      <c r="O44" s="480"/>
      <c r="P44" s="473"/>
      <c r="Q44" s="473"/>
      <c r="R44" s="480"/>
      <c r="S44" s="480"/>
      <c r="T44" s="473"/>
      <c r="U44" s="473"/>
      <c r="V44" s="480"/>
      <c r="W44" s="480"/>
      <c r="X44" s="473"/>
      <c r="Y44" s="473"/>
      <c r="Z44" s="480"/>
      <c r="AA44" s="480"/>
      <c r="AB44" s="473"/>
      <c r="AC44" s="473"/>
      <c r="AD44" s="480"/>
      <c r="AE44" s="480"/>
      <c r="AF44" s="473"/>
      <c r="AG44" s="473"/>
      <c r="AH44" s="480"/>
      <c r="AI44" s="480"/>
      <c r="AJ44" s="473"/>
      <c r="AK44" s="473"/>
      <c r="AL44" s="480"/>
      <c r="AM44" s="480"/>
      <c r="AN44" s="473"/>
      <c r="AO44" s="473"/>
      <c r="AP44" s="480"/>
      <c r="AQ44" s="480"/>
      <c r="AR44" s="473"/>
      <c r="AS44" s="473"/>
      <c r="AT44" s="480"/>
      <c r="AU44" s="480"/>
      <c r="AV44" s="473"/>
      <c r="AW44" s="473"/>
      <c r="AX44" s="480"/>
      <c r="AY44" s="480"/>
      <c r="AZ44" s="473"/>
      <c r="BA44" s="473"/>
      <c r="BB44" s="480"/>
      <c r="BC44" s="480"/>
      <c r="BD44" s="473"/>
      <c r="BE44" s="473"/>
      <c r="BF44" s="480"/>
      <c r="BG44" s="480"/>
      <c r="BH44" s="473"/>
      <c r="BI44" s="473"/>
      <c r="BJ44" s="480"/>
      <c r="BK44" s="480"/>
      <c r="BL44" s="473"/>
      <c r="BM44" s="473"/>
      <c r="BN44" s="480"/>
      <c r="BO44" s="480"/>
      <c r="BP44" s="473"/>
      <c r="BQ44" s="473"/>
      <c r="BR44" s="480"/>
      <c r="BS44" s="480"/>
      <c r="BT44" s="473"/>
      <c r="BU44" s="473"/>
      <c r="BV44" s="480"/>
      <c r="BW44" s="480"/>
      <c r="BX44" s="473"/>
      <c r="BY44" s="473"/>
      <c r="BZ44" s="480"/>
      <c r="CA44" s="480"/>
      <c r="CB44" s="473"/>
      <c r="CC44" s="473"/>
      <c r="CD44" s="480"/>
      <c r="CE44" s="480"/>
      <c r="CF44" s="473"/>
      <c r="CG44" s="473"/>
      <c r="CH44" s="480"/>
      <c r="CI44" s="480"/>
      <c r="CJ44" s="473"/>
      <c r="CK44" s="473"/>
      <c r="CL44" s="480"/>
      <c r="CM44" s="480"/>
      <c r="CN44" s="473"/>
      <c r="CO44" s="473"/>
      <c r="CP44" s="480"/>
      <c r="CQ44" s="480"/>
      <c r="CR44" s="473"/>
      <c r="CS44" s="473"/>
      <c r="CT44" s="486"/>
      <c r="CU44" s="483"/>
      <c r="CV44" s="473"/>
      <c r="CW44" s="473"/>
      <c r="CX44" s="480"/>
      <c r="CY44" s="480"/>
      <c r="CZ44" s="473"/>
      <c r="DA44" s="474"/>
    </row>
    <row r="45" spans="1:105" ht="14.25" x14ac:dyDescent="0.2">
      <c r="A45" s="241"/>
      <c r="B45" s="487"/>
      <c r="C45" s="488"/>
      <c r="D45" s="481"/>
      <c r="E45" s="481"/>
      <c r="F45" s="484"/>
      <c r="G45" s="484"/>
      <c r="H45" s="481"/>
      <c r="I45" s="481"/>
      <c r="J45" s="484"/>
      <c r="K45" s="484"/>
      <c r="L45" s="481"/>
      <c r="M45" s="481"/>
      <c r="N45" s="484"/>
      <c r="O45" s="484"/>
      <c r="P45" s="481"/>
      <c r="Q45" s="481"/>
      <c r="R45" s="484"/>
      <c r="S45" s="484"/>
      <c r="T45" s="481"/>
      <c r="U45" s="481"/>
      <c r="V45" s="484"/>
      <c r="W45" s="484"/>
      <c r="X45" s="481"/>
      <c r="Y45" s="481"/>
      <c r="Z45" s="484"/>
      <c r="AA45" s="484"/>
      <c r="AB45" s="481"/>
      <c r="AC45" s="481"/>
      <c r="AD45" s="484"/>
      <c r="AE45" s="484"/>
      <c r="AF45" s="481"/>
      <c r="AG45" s="481"/>
      <c r="AH45" s="484"/>
      <c r="AI45" s="484"/>
      <c r="AJ45" s="481"/>
      <c r="AK45" s="481"/>
      <c r="AL45" s="484"/>
      <c r="AM45" s="484"/>
      <c r="AN45" s="481"/>
      <c r="AO45" s="481"/>
      <c r="AP45" s="484"/>
      <c r="AQ45" s="484"/>
      <c r="AR45" s="481"/>
      <c r="AS45" s="481"/>
      <c r="AT45" s="484"/>
      <c r="AU45" s="484"/>
      <c r="AV45" s="481"/>
      <c r="AW45" s="481"/>
      <c r="AX45" s="484"/>
      <c r="AY45" s="484"/>
      <c r="AZ45" s="481"/>
      <c r="BA45" s="481"/>
      <c r="BB45" s="484"/>
      <c r="BC45" s="484"/>
      <c r="BD45" s="481"/>
      <c r="BE45" s="481"/>
      <c r="BF45" s="484"/>
      <c r="BG45" s="484"/>
      <c r="BH45" s="481"/>
      <c r="BI45" s="481"/>
      <c r="BJ45" s="484"/>
      <c r="BK45" s="484"/>
      <c r="BL45" s="481"/>
      <c r="BM45" s="481"/>
      <c r="BN45" s="484"/>
      <c r="BO45" s="484"/>
      <c r="BP45" s="481"/>
      <c r="BQ45" s="481"/>
      <c r="BR45" s="484"/>
      <c r="BS45" s="484"/>
      <c r="BT45" s="481"/>
      <c r="BU45" s="481"/>
      <c r="BV45" s="484"/>
      <c r="BW45" s="484"/>
      <c r="BX45" s="481"/>
      <c r="BY45" s="481"/>
      <c r="BZ45" s="484"/>
      <c r="CA45" s="484"/>
      <c r="CB45" s="481"/>
      <c r="CC45" s="481"/>
      <c r="CD45" s="484"/>
      <c r="CE45" s="484"/>
      <c r="CF45" s="481"/>
      <c r="CG45" s="481"/>
      <c r="CH45" s="484"/>
      <c r="CI45" s="484"/>
      <c r="CJ45" s="481"/>
      <c r="CK45" s="481"/>
      <c r="CL45" s="484"/>
      <c r="CM45" s="484"/>
      <c r="CN45" s="481"/>
      <c r="CO45" s="481"/>
      <c r="CP45" s="484"/>
      <c r="CQ45" s="484"/>
      <c r="CR45" s="481"/>
      <c r="CS45" s="481"/>
      <c r="CT45" s="484"/>
      <c r="CU45" s="484"/>
      <c r="CV45" s="481"/>
      <c r="CW45" s="481"/>
      <c r="CX45" s="484"/>
      <c r="CY45" s="484"/>
      <c r="CZ45" s="481"/>
      <c r="DA45" s="482"/>
    </row>
    <row r="46" spans="1:105" ht="15" thickBot="1" x14ac:dyDescent="0.25">
      <c r="A46" s="238"/>
      <c r="B46" s="483"/>
      <c r="C46" s="480"/>
      <c r="D46" s="473"/>
      <c r="E46" s="473"/>
      <c r="F46" s="480"/>
      <c r="G46" s="480"/>
      <c r="H46" s="473"/>
      <c r="I46" s="473"/>
      <c r="J46" s="480"/>
      <c r="K46" s="480"/>
      <c r="L46" s="473"/>
      <c r="M46" s="473"/>
      <c r="N46" s="480"/>
      <c r="O46" s="480"/>
      <c r="P46" s="473"/>
      <c r="Q46" s="473"/>
      <c r="R46" s="480"/>
      <c r="S46" s="480"/>
      <c r="T46" s="473"/>
      <c r="U46" s="473"/>
      <c r="V46" s="480"/>
      <c r="W46" s="480"/>
      <c r="X46" s="473"/>
      <c r="Y46" s="473"/>
      <c r="Z46" s="480"/>
      <c r="AA46" s="480"/>
      <c r="AB46" s="473"/>
      <c r="AC46" s="473"/>
      <c r="AD46" s="480"/>
      <c r="AE46" s="480"/>
      <c r="AF46" s="473"/>
      <c r="AG46" s="473"/>
      <c r="AH46" s="480"/>
      <c r="AI46" s="480"/>
      <c r="AJ46" s="473"/>
      <c r="AK46" s="473"/>
      <c r="AL46" s="480"/>
      <c r="AM46" s="480"/>
      <c r="AN46" s="473"/>
      <c r="AO46" s="473"/>
      <c r="AP46" s="480"/>
      <c r="AQ46" s="480"/>
      <c r="AR46" s="473"/>
      <c r="AS46" s="473"/>
      <c r="AT46" s="480"/>
      <c r="AU46" s="480"/>
      <c r="AV46" s="473"/>
      <c r="AW46" s="473"/>
      <c r="AX46" s="480"/>
      <c r="AY46" s="480"/>
      <c r="AZ46" s="473"/>
      <c r="BA46" s="473"/>
      <c r="BB46" s="480"/>
      <c r="BC46" s="480"/>
      <c r="BD46" s="473"/>
      <c r="BE46" s="473"/>
      <c r="BF46" s="480"/>
      <c r="BG46" s="480"/>
      <c r="BH46" s="473"/>
      <c r="BI46" s="473"/>
      <c r="BJ46" s="480"/>
      <c r="BK46" s="480"/>
      <c r="BL46" s="473"/>
      <c r="BM46" s="473"/>
      <c r="BN46" s="480"/>
      <c r="BO46" s="480"/>
      <c r="BP46" s="473"/>
      <c r="BQ46" s="473"/>
      <c r="BR46" s="480"/>
      <c r="BS46" s="480"/>
      <c r="BT46" s="473"/>
      <c r="BU46" s="473"/>
      <c r="BV46" s="480"/>
      <c r="BW46" s="480"/>
      <c r="BX46" s="473"/>
      <c r="BY46" s="473"/>
      <c r="BZ46" s="480"/>
      <c r="CA46" s="480"/>
      <c r="CB46" s="473"/>
      <c r="CC46" s="473"/>
      <c r="CD46" s="480"/>
      <c r="CE46" s="480"/>
      <c r="CF46" s="473"/>
      <c r="CG46" s="473"/>
      <c r="CH46" s="480"/>
      <c r="CI46" s="480"/>
      <c r="CJ46" s="473"/>
      <c r="CK46" s="473"/>
      <c r="CL46" s="480"/>
      <c r="CM46" s="480"/>
      <c r="CN46" s="473"/>
      <c r="CO46" s="473"/>
      <c r="CP46" s="480"/>
      <c r="CQ46" s="480"/>
      <c r="CR46" s="473"/>
      <c r="CS46" s="473"/>
      <c r="CT46" s="486"/>
      <c r="CU46" s="483"/>
      <c r="CV46" s="473"/>
      <c r="CW46" s="473"/>
      <c r="CX46" s="480"/>
      <c r="CY46" s="480"/>
      <c r="CZ46" s="473"/>
      <c r="DA46" s="474"/>
    </row>
    <row r="47" spans="1:105" ht="14.25" x14ac:dyDescent="0.2">
      <c r="A47" s="241"/>
      <c r="B47" s="485"/>
      <c r="C47" s="484"/>
      <c r="D47" s="481"/>
      <c r="E47" s="481"/>
      <c r="F47" s="484"/>
      <c r="G47" s="484"/>
      <c r="H47" s="481"/>
      <c r="I47" s="481"/>
      <c r="J47" s="484"/>
      <c r="K47" s="484"/>
      <c r="L47" s="481"/>
      <c r="M47" s="481"/>
      <c r="N47" s="484"/>
      <c r="O47" s="484"/>
      <c r="P47" s="481"/>
      <c r="Q47" s="481"/>
      <c r="R47" s="484"/>
      <c r="S47" s="484"/>
      <c r="T47" s="481"/>
      <c r="U47" s="481"/>
      <c r="V47" s="484"/>
      <c r="W47" s="484"/>
      <c r="X47" s="481"/>
      <c r="Y47" s="481"/>
      <c r="Z47" s="484"/>
      <c r="AA47" s="484"/>
      <c r="AB47" s="481"/>
      <c r="AC47" s="481"/>
      <c r="AD47" s="484"/>
      <c r="AE47" s="484"/>
      <c r="AF47" s="481"/>
      <c r="AG47" s="481"/>
      <c r="AH47" s="484"/>
      <c r="AI47" s="484"/>
      <c r="AJ47" s="481"/>
      <c r="AK47" s="481"/>
      <c r="AL47" s="484"/>
      <c r="AM47" s="484"/>
      <c r="AN47" s="481"/>
      <c r="AO47" s="481"/>
      <c r="AP47" s="484"/>
      <c r="AQ47" s="484"/>
      <c r="AR47" s="481"/>
      <c r="AS47" s="481"/>
      <c r="AT47" s="484"/>
      <c r="AU47" s="484"/>
      <c r="AV47" s="481"/>
      <c r="AW47" s="481"/>
      <c r="AX47" s="484"/>
      <c r="AY47" s="484"/>
      <c r="AZ47" s="481"/>
      <c r="BA47" s="481"/>
      <c r="BB47" s="484"/>
      <c r="BC47" s="484"/>
      <c r="BD47" s="481"/>
      <c r="BE47" s="481"/>
      <c r="BF47" s="484"/>
      <c r="BG47" s="484"/>
      <c r="BH47" s="481"/>
      <c r="BI47" s="481"/>
      <c r="BJ47" s="484"/>
      <c r="BK47" s="484"/>
      <c r="BL47" s="481"/>
      <c r="BM47" s="481"/>
      <c r="BN47" s="484"/>
      <c r="BO47" s="484"/>
      <c r="BP47" s="481"/>
      <c r="BQ47" s="481"/>
      <c r="BR47" s="484"/>
      <c r="BS47" s="484"/>
      <c r="BT47" s="481"/>
      <c r="BU47" s="481"/>
      <c r="BV47" s="484"/>
      <c r="BW47" s="484"/>
      <c r="BX47" s="481"/>
      <c r="BY47" s="481"/>
      <c r="BZ47" s="484"/>
      <c r="CA47" s="484"/>
      <c r="CB47" s="481"/>
      <c r="CC47" s="481"/>
      <c r="CD47" s="484"/>
      <c r="CE47" s="484"/>
      <c r="CF47" s="481"/>
      <c r="CG47" s="481"/>
      <c r="CH47" s="484"/>
      <c r="CI47" s="484"/>
      <c r="CJ47" s="481"/>
      <c r="CK47" s="481"/>
      <c r="CL47" s="484"/>
      <c r="CM47" s="484"/>
      <c r="CN47" s="481"/>
      <c r="CO47" s="481"/>
      <c r="CP47" s="484"/>
      <c r="CQ47" s="484"/>
      <c r="CR47" s="481"/>
      <c r="CS47" s="481"/>
      <c r="CT47" s="484"/>
      <c r="CU47" s="484"/>
      <c r="CV47" s="481"/>
      <c r="CW47" s="481"/>
      <c r="CX47" s="484"/>
      <c r="CY47" s="484"/>
      <c r="CZ47" s="481"/>
      <c r="DA47" s="482"/>
    </row>
    <row r="48" spans="1:105" ht="15" thickBot="1" x14ac:dyDescent="0.25">
      <c r="A48" s="238"/>
      <c r="B48" s="483"/>
      <c r="C48" s="480"/>
      <c r="D48" s="473"/>
      <c r="E48" s="473"/>
      <c r="F48" s="480"/>
      <c r="G48" s="480"/>
      <c r="H48" s="473"/>
      <c r="I48" s="473"/>
      <c r="J48" s="480"/>
      <c r="K48" s="480"/>
      <c r="L48" s="473"/>
      <c r="M48" s="473"/>
      <c r="N48" s="480"/>
      <c r="O48" s="480"/>
      <c r="P48" s="473"/>
      <c r="Q48" s="473"/>
      <c r="R48" s="480"/>
      <c r="S48" s="480"/>
      <c r="T48" s="473"/>
      <c r="U48" s="473"/>
      <c r="V48" s="480"/>
      <c r="W48" s="480"/>
      <c r="X48" s="473"/>
      <c r="Y48" s="473"/>
      <c r="Z48" s="480"/>
      <c r="AA48" s="480"/>
      <c r="AB48" s="473"/>
      <c r="AC48" s="473"/>
      <c r="AD48" s="480"/>
      <c r="AE48" s="480"/>
      <c r="AF48" s="473"/>
      <c r="AG48" s="473"/>
      <c r="AH48" s="480"/>
      <c r="AI48" s="480"/>
      <c r="AJ48" s="473"/>
      <c r="AK48" s="473"/>
      <c r="AL48" s="480"/>
      <c r="AM48" s="480"/>
      <c r="AN48" s="473"/>
      <c r="AO48" s="473"/>
      <c r="AP48" s="480"/>
      <c r="AQ48" s="480"/>
      <c r="AR48" s="473"/>
      <c r="AS48" s="473"/>
      <c r="AT48" s="480"/>
      <c r="AU48" s="480"/>
      <c r="AV48" s="473"/>
      <c r="AW48" s="473"/>
      <c r="AX48" s="480"/>
      <c r="AY48" s="480"/>
      <c r="AZ48" s="473"/>
      <c r="BA48" s="473"/>
      <c r="BB48" s="480"/>
      <c r="BC48" s="480"/>
      <c r="BD48" s="473"/>
      <c r="BE48" s="473"/>
      <c r="BF48" s="480"/>
      <c r="BG48" s="480"/>
      <c r="BH48" s="473"/>
      <c r="BI48" s="473"/>
      <c r="BJ48" s="480"/>
      <c r="BK48" s="480"/>
      <c r="BL48" s="473"/>
      <c r="BM48" s="473"/>
      <c r="BN48" s="480"/>
      <c r="BO48" s="480"/>
      <c r="BP48" s="473"/>
      <c r="BQ48" s="473"/>
      <c r="BR48" s="480"/>
      <c r="BS48" s="480"/>
      <c r="BT48" s="473"/>
      <c r="BU48" s="473"/>
      <c r="BV48" s="480"/>
      <c r="BW48" s="480"/>
      <c r="BX48" s="473"/>
      <c r="BY48" s="473"/>
      <c r="BZ48" s="480"/>
      <c r="CA48" s="480"/>
      <c r="CB48" s="473"/>
      <c r="CC48" s="473"/>
      <c r="CD48" s="480"/>
      <c r="CE48" s="480"/>
      <c r="CF48" s="473"/>
      <c r="CG48" s="473"/>
      <c r="CH48" s="480"/>
      <c r="CI48" s="480"/>
      <c r="CJ48" s="473"/>
      <c r="CK48" s="473"/>
      <c r="CL48" s="480"/>
      <c r="CM48" s="480"/>
      <c r="CN48" s="473"/>
      <c r="CO48" s="473"/>
      <c r="CP48" s="480"/>
      <c r="CQ48" s="480"/>
      <c r="CR48" s="473"/>
      <c r="CS48" s="473"/>
      <c r="CT48" s="480"/>
      <c r="CU48" s="480"/>
      <c r="CV48" s="473"/>
      <c r="CW48" s="473"/>
      <c r="CX48" s="480"/>
      <c r="CY48" s="480"/>
      <c r="CZ48" s="473"/>
      <c r="DA48" s="474"/>
    </row>
    <row r="49" spans="7:86" ht="14.25" x14ac:dyDescent="0.2">
      <c r="G49" s="475"/>
      <c r="H49" s="475"/>
      <c r="I49" s="476" t="s">
        <v>511</v>
      </c>
      <c r="J49" s="476"/>
      <c r="K49" s="476"/>
      <c r="L49" s="476"/>
      <c r="M49" s="476"/>
      <c r="N49" s="476"/>
      <c r="O49" s="476"/>
      <c r="P49" s="476"/>
      <c r="Q49" s="476"/>
      <c r="R49" s="476"/>
      <c r="S49" s="477"/>
      <c r="T49" s="477"/>
      <c r="U49" s="476" t="s">
        <v>512</v>
      </c>
      <c r="V49" s="476"/>
      <c r="W49" s="476"/>
      <c r="X49" s="476"/>
      <c r="Y49" s="476"/>
      <c r="Z49" s="476"/>
      <c r="AA49" s="476"/>
      <c r="AB49" s="476"/>
      <c r="AC49" s="476"/>
      <c r="AD49" s="478"/>
      <c r="AE49" s="478"/>
      <c r="AF49" s="476" t="s">
        <v>513</v>
      </c>
      <c r="AG49" s="476"/>
      <c r="AH49" s="476"/>
      <c r="AI49" s="476"/>
      <c r="AJ49" s="476"/>
      <c r="AK49" s="476"/>
      <c r="AL49" s="476"/>
      <c r="AM49" s="476"/>
      <c r="AN49" s="476"/>
      <c r="AO49" s="476"/>
      <c r="AP49" s="479"/>
      <c r="AQ49" s="479"/>
      <c r="AR49" s="476" t="s">
        <v>514</v>
      </c>
      <c r="AS49" s="476"/>
      <c r="AT49" s="476"/>
      <c r="AU49" s="476"/>
      <c r="AV49" s="476"/>
      <c r="AW49" s="476"/>
      <c r="AX49" s="476"/>
      <c r="AY49" s="476"/>
      <c r="AZ49" s="476"/>
      <c r="BA49" s="476"/>
      <c r="BB49" s="476"/>
      <c r="BC49" s="476"/>
      <c r="CH49" t="s">
        <v>401</v>
      </c>
    </row>
  </sheetData>
  <mergeCells count="2471">
    <mergeCell ref="A1:A2"/>
    <mergeCell ref="B1:I1"/>
    <mergeCell ref="J1:Q1"/>
    <mergeCell ref="R1:Z1"/>
    <mergeCell ref="AA1:AI1"/>
    <mergeCell ref="AJ1:AQ1"/>
    <mergeCell ref="T2:U2"/>
    <mergeCell ref="V2:W2"/>
    <mergeCell ref="X2:Y2"/>
    <mergeCell ref="Z2:AA2"/>
    <mergeCell ref="BH2:BI2"/>
    <mergeCell ref="BJ2:BK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CS1:D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R1:AZ1"/>
    <mergeCell ref="BA1:BI1"/>
    <mergeCell ref="BJ1:BR1"/>
    <mergeCell ref="BS1:CA1"/>
    <mergeCell ref="CB1:CI1"/>
    <mergeCell ref="CJ1:CR1"/>
    <mergeCell ref="CV2:CW2"/>
    <mergeCell ref="CX2:CY2"/>
    <mergeCell ref="CZ2:DA2"/>
    <mergeCell ref="B3:C3"/>
    <mergeCell ref="D3:E3"/>
    <mergeCell ref="F3:G3"/>
    <mergeCell ref="H3:I3"/>
    <mergeCell ref="J3:K3"/>
    <mergeCell ref="L3:M3"/>
    <mergeCell ref="N3:O3"/>
    <mergeCell ref="CJ2:CK2"/>
    <mergeCell ref="CL2:CM2"/>
    <mergeCell ref="CN2:CO2"/>
    <mergeCell ref="CP2:CQ2"/>
    <mergeCell ref="CR2:CS2"/>
    <mergeCell ref="CT2:CU2"/>
    <mergeCell ref="BX2:BY2"/>
    <mergeCell ref="BZ2:CA2"/>
    <mergeCell ref="CB2:CC2"/>
    <mergeCell ref="CD2:CE2"/>
    <mergeCell ref="CF2:CG2"/>
    <mergeCell ref="CH2:CI2"/>
    <mergeCell ref="BL2:BM2"/>
    <mergeCell ref="BN2:BO2"/>
    <mergeCell ref="BP2:BQ2"/>
    <mergeCell ref="BR2:BS2"/>
    <mergeCell ref="BT2:BU2"/>
    <mergeCell ref="BV2:BW2"/>
    <mergeCell ref="AZ2:BA2"/>
    <mergeCell ref="BB2:BC2"/>
    <mergeCell ref="BD2:BE2"/>
    <mergeCell ref="BF2:BG2"/>
    <mergeCell ref="BH3:BI3"/>
    <mergeCell ref="BJ3:BK3"/>
    <mergeCell ref="AN3:A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X3:Y3"/>
    <mergeCell ref="Z3:AA3"/>
    <mergeCell ref="CV3:CW3"/>
    <mergeCell ref="CX3:CY3"/>
    <mergeCell ref="CZ3:DA3"/>
    <mergeCell ref="DC3:DD3"/>
    <mergeCell ref="B4:C4"/>
    <mergeCell ref="D4:E4"/>
    <mergeCell ref="F4:G4"/>
    <mergeCell ref="H4:I4"/>
    <mergeCell ref="J4:K4"/>
    <mergeCell ref="L4:M4"/>
    <mergeCell ref="CJ3:CK3"/>
    <mergeCell ref="CL3:CM3"/>
    <mergeCell ref="CN3:CO3"/>
    <mergeCell ref="CP3:CQ3"/>
    <mergeCell ref="CR3:CS3"/>
    <mergeCell ref="CT3:CU3"/>
    <mergeCell ref="BX3:BY3"/>
    <mergeCell ref="BZ3:CA3"/>
    <mergeCell ref="CB3:CC3"/>
    <mergeCell ref="CD3:CE3"/>
    <mergeCell ref="CF3:CG3"/>
    <mergeCell ref="CH3:CI3"/>
    <mergeCell ref="BL3:BM3"/>
    <mergeCell ref="BN3:BO3"/>
    <mergeCell ref="BP3:BQ3"/>
    <mergeCell ref="BR3:BS3"/>
    <mergeCell ref="BT3:BU3"/>
    <mergeCell ref="BV3:BW3"/>
    <mergeCell ref="AZ3:BA3"/>
    <mergeCell ref="BB3:BC3"/>
    <mergeCell ref="BD3:BE3"/>
    <mergeCell ref="BF3:BG3"/>
    <mergeCell ref="BH4:BI4"/>
    <mergeCell ref="BJ4:BK4"/>
    <mergeCell ref="AL4:AM4"/>
    <mergeCell ref="AP4:AQ4"/>
    <mergeCell ref="AR4:AS4"/>
    <mergeCell ref="AT4:AU4"/>
    <mergeCell ref="AV4:AW4"/>
    <mergeCell ref="AX4:AY4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T4:U4"/>
    <mergeCell ref="V4:W4"/>
    <mergeCell ref="X4:Y4"/>
    <mergeCell ref="CV4:CW4"/>
    <mergeCell ref="CX4:CY4"/>
    <mergeCell ref="CZ4:DA4"/>
    <mergeCell ref="DC4:DD4"/>
    <mergeCell ref="B5:C5"/>
    <mergeCell ref="D5:E5"/>
    <mergeCell ref="F5:G5"/>
    <mergeCell ref="H5:I5"/>
    <mergeCell ref="J5:K5"/>
    <mergeCell ref="L5:M5"/>
    <mergeCell ref="CJ4:CK4"/>
    <mergeCell ref="CL4:CM4"/>
    <mergeCell ref="CN4:CO4"/>
    <mergeCell ref="CP4:CQ4"/>
    <mergeCell ref="CR4:CS4"/>
    <mergeCell ref="CT4:CU4"/>
    <mergeCell ref="BX4:BY4"/>
    <mergeCell ref="BZ4:CA4"/>
    <mergeCell ref="CB4:CC4"/>
    <mergeCell ref="CD4:CE4"/>
    <mergeCell ref="CF4:CG4"/>
    <mergeCell ref="CH4:CI4"/>
    <mergeCell ref="BL4:BM4"/>
    <mergeCell ref="BN4:BO4"/>
    <mergeCell ref="BP4:BQ4"/>
    <mergeCell ref="BR4:BS4"/>
    <mergeCell ref="BT4:BU4"/>
    <mergeCell ref="BV4:BW4"/>
    <mergeCell ref="AZ4:BA4"/>
    <mergeCell ref="BB4:BC4"/>
    <mergeCell ref="BD4:BE4"/>
    <mergeCell ref="BF4:BG4"/>
    <mergeCell ref="BF5:BG5"/>
    <mergeCell ref="BH5:BI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CT5:CU5"/>
    <mergeCell ref="CV5:CW5"/>
    <mergeCell ref="CX5:CY5"/>
    <mergeCell ref="CZ5:DA5"/>
    <mergeCell ref="DC5:DD5"/>
    <mergeCell ref="B6:C6"/>
    <mergeCell ref="D6:E6"/>
    <mergeCell ref="F6:G6"/>
    <mergeCell ref="H6:I6"/>
    <mergeCell ref="J6:K6"/>
    <mergeCell ref="CH5:CI5"/>
    <mergeCell ref="CJ5:CK5"/>
    <mergeCell ref="CL5:CM5"/>
    <mergeCell ref="CN5:CO5"/>
    <mergeCell ref="CP5:CQ5"/>
    <mergeCell ref="CR5:CS5"/>
    <mergeCell ref="BV5:BW5"/>
    <mergeCell ref="BX5:BY5"/>
    <mergeCell ref="BZ5:CA5"/>
    <mergeCell ref="CB5:CC5"/>
    <mergeCell ref="CD5:CE5"/>
    <mergeCell ref="CF5:CG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AZ6:BA6"/>
    <mergeCell ref="BB6:BC6"/>
    <mergeCell ref="BD6:BE6"/>
    <mergeCell ref="BF6:BG6"/>
    <mergeCell ref="AJ6:AK6"/>
    <mergeCell ref="AL6:AM6"/>
    <mergeCell ref="AN6:AO6"/>
    <mergeCell ref="AP6:AQ6"/>
    <mergeCell ref="AR6:AS6"/>
    <mergeCell ref="AT6:AU6"/>
    <mergeCell ref="X6:Y6"/>
    <mergeCell ref="Z6:AA6"/>
    <mergeCell ref="AB6:AC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B7:C7"/>
    <mergeCell ref="D7:E7"/>
    <mergeCell ref="F7:G7"/>
    <mergeCell ref="H7:I7"/>
    <mergeCell ref="J7:K7"/>
    <mergeCell ref="L7:M7"/>
    <mergeCell ref="CR6:CS6"/>
    <mergeCell ref="CT6:CU6"/>
    <mergeCell ref="CV6:CW6"/>
    <mergeCell ref="CX6:CY6"/>
    <mergeCell ref="CZ6:DA6"/>
    <mergeCell ref="DC6:DD6"/>
    <mergeCell ref="CF6:CG6"/>
    <mergeCell ref="CH6:CI6"/>
    <mergeCell ref="CJ6:CK6"/>
    <mergeCell ref="CL6:CM6"/>
    <mergeCell ref="CN6:CO6"/>
    <mergeCell ref="CP6:CQ6"/>
    <mergeCell ref="BT6:BU6"/>
    <mergeCell ref="BV6:BW6"/>
    <mergeCell ref="BX6:BY6"/>
    <mergeCell ref="BZ6:CA6"/>
    <mergeCell ref="CB6:CC6"/>
    <mergeCell ref="CD6:CE6"/>
    <mergeCell ref="BH6:BI6"/>
    <mergeCell ref="BJ6:BK6"/>
    <mergeCell ref="BL6:BM6"/>
    <mergeCell ref="BN6:BO6"/>
    <mergeCell ref="BP6:BQ6"/>
    <mergeCell ref="BR6:BS6"/>
    <mergeCell ref="AV6:AW6"/>
    <mergeCell ref="AX6:AY6"/>
    <mergeCell ref="BB7:BC7"/>
    <mergeCell ref="BD7:BE7"/>
    <mergeCell ref="BF7:BG7"/>
    <mergeCell ref="BH7:BI7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8:C8"/>
    <mergeCell ref="D8:E8"/>
    <mergeCell ref="F8:G8"/>
    <mergeCell ref="H8:I8"/>
    <mergeCell ref="J8:K8"/>
    <mergeCell ref="L8:M8"/>
    <mergeCell ref="CT7:CU7"/>
    <mergeCell ref="CV7:CW7"/>
    <mergeCell ref="CX7:CY7"/>
    <mergeCell ref="CZ7:DA7"/>
    <mergeCell ref="DC7:DD7"/>
    <mergeCell ref="DE7:DF7"/>
    <mergeCell ref="CH7:CI7"/>
    <mergeCell ref="CJ7:CK7"/>
    <mergeCell ref="CL7:CM7"/>
    <mergeCell ref="CN7:CO7"/>
    <mergeCell ref="CP7:CQ7"/>
    <mergeCell ref="CR7:CS7"/>
    <mergeCell ref="BV7:BW7"/>
    <mergeCell ref="BX7:BY7"/>
    <mergeCell ref="BZ7:CA7"/>
    <mergeCell ref="CB7:CC7"/>
    <mergeCell ref="CD7:CE7"/>
    <mergeCell ref="CF7:CG7"/>
    <mergeCell ref="BJ7:BK7"/>
    <mergeCell ref="BL7:BM7"/>
    <mergeCell ref="BN7:BO7"/>
    <mergeCell ref="BP7:BQ7"/>
    <mergeCell ref="BR7:BS7"/>
    <mergeCell ref="BT7:BU7"/>
    <mergeCell ref="AX7:AY7"/>
    <mergeCell ref="AZ7:BA7"/>
    <mergeCell ref="BF8:BG8"/>
    <mergeCell ref="BH8:BI8"/>
    <mergeCell ref="AL8:AM8"/>
    <mergeCell ref="AN8:AO8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CT8:CU8"/>
    <mergeCell ref="CV8:CW8"/>
    <mergeCell ref="CX8:CY8"/>
    <mergeCell ref="CZ8:DA8"/>
    <mergeCell ref="DC8:DD8"/>
    <mergeCell ref="B9:C9"/>
    <mergeCell ref="D9:E9"/>
    <mergeCell ref="F9:G9"/>
    <mergeCell ref="H9:I9"/>
    <mergeCell ref="J9:K9"/>
    <mergeCell ref="CH8:CI8"/>
    <mergeCell ref="CJ8:CK8"/>
    <mergeCell ref="CL8:CM8"/>
    <mergeCell ref="CN8:CO8"/>
    <mergeCell ref="CP8:CQ8"/>
    <mergeCell ref="CR8:CS8"/>
    <mergeCell ref="BV8:BW8"/>
    <mergeCell ref="BX8:BY8"/>
    <mergeCell ref="BZ8:CA8"/>
    <mergeCell ref="CB8:CC8"/>
    <mergeCell ref="CD8:CE8"/>
    <mergeCell ref="CF8:CG8"/>
    <mergeCell ref="BJ8:BK8"/>
    <mergeCell ref="BL8:BM8"/>
    <mergeCell ref="BN8:BO8"/>
    <mergeCell ref="BP8:BQ8"/>
    <mergeCell ref="BR8:BS8"/>
    <mergeCell ref="BT8:BU8"/>
    <mergeCell ref="AX8:AY8"/>
    <mergeCell ref="AZ8:BA8"/>
    <mergeCell ref="BB8:BC8"/>
    <mergeCell ref="BD8:BE8"/>
    <mergeCell ref="AZ9:BA9"/>
    <mergeCell ref="BB9:BC9"/>
    <mergeCell ref="BD9:BE9"/>
    <mergeCell ref="BF9:BG9"/>
    <mergeCell ref="AJ9:AK9"/>
    <mergeCell ref="AL9:AM9"/>
    <mergeCell ref="AN9:AO9"/>
    <mergeCell ref="AP9:AQ9"/>
    <mergeCell ref="AR9:AS9"/>
    <mergeCell ref="AT9:AU9"/>
    <mergeCell ref="X9:Y9"/>
    <mergeCell ref="Z9:AA9"/>
    <mergeCell ref="AB9:AC9"/>
    <mergeCell ref="AD9:AE9"/>
    <mergeCell ref="AF9:AG9"/>
    <mergeCell ref="AH9:AI9"/>
    <mergeCell ref="L9:M9"/>
    <mergeCell ref="N9:O9"/>
    <mergeCell ref="P9:Q9"/>
    <mergeCell ref="R9:S9"/>
    <mergeCell ref="T9:U9"/>
    <mergeCell ref="V9:W9"/>
    <mergeCell ref="B10:C10"/>
    <mergeCell ref="D10:E10"/>
    <mergeCell ref="F10:G10"/>
    <mergeCell ref="H10:I10"/>
    <mergeCell ref="J10:K10"/>
    <mergeCell ref="L10:M10"/>
    <mergeCell ref="CR9:CS9"/>
    <mergeCell ref="CT9:CU9"/>
    <mergeCell ref="CV9:CW9"/>
    <mergeCell ref="CX9:CY9"/>
    <mergeCell ref="CZ9:DA9"/>
    <mergeCell ref="DC9:DD9"/>
    <mergeCell ref="CF9:CG9"/>
    <mergeCell ref="CH9:CI9"/>
    <mergeCell ref="CJ9:CK9"/>
    <mergeCell ref="CL9:CM9"/>
    <mergeCell ref="CN9:CO9"/>
    <mergeCell ref="CP9:CQ9"/>
    <mergeCell ref="BT9:BU9"/>
    <mergeCell ref="BV9:BW9"/>
    <mergeCell ref="BX9:BY9"/>
    <mergeCell ref="BZ9:CA9"/>
    <mergeCell ref="CB9:CC9"/>
    <mergeCell ref="CD9:CE9"/>
    <mergeCell ref="BH9:BI9"/>
    <mergeCell ref="BJ9:BK9"/>
    <mergeCell ref="BL9:BM9"/>
    <mergeCell ref="BN9:BO9"/>
    <mergeCell ref="BP9:BQ9"/>
    <mergeCell ref="BR9:BS9"/>
    <mergeCell ref="AV9:AW9"/>
    <mergeCell ref="AX9:AY9"/>
    <mergeCell ref="BF10:BG10"/>
    <mergeCell ref="BH10:BI10"/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N10:O10"/>
    <mergeCell ref="P10:Q10"/>
    <mergeCell ref="R10:S10"/>
    <mergeCell ref="T10:U10"/>
    <mergeCell ref="V10:W10"/>
    <mergeCell ref="X10:Y10"/>
    <mergeCell ref="CT10:CU10"/>
    <mergeCell ref="CV10:CW10"/>
    <mergeCell ref="CX10:CY10"/>
    <mergeCell ref="CZ10:DA10"/>
    <mergeCell ref="B11:C11"/>
    <mergeCell ref="D11:E11"/>
    <mergeCell ref="F11:G11"/>
    <mergeCell ref="H11:I11"/>
    <mergeCell ref="J11:K11"/>
    <mergeCell ref="L11:M11"/>
    <mergeCell ref="CH10:CI10"/>
    <mergeCell ref="CJ10:CK10"/>
    <mergeCell ref="CL10:CM10"/>
    <mergeCell ref="CN10:CO10"/>
    <mergeCell ref="CP10:CQ10"/>
    <mergeCell ref="CR10:CS10"/>
    <mergeCell ref="BV10:BW10"/>
    <mergeCell ref="BX10:BY10"/>
    <mergeCell ref="BZ10:CA10"/>
    <mergeCell ref="CB10:CC10"/>
    <mergeCell ref="CD10:CE10"/>
    <mergeCell ref="CF10:CG10"/>
    <mergeCell ref="BJ10:BK10"/>
    <mergeCell ref="BL10:BM10"/>
    <mergeCell ref="BN10:BO10"/>
    <mergeCell ref="BP10:BQ10"/>
    <mergeCell ref="BR10:BS10"/>
    <mergeCell ref="BT10:BU10"/>
    <mergeCell ref="AX10:AY10"/>
    <mergeCell ref="AZ10:BA10"/>
    <mergeCell ref="BB10:BC10"/>
    <mergeCell ref="BD10:BE10"/>
    <mergeCell ref="BF11:BG11"/>
    <mergeCell ref="BH11:BI11"/>
    <mergeCell ref="AL11:AM11"/>
    <mergeCell ref="AN11:AO11"/>
    <mergeCell ref="AP11:AQ11"/>
    <mergeCell ref="AR11:AS11"/>
    <mergeCell ref="AT11:AU11"/>
    <mergeCell ref="AV11:AW11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CT11:CU11"/>
    <mergeCell ref="CV11:CW11"/>
    <mergeCell ref="CX11:CY11"/>
    <mergeCell ref="CZ11:DA11"/>
    <mergeCell ref="B12:C12"/>
    <mergeCell ref="D12:E12"/>
    <mergeCell ref="F12:G12"/>
    <mergeCell ref="H12:I12"/>
    <mergeCell ref="J12:K12"/>
    <mergeCell ref="L12:M12"/>
    <mergeCell ref="CH11:CI11"/>
    <mergeCell ref="CJ11:CK11"/>
    <mergeCell ref="CL11:CM11"/>
    <mergeCell ref="CN11:CO11"/>
    <mergeCell ref="CP11:CQ11"/>
    <mergeCell ref="CR11:CS11"/>
    <mergeCell ref="BV11:BW11"/>
    <mergeCell ref="BX11:BY11"/>
    <mergeCell ref="BZ11:CA11"/>
    <mergeCell ref="CB11:CC11"/>
    <mergeCell ref="CD11:CE11"/>
    <mergeCell ref="CF11:CG11"/>
    <mergeCell ref="BJ11:BK11"/>
    <mergeCell ref="BL11:BM11"/>
    <mergeCell ref="BN11:BO11"/>
    <mergeCell ref="BP11:BQ11"/>
    <mergeCell ref="BR11:BS11"/>
    <mergeCell ref="BT11:BU11"/>
    <mergeCell ref="AX11:AY11"/>
    <mergeCell ref="AZ11:BA11"/>
    <mergeCell ref="BB11:BC11"/>
    <mergeCell ref="BD11:BE11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CT12:CU12"/>
    <mergeCell ref="CV12:CW12"/>
    <mergeCell ref="CX12:CY12"/>
    <mergeCell ref="CZ12:DA12"/>
    <mergeCell ref="B13:C13"/>
    <mergeCell ref="D13:E13"/>
    <mergeCell ref="F13:G13"/>
    <mergeCell ref="H13:I13"/>
    <mergeCell ref="J13:K13"/>
    <mergeCell ref="L13:M13"/>
    <mergeCell ref="CH12:CI12"/>
    <mergeCell ref="CJ12:CK12"/>
    <mergeCell ref="CL12:CM12"/>
    <mergeCell ref="CN12:CO12"/>
    <mergeCell ref="CP12:CQ12"/>
    <mergeCell ref="CR12:CS12"/>
    <mergeCell ref="BV12:BW12"/>
    <mergeCell ref="BX12:BY12"/>
    <mergeCell ref="BZ12:CA12"/>
    <mergeCell ref="CB12:CC12"/>
    <mergeCell ref="CD12:CE12"/>
    <mergeCell ref="CF12:CG12"/>
    <mergeCell ref="BJ12:BK12"/>
    <mergeCell ref="BL12:BM12"/>
    <mergeCell ref="BN12:BO12"/>
    <mergeCell ref="BP12:BQ12"/>
    <mergeCell ref="BR12:BS12"/>
    <mergeCell ref="BT12:BU12"/>
    <mergeCell ref="AX12:AY12"/>
    <mergeCell ref="AZ12:BA12"/>
    <mergeCell ref="BB12:BC12"/>
    <mergeCell ref="BD12:BE12"/>
    <mergeCell ref="BF13:BG13"/>
    <mergeCell ref="BH13:BI13"/>
    <mergeCell ref="AL13:AM13"/>
    <mergeCell ref="AN13:AO13"/>
    <mergeCell ref="AP13:AQ13"/>
    <mergeCell ref="AR13:AS13"/>
    <mergeCell ref="AT13:AU13"/>
    <mergeCell ref="AV13:AW13"/>
    <mergeCell ref="Z13:AA13"/>
    <mergeCell ref="AB13:AC13"/>
    <mergeCell ref="AD13:AE13"/>
    <mergeCell ref="AF13:AG13"/>
    <mergeCell ref="AH13:AI13"/>
    <mergeCell ref="AJ13:AK13"/>
    <mergeCell ref="N13:O13"/>
    <mergeCell ref="P13:Q13"/>
    <mergeCell ref="R13:S13"/>
    <mergeCell ref="T13:U13"/>
    <mergeCell ref="V13:W13"/>
    <mergeCell ref="X13:Y13"/>
    <mergeCell ref="CT13:CU13"/>
    <mergeCell ref="CV13:CW13"/>
    <mergeCell ref="CX13:CY13"/>
    <mergeCell ref="CZ13:DA13"/>
    <mergeCell ref="B14:C14"/>
    <mergeCell ref="D14:E14"/>
    <mergeCell ref="F14:G14"/>
    <mergeCell ref="H14:I14"/>
    <mergeCell ref="J14:K14"/>
    <mergeCell ref="L14:M14"/>
    <mergeCell ref="CH13:CI13"/>
    <mergeCell ref="CJ13:CK13"/>
    <mergeCell ref="CL13:CM13"/>
    <mergeCell ref="CN13:CO13"/>
    <mergeCell ref="CP13:CQ13"/>
    <mergeCell ref="CR13:CS13"/>
    <mergeCell ref="BV13:BW13"/>
    <mergeCell ref="BX13:BY13"/>
    <mergeCell ref="BZ13:CA13"/>
    <mergeCell ref="CB13:CC13"/>
    <mergeCell ref="CD13:CE13"/>
    <mergeCell ref="CF13:CG13"/>
    <mergeCell ref="BJ13:BK13"/>
    <mergeCell ref="BL13:BM13"/>
    <mergeCell ref="BN13:BO13"/>
    <mergeCell ref="BP13:BQ13"/>
    <mergeCell ref="BR13:BS13"/>
    <mergeCell ref="BT13:BU13"/>
    <mergeCell ref="AX13:AY13"/>
    <mergeCell ref="AZ13:BA13"/>
    <mergeCell ref="BB13:BC13"/>
    <mergeCell ref="BD13:BE13"/>
    <mergeCell ref="BJ14:BK14"/>
    <mergeCell ref="BL14:BM14"/>
    <mergeCell ref="AP14:AQ14"/>
    <mergeCell ref="AR14:AS14"/>
    <mergeCell ref="AT14:AU14"/>
    <mergeCell ref="AX14:AY14"/>
    <mergeCell ref="AZ14:BA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CX14:CY14"/>
    <mergeCell ref="CZ14:DA14"/>
    <mergeCell ref="B15:C15"/>
    <mergeCell ref="D15:E15"/>
    <mergeCell ref="F15:G15"/>
    <mergeCell ref="H15:I15"/>
    <mergeCell ref="J15:K15"/>
    <mergeCell ref="L15:M15"/>
    <mergeCell ref="N15:O15"/>
    <mergeCell ref="P15:Q15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5:BK15"/>
    <mergeCell ref="BL15:BM15"/>
    <mergeCell ref="AP15:AQ15"/>
    <mergeCell ref="AR15:AS15"/>
    <mergeCell ref="AT15:AU15"/>
    <mergeCell ref="AV15:AW15"/>
    <mergeCell ref="AX15:AY15"/>
    <mergeCell ref="AZ15:BA15"/>
    <mergeCell ref="AD15:AE15"/>
    <mergeCell ref="AF15:AG15"/>
    <mergeCell ref="AH15:AI15"/>
    <mergeCell ref="AJ15:AK15"/>
    <mergeCell ref="AL15:AM15"/>
    <mergeCell ref="AN15:AO15"/>
    <mergeCell ref="R15:S15"/>
    <mergeCell ref="T15:U15"/>
    <mergeCell ref="V15:W15"/>
    <mergeCell ref="X15:Y15"/>
    <mergeCell ref="Z15:AA15"/>
    <mergeCell ref="AB15:AC15"/>
    <mergeCell ref="CX15:CY15"/>
    <mergeCell ref="CZ15:DA15"/>
    <mergeCell ref="B16:C16"/>
    <mergeCell ref="D16:E16"/>
    <mergeCell ref="F16:G16"/>
    <mergeCell ref="H16:I16"/>
    <mergeCell ref="J16:K16"/>
    <mergeCell ref="L16:M16"/>
    <mergeCell ref="N16:O16"/>
    <mergeCell ref="P16:Q16"/>
    <mergeCell ref="CL15:CM15"/>
    <mergeCell ref="CN15:CO15"/>
    <mergeCell ref="CP15:CQ15"/>
    <mergeCell ref="CR15:CS15"/>
    <mergeCell ref="CT15:CU15"/>
    <mergeCell ref="CV15:CW15"/>
    <mergeCell ref="BZ15:CA15"/>
    <mergeCell ref="CB15:CC15"/>
    <mergeCell ref="CD15:CE15"/>
    <mergeCell ref="CF15:CG15"/>
    <mergeCell ref="CH15:CI15"/>
    <mergeCell ref="CJ15:CK15"/>
    <mergeCell ref="BN15:BO15"/>
    <mergeCell ref="BP15:BQ15"/>
    <mergeCell ref="BR15:BS15"/>
    <mergeCell ref="BT15:BU15"/>
    <mergeCell ref="BV15:BW15"/>
    <mergeCell ref="BX15:BY15"/>
    <mergeCell ref="BB15:BC15"/>
    <mergeCell ref="BD15:BE15"/>
    <mergeCell ref="BF15:BG15"/>
    <mergeCell ref="BH15:BI15"/>
    <mergeCell ref="BJ16:BK16"/>
    <mergeCell ref="BL16:BM16"/>
    <mergeCell ref="AP16:AQ16"/>
    <mergeCell ref="AR16:AS16"/>
    <mergeCell ref="AT16:AU16"/>
    <mergeCell ref="AV16:AW16"/>
    <mergeCell ref="AX16:AY16"/>
    <mergeCell ref="AZ16:BA16"/>
    <mergeCell ref="AD16:AE16"/>
    <mergeCell ref="AF16:AG16"/>
    <mergeCell ref="AH16:AI16"/>
    <mergeCell ref="AJ16:AK16"/>
    <mergeCell ref="AL16:AM16"/>
    <mergeCell ref="AN16:AO16"/>
    <mergeCell ref="R16:S16"/>
    <mergeCell ref="T16:U16"/>
    <mergeCell ref="V16:W16"/>
    <mergeCell ref="X16:Y16"/>
    <mergeCell ref="Z16:AA16"/>
    <mergeCell ref="AB16:AC16"/>
    <mergeCell ref="CX16:CY16"/>
    <mergeCell ref="CZ16:DA16"/>
    <mergeCell ref="B17:C17"/>
    <mergeCell ref="D17:E17"/>
    <mergeCell ref="F17:G17"/>
    <mergeCell ref="H17:I17"/>
    <mergeCell ref="J17:K17"/>
    <mergeCell ref="L17:M17"/>
    <mergeCell ref="N17:O17"/>
    <mergeCell ref="P17:Q17"/>
    <mergeCell ref="CL16:CM16"/>
    <mergeCell ref="CN16:CO16"/>
    <mergeCell ref="CP16:CQ16"/>
    <mergeCell ref="CR16:CS16"/>
    <mergeCell ref="CT16:CU16"/>
    <mergeCell ref="CV16:CW16"/>
    <mergeCell ref="BZ16:CA16"/>
    <mergeCell ref="CB16:CC16"/>
    <mergeCell ref="CD16:CE16"/>
    <mergeCell ref="CF16:CG16"/>
    <mergeCell ref="CH16:CI16"/>
    <mergeCell ref="CJ16:CK16"/>
    <mergeCell ref="BN16:BO16"/>
    <mergeCell ref="BP16:BQ16"/>
    <mergeCell ref="BR16:BS16"/>
    <mergeCell ref="BT16:BU16"/>
    <mergeCell ref="BV16:BW16"/>
    <mergeCell ref="BX16:BY16"/>
    <mergeCell ref="BB16:BC16"/>
    <mergeCell ref="BD16:BE16"/>
    <mergeCell ref="BF16:BG16"/>
    <mergeCell ref="BH16:BI16"/>
    <mergeCell ref="BJ17:BK17"/>
    <mergeCell ref="BL17:BM17"/>
    <mergeCell ref="AP17:AQ17"/>
    <mergeCell ref="AR17:AS17"/>
    <mergeCell ref="AT17:AU17"/>
    <mergeCell ref="AV17:AW17"/>
    <mergeCell ref="AX17:AY17"/>
    <mergeCell ref="AZ17:BA17"/>
    <mergeCell ref="AD17:AE17"/>
    <mergeCell ref="AF17:AG17"/>
    <mergeCell ref="AH17:AI17"/>
    <mergeCell ref="AJ17:AK17"/>
    <mergeCell ref="AL17:AM17"/>
    <mergeCell ref="AN17:AO17"/>
    <mergeCell ref="R17:S17"/>
    <mergeCell ref="T17:U17"/>
    <mergeCell ref="V17:W17"/>
    <mergeCell ref="X17:Y17"/>
    <mergeCell ref="Z17:AA17"/>
    <mergeCell ref="AB17:AC17"/>
    <mergeCell ref="CX17:CY17"/>
    <mergeCell ref="CZ17:DA17"/>
    <mergeCell ref="B18:C18"/>
    <mergeCell ref="D18:E18"/>
    <mergeCell ref="F18:G18"/>
    <mergeCell ref="H18:I18"/>
    <mergeCell ref="J18:K18"/>
    <mergeCell ref="L18:M18"/>
    <mergeCell ref="N18:O18"/>
    <mergeCell ref="P18:Q18"/>
    <mergeCell ref="CL17:CM17"/>
    <mergeCell ref="CN17:CO17"/>
    <mergeCell ref="CP17:CQ17"/>
    <mergeCell ref="CR17:CS17"/>
    <mergeCell ref="CT17:CU17"/>
    <mergeCell ref="CV17:CW17"/>
    <mergeCell ref="BZ17:CA17"/>
    <mergeCell ref="CB17:CC17"/>
    <mergeCell ref="CD17:CE17"/>
    <mergeCell ref="CF17:CG17"/>
    <mergeCell ref="CH17:CI17"/>
    <mergeCell ref="CJ17:CK17"/>
    <mergeCell ref="BN17:BO17"/>
    <mergeCell ref="BP17:BQ17"/>
    <mergeCell ref="BR17:BS17"/>
    <mergeCell ref="BT17:BU17"/>
    <mergeCell ref="BV17:BW17"/>
    <mergeCell ref="BX17:BY17"/>
    <mergeCell ref="BB17:BC17"/>
    <mergeCell ref="BD17:BE17"/>
    <mergeCell ref="BF17:BG17"/>
    <mergeCell ref="BH17:BI17"/>
    <mergeCell ref="BL18:BM18"/>
    <mergeCell ref="BN18:BO18"/>
    <mergeCell ref="AR18:AS18"/>
    <mergeCell ref="AT18:AU18"/>
    <mergeCell ref="AV18:AW18"/>
    <mergeCell ref="AX18:AY18"/>
    <mergeCell ref="AZ18:BA18"/>
    <mergeCell ref="BB18:BC18"/>
    <mergeCell ref="AD18:AE18"/>
    <mergeCell ref="AF18:AG18"/>
    <mergeCell ref="AH18:AI18"/>
    <mergeCell ref="AJ18:AK18"/>
    <mergeCell ref="AL18:AM18"/>
    <mergeCell ref="AP18:AQ18"/>
    <mergeCell ref="R18:S18"/>
    <mergeCell ref="T18:U18"/>
    <mergeCell ref="V18:W18"/>
    <mergeCell ref="X18:Y18"/>
    <mergeCell ref="Z18:AA18"/>
    <mergeCell ref="AB18:AC18"/>
    <mergeCell ref="CZ18:DA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CN18:CO18"/>
    <mergeCell ref="CP18:CQ18"/>
    <mergeCell ref="CR18:CS18"/>
    <mergeCell ref="CT18:CU18"/>
    <mergeCell ref="CV18:CW18"/>
    <mergeCell ref="CX18:CY18"/>
    <mergeCell ref="CB18:CC18"/>
    <mergeCell ref="CD18:CE18"/>
    <mergeCell ref="CF18:CG18"/>
    <mergeCell ref="CH18:CI18"/>
    <mergeCell ref="CJ18:CK18"/>
    <mergeCell ref="CL18:CM18"/>
    <mergeCell ref="BP18:BQ18"/>
    <mergeCell ref="BR18:BS18"/>
    <mergeCell ref="BT18:BU18"/>
    <mergeCell ref="BV18:BW18"/>
    <mergeCell ref="BX18:BY18"/>
    <mergeCell ref="BZ18:CA18"/>
    <mergeCell ref="BD18:BE18"/>
    <mergeCell ref="BF18:BG18"/>
    <mergeCell ref="BH18:BI18"/>
    <mergeCell ref="BJ18:BK18"/>
    <mergeCell ref="BL19:BM19"/>
    <mergeCell ref="BN19:BO19"/>
    <mergeCell ref="AR19:AS19"/>
    <mergeCell ref="AT19:AU19"/>
    <mergeCell ref="AV19:AW19"/>
    <mergeCell ref="AX19:AY19"/>
    <mergeCell ref="AZ19:BA19"/>
    <mergeCell ref="BB19:BC19"/>
    <mergeCell ref="AF19:AG19"/>
    <mergeCell ref="AH19:AI19"/>
    <mergeCell ref="AJ19:AK19"/>
    <mergeCell ref="AL19:AM19"/>
    <mergeCell ref="AN19:AO19"/>
    <mergeCell ref="AP19:AQ19"/>
    <mergeCell ref="T19:U19"/>
    <mergeCell ref="V19:W19"/>
    <mergeCell ref="X19:Y19"/>
    <mergeCell ref="Z19:AA19"/>
    <mergeCell ref="AB19:AC19"/>
    <mergeCell ref="AD19:AE19"/>
    <mergeCell ref="CZ19:DA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CN19:CO19"/>
    <mergeCell ref="CP19:CQ19"/>
    <mergeCell ref="CR19:CS19"/>
    <mergeCell ref="CT19:CU19"/>
    <mergeCell ref="CV19:CW19"/>
    <mergeCell ref="CX19:CY19"/>
    <mergeCell ref="CB19:CC19"/>
    <mergeCell ref="CD19:CE19"/>
    <mergeCell ref="CF19:CG19"/>
    <mergeCell ref="CH19:CI19"/>
    <mergeCell ref="CJ19:CK19"/>
    <mergeCell ref="CL19:CM19"/>
    <mergeCell ref="BP19:BQ19"/>
    <mergeCell ref="BR19:BS19"/>
    <mergeCell ref="BT19:BU19"/>
    <mergeCell ref="BV19:BW19"/>
    <mergeCell ref="BX19:BY19"/>
    <mergeCell ref="BZ19:CA19"/>
    <mergeCell ref="BD19:BE19"/>
    <mergeCell ref="BF19:BG19"/>
    <mergeCell ref="BH19:BI19"/>
    <mergeCell ref="BJ19:BK19"/>
    <mergeCell ref="BL20:BM20"/>
    <mergeCell ref="BN20:BO20"/>
    <mergeCell ref="AR20:AS20"/>
    <mergeCell ref="AT20:AU20"/>
    <mergeCell ref="AV20:AW20"/>
    <mergeCell ref="AX20:AY20"/>
    <mergeCell ref="AZ20:BA20"/>
    <mergeCell ref="BB20:BC20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CZ20:DA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CN20:CO20"/>
    <mergeCell ref="CP20:CQ20"/>
    <mergeCell ref="CR20:CS20"/>
    <mergeCell ref="CT20:CU20"/>
    <mergeCell ref="CV20:CW20"/>
    <mergeCell ref="CX20:CY20"/>
    <mergeCell ref="CB20:CC20"/>
    <mergeCell ref="CD20:CE20"/>
    <mergeCell ref="CF20:CG20"/>
    <mergeCell ref="CH20:CI20"/>
    <mergeCell ref="CJ20:CK20"/>
    <mergeCell ref="CL20:CM20"/>
    <mergeCell ref="BP20:BQ20"/>
    <mergeCell ref="BR20:BS20"/>
    <mergeCell ref="BT20:BU20"/>
    <mergeCell ref="BV20:BW20"/>
    <mergeCell ref="BX20:BY20"/>
    <mergeCell ref="BZ20:CA20"/>
    <mergeCell ref="BD20:BE20"/>
    <mergeCell ref="BF20:BG20"/>
    <mergeCell ref="BH20:BI20"/>
    <mergeCell ref="BJ20:BK20"/>
    <mergeCell ref="BL21:BM21"/>
    <mergeCell ref="BN21:BO21"/>
    <mergeCell ref="AR21:AS21"/>
    <mergeCell ref="AT21:AU21"/>
    <mergeCell ref="AV21:AW21"/>
    <mergeCell ref="AX21:AY21"/>
    <mergeCell ref="AZ21:BA21"/>
    <mergeCell ref="BB21:BC21"/>
    <mergeCell ref="AF21:AG21"/>
    <mergeCell ref="AH21:AI21"/>
    <mergeCell ref="AJ21:AK21"/>
    <mergeCell ref="AL21:AM21"/>
    <mergeCell ref="AN21:AO21"/>
    <mergeCell ref="AP21:AQ21"/>
    <mergeCell ref="T21:U21"/>
    <mergeCell ref="V21:W21"/>
    <mergeCell ref="X21:Y21"/>
    <mergeCell ref="Z21:AA21"/>
    <mergeCell ref="AB21:AC21"/>
    <mergeCell ref="AD21:AE21"/>
    <mergeCell ref="CZ21:DA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CN21:CO21"/>
    <mergeCell ref="CP21:CQ21"/>
    <mergeCell ref="CR21:CS21"/>
    <mergeCell ref="CT21:CU21"/>
    <mergeCell ref="CV21:CW21"/>
    <mergeCell ref="CX21:CY21"/>
    <mergeCell ref="CB21:CC21"/>
    <mergeCell ref="CD21:CE21"/>
    <mergeCell ref="CF21:CG21"/>
    <mergeCell ref="CH21:CI21"/>
    <mergeCell ref="CJ21:CK21"/>
    <mergeCell ref="CL21:CM21"/>
    <mergeCell ref="BP21:BQ21"/>
    <mergeCell ref="BR21:BS21"/>
    <mergeCell ref="BT21:BU21"/>
    <mergeCell ref="BV21:BW21"/>
    <mergeCell ref="BX21:BY21"/>
    <mergeCell ref="BZ21:CA21"/>
    <mergeCell ref="BD21:BE21"/>
    <mergeCell ref="BF21:BG21"/>
    <mergeCell ref="BH21:BI21"/>
    <mergeCell ref="BJ21:BK21"/>
    <mergeCell ref="BL22:BM22"/>
    <mergeCell ref="BN22:BO22"/>
    <mergeCell ref="AR22:AS22"/>
    <mergeCell ref="AT22:AU22"/>
    <mergeCell ref="AV22:AW22"/>
    <mergeCell ref="AX22:AY22"/>
    <mergeCell ref="AZ22:BA22"/>
    <mergeCell ref="BB22:BC22"/>
    <mergeCell ref="AF22:AG22"/>
    <mergeCell ref="AH22:AI22"/>
    <mergeCell ref="AJ22:AK22"/>
    <mergeCell ref="AL22:AM22"/>
    <mergeCell ref="AN22:AO22"/>
    <mergeCell ref="AP22:AQ22"/>
    <mergeCell ref="T22:U22"/>
    <mergeCell ref="V22:W22"/>
    <mergeCell ref="X22:Y22"/>
    <mergeCell ref="Z22:AA22"/>
    <mergeCell ref="AB22:AC22"/>
    <mergeCell ref="AD22:AE22"/>
    <mergeCell ref="CZ22:DA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CN22:CO22"/>
    <mergeCell ref="CP22:CQ22"/>
    <mergeCell ref="CR22:CS22"/>
    <mergeCell ref="CT22:CU22"/>
    <mergeCell ref="CV22:CW22"/>
    <mergeCell ref="CX22:CY22"/>
    <mergeCell ref="CB22:CC22"/>
    <mergeCell ref="CD22:CE22"/>
    <mergeCell ref="CF22:CG22"/>
    <mergeCell ref="CH22:CI22"/>
    <mergeCell ref="CJ22:CK22"/>
    <mergeCell ref="CL22:CM22"/>
    <mergeCell ref="BP22:BQ22"/>
    <mergeCell ref="BR22:BS22"/>
    <mergeCell ref="BT22:BU22"/>
    <mergeCell ref="BV22:BW22"/>
    <mergeCell ref="BX22:BY22"/>
    <mergeCell ref="BZ22:CA22"/>
    <mergeCell ref="BD22:BE22"/>
    <mergeCell ref="BF22:BG22"/>
    <mergeCell ref="BH22:BI22"/>
    <mergeCell ref="BJ22:BK22"/>
    <mergeCell ref="BL23:BM23"/>
    <mergeCell ref="BN23:BO23"/>
    <mergeCell ref="AR23:AS23"/>
    <mergeCell ref="AT23:AU23"/>
    <mergeCell ref="AV23:AW23"/>
    <mergeCell ref="AX23:AY23"/>
    <mergeCell ref="AZ23:BA23"/>
    <mergeCell ref="BB23:BC23"/>
    <mergeCell ref="AF23:AG23"/>
    <mergeCell ref="AH23:AI23"/>
    <mergeCell ref="AJ23:AK23"/>
    <mergeCell ref="AL23:AM23"/>
    <mergeCell ref="AN23:AO23"/>
    <mergeCell ref="AP23:AQ23"/>
    <mergeCell ref="T23:U23"/>
    <mergeCell ref="V23:W23"/>
    <mergeCell ref="X23:Y23"/>
    <mergeCell ref="Z23:AA23"/>
    <mergeCell ref="AB23:AC23"/>
    <mergeCell ref="AD23:AE23"/>
    <mergeCell ref="CZ23:DA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CN23:CO23"/>
    <mergeCell ref="CP23:CQ23"/>
    <mergeCell ref="CR23:CS23"/>
    <mergeCell ref="CT23:CU23"/>
    <mergeCell ref="CV23:CW23"/>
    <mergeCell ref="CX23:CY23"/>
    <mergeCell ref="CB23:CC23"/>
    <mergeCell ref="CD23:CE23"/>
    <mergeCell ref="CF23:CG23"/>
    <mergeCell ref="CH23:CI23"/>
    <mergeCell ref="CJ23:CK23"/>
    <mergeCell ref="CL23:CM23"/>
    <mergeCell ref="BP23:BQ23"/>
    <mergeCell ref="BR23:BS23"/>
    <mergeCell ref="BT23:BU23"/>
    <mergeCell ref="BV23:BW23"/>
    <mergeCell ref="BX23:BY23"/>
    <mergeCell ref="BZ23:CA23"/>
    <mergeCell ref="BD23:BE23"/>
    <mergeCell ref="BF23:BG23"/>
    <mergeCell ref="BH23:BI23"/>
    <mergeCell ref="BJ23:BK23"/>
    <mergeCell ref="BL24:BM24"/>
    <mergeCell ref="BN24:BO24"/>
    <mergeCell ref="AR24:AS24"/>
    <mergeCell ref="AT24:AU24"/>
    <mergeCell ref="AV24:AW24"/>
    <mergeCell ref="AX24:AY24"/>
    <mergeCell ref="AZ24:BA24"/>
    <mergeCell ref="BB24:BC24"/>
    <mergeCell ref="AF24:AG24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CZ24:DA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CN24:CO24"/>
    <mergeCell ref="CP24:CQ24"/>
    <mergeCell ref="CR24:CS24"/>
    <mergeCell ref="CT24:CU24"/>
    <mergeCell ref="CV24:CW24"/>
    <mergeCell ref="CX24:CY24"/>
    <mergeCell ref="CB24:CC24"/>
    <mergeCell ref="CD24:CE24"/>
    <mergeCell ref="CF24:CG24"/>
    <mergeCell ref="CH24:CI24"/>
    <mergeCell ref="CJ24:CK24"/>
    <mergeCell ref="CL24:CM24"/>
    <mergeCell ref="BP24:BQ24"/>
    <mergeCell ref="BR24:BS24"/>
    <mergeCell ref="BT24:BU24"/>
    <mergeCell ref="BV24:BW24"/>
    <mergeCell ref="BX24:BY24"/>
    <mergeCell ref="BZ24:CA24"/>
    <mergeCell ref="BD24:BE24"/>
    <mergeCell ref="BF24:BG24"/>
    <mergeCell ref="BH24:BI24"/>
    <mergeCell ref="BJ24:BK24"/>
    <mergeCell ref="BL25:BM25"/>
    <mergeCell ref="BN25:BO25"/>
    <mergeCell ref="AR25:AS25"/>
    <mergeCell ref="AT25:AU25"/>
    <mergeCell ref="AV25:AW25"/>
    <mergeCell ref="AX25:AY25"/>
    <mergeCell ref="AZ25:BA25"/>
    <mergeCell ref="BB25:BC25"/>
    <mergeCell ref="AF25:AG25"/>
    <mergeCell ref="AH25:AI25"/>
    <mergeCell ref="AJ25:AK25"/>
    <mergeCell ref="AL25:AM25"/>
    <mergeCell ref="AN25:AO25"/>
    <mergeCell ref="AP25:AQ25"/>
    <mergeCell ref="T25:U25"/>
    <mergeCell ref="V25:W25"/>
    <mergeCell ref="X25:Y25"/>
    <mergeCell ref="Z25:AA25"/>
    <mergeCell ref="AB25:AC25"/>
    <mergeCell ref="AD25:AE25"/>
    <mergeCell ref="CZ25:DA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CN25:CO25"/>
    <mergeCell ref="CP25:CQ25"/>
    <mergeCell ref="CR25:CS25"/>
    <mergeCell ref="CT25:CU25"/>
    <mergeCell ref="CV25:CW25"/>
    <mergeCell ref="CX25:CY25"/>
    <mergeCell ref="CB25:CC25"/>
    <mergeCell ref="CD25:CE25"/>
    <mergeCell ref="CF25:CG25"/>
    <mergeCell ref="CH25:CI25"/>
    <mergeCell ref="CJ25:CK25"/>
    <mergeCell ref="CL25:CM25"/>
    <mergeCell ref="BP25:BQ25"/>
    <mergeCell ref="BR25:BS25"/>
    <mergeCell ref="BT25:BU25"/>
    <mergeCell ref="BV25:BW25"/>
    <mergeCell ref="BX25:BY25"/>
    <mergeCell ref="BZ25:CA25"/>
    <mergeCell ref="BD25:BE25"/>
    <mergeCell ref="BF25:BG25"/>
    <mergeCell ref="BH25:BI25"/>
    <mergeCell ref="BJ25:BK25"/>
    <mergeCell ref="BL26:BM26"/>
    <mergeCell ref="BN26:BO26"/>
    <mergeCell ref="AR26:AS26"/>
    <mergeCell ref="AT26:AU26"/>
    <mergeCell ref="AV26:AW26"/>
    <mergeCell ref="AX26:AY26"/>
    <mergeCell ref="AZ26:BA26"/>
    <mergeCell ref="BB26:BC26"/>
    <mergeCell ref="AF26:AG26"/>
    <mergeCell ref="AH26:AI26"/>
    <mergeCell ref="AJ26:AK26"/>
    <mergeCell ref="AL26:AM26"/>
    <mergeCell ref="AN26:AO26"/>
    <mergeCell ref="AP26:AQ26"/>
    <mergeCell ref="T26:U26"/>
    <mergeCell ref="V26:W26"/>
    <mergeCell ref="X26:Y26"/>
    <mergeCell ref="Z26:AA26"/>
    <mergeCell ref="AB26:AC26"/>
    <mergeCell ref="AD26:AE26"/>
    <mergeCell ref="CZ26:DA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CN26:CO26"/>
    <mergeCell ref="CP26:CQ26"/>
    <mergeCell ref="CR26:CS26"/>
    <mergeCell ref="CT26:CU26"/>
    <mergeCell ref="CV26:CW26"/>
    <mergeCell ref="CX26:CY26"/>
    <mergeCell ref="CB26:CC26"/>
    <mergeCell ref="CD26:CE26"/>
    <mergeCell ref="CF26:CG26"/>
    <mergeCell ref="CH26:CI26"/>
    <mergeCell ref="CJ26:CK26"/>
    <mergeCell ref="CL26:CM26"/>
    <mergeCell ref="BP26:BQ26"/>
    <mergeCell ref="BR26:BS26"/>
    <mergeCell ref="BT26:BU26"/>
    <mergeCell ref="BV26:BW26"/>
    <mergeCell ref="BX26:BY26"/>
    <mergeCell ref="BZ26:CA26"/>
    <mergeCell ref="BD26:BE26"/>
    <mergeCell ref="BF26:BG26"/>
    <mergeCell ref="BH26:BI26"/>
    <mergeCell ref="BJ26:BK26"/>
    <mergeCell ref="BL27:BM27"/>
    <mergeCell ref="BN27:BO27"/>
    <mergeCell ref="AR27:AS27"/>
    <mergeCell ref="AT27:AU27"/>
    <mergeCell ref="AV27:AW27"/>
    <mergeCell ref="AX27:AY27"/>
    <mergeCell ref="AZ27:BA27"/>
    <mergeCell ref="BB27:BC27"/>
    <mergeCell ref="AF27:AG27"/>
    <mergeCell ref="AH27:AI27"/>
    <mergeCell ref="AJ27:AK27"/>
    <mergeCell ref="AL27:AM27"/>
    <mergeCell ref="AN27:AO27"/>
    <mergeCell ref="AP27:AQ27"/>
    <mergeCell ref="T27:U27"/>
    <mergeCell ref="V27:W27"/>
    <mergeCell ref="X27:Y27"/>
    <mergeCell ref="Z27:AA27"/>
    <mergeCell ref="AB27:AC27"/>
    <mergeCell ref="AD27:AE27"/>
    <mergeCell ref="CZ27:DA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CN27:CO27"/>
    <mergeCell ref="CP27:CQ27"/>
    <mergeCell ref="CR27:CS27"/>
    <mergeCell ref="CT27:CU27"/>
    <mergeCell ref="CV27:CW27"/>
    <mergeCell ref="CX27:CY27"/>
    <mergeCell ref="CB27:CC27"/>
    <mergeCell ref="CD27:CE27"/>
    <mergeCell ref="CF27:CG27"/>
    <mergeCell ref="CH27:CI27"/>
    <mergeCell ref="CJ27:CK27"/>
    <mergeCell ref="CL27:CM27"/>
    <mergeCell ref="BP27:BQ27"/>
    <mergeCell ref="BR27:BS27"/>
    <mergeCell ref="BT27:BU27"/>
    <mergeCell ref="BV27:BW27"/>
    <mergeCell ref="BX27:BY27"/>
    <mergeCell ref="BZ27:CA27"/>
    <mergeCell ref="BD27:BE27"/>
    <mergeCell ref="BF27:BG27"/>
    <mergeCell ref="BH27:BI27"/>
    <mergeCell ref="BJ27:BK27"/>
    <mergeCell ref="BL28:BM28"/>
    <mergeCell ref="BN28:BO28"/>
    <mergeCell ref="AR28:AS28"/>
    <mergeCell ref="AT28:AU28"/>
    <mergeCell ref="AV28:AW28"/>
    <mergeCell ref="AX28:AY28"/>
    <mergeCell ref="AZ28:BA28"/>
    <mergeCell ref="BB28:BC28"/>
    <mergeCell ref="AF28:AG28"/>
    <mergeCell ref="AH28:AI28"/>
    <mergeCell ref="AJ28:AK28"/>
    <mergeCell ref="AL28:AM28"/>
    <mergeCell ref="AN28:AO28"/>
    <mergeCell ref="AP28:AQ28"/>
    <mergeCell ref="T28:U28"/>
    <mergeCell ref="V28:W28"/>
    <mergeCell ref="X28:Y28"/>
    <mergeCell ref="Z28:AA28"/>
    <mergeCell ref="AB28:AC28"/>
    <mergeCell ref="AD28:AE28"/>
    <mergeCell ref="CZ28:DA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CN28:CO28"/>
    <mergeCell ref="CP28:CQ28"/>
    <mergeCell ref="CR28:CS28"/>
    <mergeCell ref="CT28:CU28"/>
    <mergeCell ref="CV28:CW28"/>
    <mergeCell ref="CX28:CY28"/>
    <mergeCell ref="CB28:CC28"/>
    <mergeCell ref="CD28:CE28"/>
    <mergeCell ref="CF28:CG28"/>
    <mergeCell ref="CH28:CI28"/>
    <mergeCell ref="CJ28:CK28"/>
    <mergeCell ref="CL28:CM28"/>
    <mergeCell ref="BP28:BQ28"/>
    <mergeCell ref="BR28:BS28"/>
    <mergeCell ref="BT28:BU28"/>
    <mergeCell ref="BV28:BW28"/>
    <mergeCell ref="BX28:BY28"/>
    <mergeCell ref="BZ28:CA28"/>
    <mergeCell ref="BD28:BE28"/>
    <mergeCell ref="BF28:BG28"/>
    <mergeCell ref="BH28:BI28"/>
    <mergeCell ref="BJ28:BK28"/>
    <mergeCell ref="BL29:BM29"/>
    <mergeCell ref="BN29:BO29"/>
    <mergeCell ref="AR29:AS29"/>
    <mergeCell ref="AT29:AU29"/>
    <mergeCell ref="AV29:AW29"/>
    <mergeCell ref="AX29:AY29"/>
    <mergeCell ref="AZ29:BA29"/>
    <mergeCell ref="BB29:BC29"/>
    <mergeCell ref="AF29:AG29"/>
    <mergeCell ref="AH29:AI29"/>
    <mergeCell ref="AJ29:AK29"/>
    <mergeCell ref="AL29:AM29"/>
    <mergeCell ref="AN29:AO29"/>
    <mergeCell ref="AP29:AQ29"/>
    <mergeCell ref="T29:U29"/>
    <mergeCell ref="V29:W29"/>
    <mergeCell ref="X29:Y29"/>
    <mergeCell ref="Z29:AA29"/>
    <mergeCell ref="AB29:AC29"/>
    <mergeCell ref="AD29:AE29"/>
    <mergeCell ref="CZ29:DA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CN29:CO29"/>
    <mergeCell ref="CP29:CQ29"/>
    <mergeCell ref="CR29:CS29"/>
    <mergeCell ref="CT29:CU29"/>
    <mergeCell ref="CV29:CW29"/>
    <mergeCell ref="CX29:CY29"/>
    <mergeCell ref="CB29:CC29"/>
    <mergeCell ref="CD29:CE29"/>
    <mergeCell ref="CF29:CG29"/>
    <mergeCell ref="CH29:CI29"/>
    <mergeCell ref="CJ29:CK29"/>
    <mergeCell ref="CL29:CM29"/>
    <mergeCell ref="BP29:BQ29"/>
    <mergeCell ref="BR29:BS29"/>
    <mergeCell ref="BT29:BU29"/>
    <mergeCell ref="BV29:BW29"/>
    <mergeCell ref="BX29:BY29"/>
    <mergeCell ref="BZ29:CA29"/>
    <mergeCell ref="BD29:BE29"/>
    <mergeCell ref="BF29:BG29"/>
    <mergeCell ref="BH29:BI29"/>
    <mergeCell ref="BJ29:BK29"/>
    <mergeCell ref="BL30:BM30"/>
    <mergeCell ref="BN30:BO30"/>
    <mergeCell ref="AR30:AS30"/>
    <mergeCell ref="AT30:AU30"/>
    <mergeCell ref="AV30:AW30"/>
    <mergeCell ref="AX30:AY30"/>
    <mergeCell ref="AZ30:BA30"/>
    <mergeCell ref="BB30:BC30"/>
    <mergeCell ref="AF30:AG30"/>
    <mergeCell ref="AH30:AI30"/>
    <mergeCell ref="AJ30:AK30"/>
    <mergeCell ref="AL30:AM30"/>
    <mergeCell ref="AN30:AO30"/>
    <mergeCell ref="AP30:AQ30"/>
    <mergeCell ref="T30:U30"/>
    <mergeCell ref="V30:W30"/>
    <mergeCell ref="X30:Y30"/>
    <mergeCell ref="Z30:AA30"/>
    <mergeCell ref="AB30:AC30"/>
    <mergeCell ref="AD30:AE30"/>
    <mergeCell ref="CZ30:DA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CN30:CO30"/>
    <mergeCell ref="CP30:CQ30"/>
    <mergeCell ref="CR30:CS30"/>
    <mergeCell ref="CT30:CU30"/>
    <mergeCell ref="CV30:CW30"/>
    <mergeCell ref="CX30:CY30"/>
    <mergeCell ref="CB30:CC30"/>
    <mergeCell ref="CD30:CE30"/>
    <mergeCell ref="CF30:CG30"/>
    <mergeCell ref="CH30:CI30"/>
    <mergeCell ref="CJ30:CK30"/>
    <mergeCell ref="CL30:CM30"/>
    <mergeCell ref="BP30:BQ30"/>
    <mergeCell ref="BR30:BS30"/>
    <mergeCell ref="BT30:BU30"/>
    <mergeCell ref="BV30:BW30"/>
    <mergeCell ref="BX30:BY30"/>
    <mergeCell ref="BZ30:CA30"/>
    <mergeCell ref="BD30:BE30"/>
    <mergeCell ref="BF30:BG30"/>
    <mergeCell ref="BH30:BI30"/>
    <mergeCell ref="BJ30:BK30"/>
    <mergeCell ref="BL31:BM31"/>
    <mergeCell ref="BN31:BO31"/>
    <mergeCell ref="AR31:AS31"/>
    <mergeCell ref="AT31:AU31"/>
    <mergeCell ref="AV31:AW31"/>
    <mergeCell ref="AX31:AY31"/>
    <mergeCell ref="AZ31:BA31"/>
    <mergeCell ref="BB31:BC31"/>
    <mergeCell ref="AF31:AG31"/>
    <mergeCell ref="AH31:AI31"/>
    <mergeCell ref="AJ31:AK31"/>
    <mergeCell ref="AL31:AM31"/>
    <mergeCell ref="AN31:AO31"/>
    <mergeCell ref="AP31:AQ31"/>
    <mergeCell ref="T31:U31"/>
    <mergeCell ref="V31:W31"/>
    <mergeCell ref="X31:Y31"/>
    <mergeCell ref="Z31:AA31"/>
    <mergeCell ref="AB31:AC31"/>
    <mergeCell ref="AD31:AE31"/>
    <mergeCell ref="CZ31:DA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CN31:CO31"/>
    <mergeCell ref="CP31:CQ31"/>
    <mergeCell ref="CR31:CS31"/>
    <mergeCell ref="CT31:CU31"/>
    <mergeCell ref="CV31:CW31"/>
    <mergeCell ref="CX31:CY31"/>
    <mergeCell ref="CB31:CC31"/>
    <mergeCell ref="CD31:CE31"/>
    <mergeCell ref="CF31:CG31"/>
    <mergeCell ref="CH31:CI31"/>
    <mergeCell ref="CJ31:CK31"/>
    <mergeCell ref="CL31:CM31"/>
    <mergeCell ref="BP31:BQ31"/>
    <mergeCell ref="BR31:BS31"/>
    <mergeCell ref="BT31:BU31"/>
    <mergeCell ref="BV31:BW31"/>
    <mergeCell ref="BX31:BY31"/>
    <mergeCell ref="BZ31:CA31"/>
    <mergeCell ref="BD31:BE31"/>
    <mergeCell ref="BF31:BG31"/>
    <mergeCell ref="BH31:BI31"/>
    <mergeCell ref="BJ31:BK31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F32:AG32"/>
    <mergeCell ref="AH32:AI32"/>
    <mergeCell ref="AJ32:AK32"/>
    <mergeCell ref="AL32:AM32"/>
    <mergeCell ref="AN32:AO32"/>
    <mergeCell ref="AP32:AQ32"/>
    <mergeCell ref="T32:U32"/>
    <mergeCell ref="V32:W32"/>
    <mergeCell ref="X32:Y32"/>
    <mergeCell ref="Z32:AA32"/>
    <mergeCell ref="AB32:AC32"/>
    <mergeCell ref="AD32:AE32"/>
    <mergeCell ref="CZ32:DA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CN32:CO32"/>
    <mergeCell ref="CP32:CQ32"/>
    <mergeCell ref="CR32:CS32"/>
    <mergeCell ref="CT32:CU32"/>
    <mergeCell ref="CV32:CW32"/>
    <mergeCell ref="CX32:CY32"/>
    <mergeCell ref="CB32:CC32"/>
    <mergeCell ref="CD32:CE32"/>
    <mergeCell ref="CF32:CG32"/>
    <mergeCell ref="CH32:CI32"/>
    <mergeCell ref="CJ32:CK32"/>
    <mergeCell ref="CL32:CM32"/>
    <mergeCell ref="BP32:BQ32"/>
    <mergeCell ref="BR32:BS32"/>
    <mergeCell ref="BT32:BU32"/>
    <mergeCell ref="BV32:BW32"/>
    <mergeCell ref="BX32:BY32"/>
    <mergeCell ref="BZ32:CA32"/>
    <mergeCell ref="BD32:BE32"/>
    <mergeCell ref="BF32:BG32"/>
    <mergeCell ref="BH32:BI32"/>
    <mergeCell ref="BJ32:BK32"/>
    <mergeCell ref="BL33:BM33"/>
    <mergeCell ref="BN33:BO33"/>
    <mergeCell ref="AR33:AS33"/>
    <mergeCell ref="AT33:AU33"/>
    <mergeCell ref="AV33:AW33"/>
    <mergeCell ref="AX33:AY33"/>
    <mergeCell ref="AZ33:BA33"/>
    <mergeCell ref="BB33:BC33"/>
    <mergeCell ref="AF33:AG33"/>
    <mergeCell ref="AH33:AI33"/>
    <mergeCell ref="AJ33:AK33"/>
    <mergeCell ref="AL33:AM33"/>
    <mergeCell ref="AN33:AO33"/>
    <mergeCell ref="AP33:AQ33"/>
    <mergeCell ref="T33:U33"/>
    <mergeCell ref="V33:W33"/>
    <mergeCell ref="X33:Y33"/>
    <mergeCell ref="Z33:AA33"/>
    <mergeCell ref="AB33:AC33"/>
    <mergeCell ref="AD33:AE33"/>
    <mergeCell ref="CZ33:DA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CN33:CO33"/>
    <mergeCell ref="CP33:CQ33"/>
    <mergeCell ref="CR33:CS33"/>
    <mergeCell ref="CT33:CU33"/>
    <mergeCell ref="CV33:CW33"/>
    <mergeCell ref="CX33:CY33"/>
    <mergeCell ref="CB33:CC33"/>
    <mergeCell ref="CD33:CE33"/>
    <mergeCell ref="CF33:CG33"/>
    <mergeCell ref="CH33:CI33"/>
    <mergeCell ref="CJ33:CK33"/>
    <mergeCell ref="CL33:CM33"/>
    <mergeCell ref="BP33:BQ33"/>
    <mergeCell ref="BR33:BS33"/>
    <mergeCell ref="BT33:BU33"/>
    <mergeCell ref="BV33:BW33"/>
    <mergeCell ref="BX33:BY33"/>
    <mergeCell ref="BZ33:CA33"/>
    <mergeCell ref="BD33:BE33"/>
    <mergeCell ref="BF33:BG33"/>
    <mergeCell ref="BH33:BI33"/>
    <mergeCell ref="BJ33:BK33"/>
    <mergeCell ref="BL34:BM34"/>
    <mergeCell ref="BN34:BO34"/>
    <mergeCell ref="AR34:AS34"/>
    <mergeCell ref="AT34:AU34"/>
    <mergeCell ref="AV34:AW34"/>
    <mergeCell ref="AX34:AY34"/>
    <mergeCell ref="AZ34:BA34"/>
    <mergeCell ref="BB34:BC34"/>
    <mergeCell ref="AF34:AG34"/>
    <mergeCell ref="AH34:AI34"/>
    <mergeCell ref="AJ34:AK34"/>
    <mergeCell ref="AL34:AM34"/>
    <mergeCell ref="AN34:AO34"/>
    <mergeCell ref="AP34:AQ34"/>
    <mergeCell ref="T34:U34"/>
    <mergeCell ref="V34:W34"/>
    <mergeCell ref="X34:Y34"/>
    <mergeCell ref="Z34:AA34"/>
    <mergeCell ref="AB34:AC34"/>
    <mergeCell ref="AD34:AE34"/>
    <mergeCell ref="CZ34:DA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CN34:CO34"/>
    <mergeCell ref="CP34:CQ34"/>
    <mergeCell ref="CR34:CS34"/>
    <mergeCell ref="CT34:CU34"/>
    <mergeCell ref="CV34:CW34"/>
    <mergeCell ref="CX34:CY34"/>
    <mergeCell ref="CB34:CC34"/>
    <mergeCell ref="CD34:CE34"/>
    <mergeCell ref="CF34:CG34"/>
    <mergeCell ref="CH34:CI34"/>
    <mergeCell ref="CJ34:CK34"/>
    <mergeCell ref="CL34:CM34"/>
    <mergeCell ref="BP34:BQ34"/>
    <mergeCell ref="BR34:BS34"/>
    <mergeCell ref="BT34:BU34"/>
    <mergeCell ref="BV34:BW34"/>
    <mergeCell ref="BX34:BY34"/>
    <mergeCell ref="BZ34:CA34"/>
    <mergeCell ref="BD34:BE34"/>
    <mergeCell ref="BF34:BG34"/>
    <mergeCell ref="BH34:BI34"/>
    <mergeCell ref="BJ34:BK34"/>
    <mergeCell ref="BL35:BM35"/>
    <mergeCell ref="BN35:BO35"/>
    <mergeCell ref="AR35:AS35"/>
    <mergeCell ref="AT35:AU35"/>
    <mergeCell ref="AV35:AW35"/>
    <mergeCell ref="AX35:AY35"/>
    <mergeCell ref="AZ35:BA35"/>
    <mergeCell ref="BB35:BC35"/>
    <mergeCell ref="AF35:AG35"/>
    <mergeCell ref="AH35:AI35"/>
    <mergeCell ref="AJ35:AK35"/>
    <mergeCell ref="AL35:AM35"/>
    <mergeCell ref="AN35:AO35"/>
    <mergeCell ref="AP35:AQ35"/>
    <mergeCell ref="T35:U35"/>
    <mergeCell ref="V35:W35"/>
    <mergeCell ref="X35:Y35"/>
    <mergeCell ref="Z35:AA35"/>
    <mergeCell ref="AB35:AC35"/>
    <mergeCell ref="AD35:AE35"/>
    <mergeCell ref="CZ35:DA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CN35:CO35"/>
    <mergeCell ref="CP35:CQ35"/>
    <mergeCell ref="CR35:CS35"/>
    <mergeCell ref="CT35:CU35"/>
    <mergeCell ref="CV35:CW35"/>
    <mergeCell ref="CX35:CY35"/>
    <mergeCell ref="CB35:CC35"/>
    <mergeCell ref="CD35:CE35"/>
    <mergeCell ref="CF35:CG35"/>
    <mergeCell ref="CH35:CI35"/>
    <mergeCell ref="CJ35:CK35"/>
    <mergeCell ref="CL35:CM35"/>
    <mergeCell ref="BP35:BQ35"/>
    <mergeCell ref="BR35:BS35"/>
    <mergeCell ref="BT35:BU35"/>
    <mergeCell ref="BV35:BW35"/>
    <mergeCell ref="BX35:BY35"/>
    <mergeCell ref="BZ35:CA35"/>
    <mergeCell ref="BD35:BE35"/>
    <mergeCell ref="BF35:BG35"/>
    <mergeCell ref="BH35:BI35"/>
    <mergeCell ref="BJ35:BK35"/>
    <mergeCell ref="BL36:BM36"/>
    <mergeCell ref="BN36:BO36"/>
    <mergeCell ref="AR36:AS36"/>
    <mergeCell ref="AT36:AU36"/>
    <mergeCell ref="AV36:AW36"/>
    <mergeCell ref="AX36:AY36"/>
    <mergeCell ref="AZ36:BA36"/>
    <mergeCell ref="BB36:BC36"/>
    <mergeCell ref="AF36:AG36"/>
    <mergeCell ref="AH36:AI36"/>
    <mergeCell ref="AJ36:AK36"/>
    <mergeCell ref="AL36:AM36"/>
    <mergeCell ref="AN36:AO36"/>
    <mergeCell ref="AP36:AQ36"/>
    <mergeCell ref="T36:U36"/>
    <mergeCell ref="V36:W36"/>
    <mergeCell ref="X36:Y36"/>
    <mergeCell ref="Z36:AA36"/>
    <mergeCell ref="AB36:AC36"/>
    <mergeCell ref="AD36:AE36"/>
    <mergeCell ref="CZ36:DA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CN36:CO36"/>
    <mergeCell ref="CP36:CQ36"/>
    <mergeCell ref="CR36:CS36"/>
    <mergeCell ref="CT36:CU36"/>
    <mergeCell ref="CV36:CW36"/>
    <mergeCell ref="CX36:CY36"/>
    <mergeCell ref="CB36:CC36"/>
    <mergeCell ref="CD36:CE36"/>
    <mergeCell ref="CF36:CG36"/>
    <mergeCell ref="CH36:CI36"/>
    <mergeCell ref="CJ36:CK36"/>
    <mergeCell ref="CL36:CM36"/>
    <mergeCell ref="BP36:BQ36"/>
    <mergeCell ref="BR36:BS36"/>
    <mergeCell ref="BT36:BU36"/>
    <mergeCell ref="BV36:BW36"/>
    <mergeCell ref="BX36:BY36"/>
    <mergeCell ref="BZ36:CA36"/>
    <mergeCell ref="BD36:BE36"/>
    <mergeCell ref="BF36:BG36"/>
    <mergeCell ref="BH36:BI36"/>
    <mergeCell ref="BJ36:BK36"/>
    <mergeCell ref="BL37:BM37"/>
    <mergeCell ref="BN37:BO37"/>
    <mergeCell ref="AR37:AS37"/>
    <mergeCell ref="AT37:AU37"/>
    <mergeCell ref="AV37:AW37"/>
    <mergeCell ref="AX37:AY37"/>
    <mergeCell ref="AZ37:BA37"/>
    <mergeCell ref="BB37:BC37"/>
    <mergeCell ref="AF37:AG37"/>
    <mergeCell ref="AH37:AI37"/>
    <mergeCell ref="AJ37:AK37"/>
    <mergeCell ref="AL37:AM37"/>
    <mergeCell ref="AN37:AO37"/>
    <mergeCell ref="AP37:AQ37"/>
    <mergeCell ref="T37:U37"/>
    <mergeCell ref="V37:W37"/>
    <mergeCell ref="X37:Y37"/>
    <mergeCell ref="Z37:AA37"/>
    <mergeCell ref="AB37:AC37"/>
    <mergeCell ref="AD37:AE37"/>
    <mergeCell ref="CZ37:DA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CN37:CO37"/>
    <mergeCell ref="CP37:CQ37"/>
    <mergeCell ref="CR37:CS37"/>
    <mergeCell ref="CT37:CU37"/>
    <mergeCell ref="CV37:CW37"/>
    <mergeCell ref="CX37:CY37"/>
    <mergeCell ref="CB37:CC37"/>
    <mergeCell ref="CD37:CE37"/>
    <mergeCell ref="CF37:CG37"/>
    <mergeCell ref="CH37:CI37"/>
    <mergeCell ref="CJ37:CK37"/>
    <mergeCell ref="CL37:CM37"/>
    <mergeCell ref="BP37:BQ37"/>
    <mergeCell ref="BR37:BS37"/>
    <mergeCell ref="BT37:BU37"/>
    <mergeCell ref="BV37:BW37"/>
    <mergeCell ref="BX37:BY37"/>
    <mergeCell ref="BZ37:CA37"/>
    <mergeCell ref="BD37:BE37"/>
    <mergeCell ref="BF37:BG37"/>
    <mergeCell ref="BH37:BI37"/>
    <mergeCell ref="BJ37:BK37"/>
    <mergeCell ref="BL38:BM38"/>
    <mergeCell ref="BN38:BO38"/>
    <mergeCell ref="AR38:AS38"/>
    <mergeCell ref="AT38:AU38"/>
    <mergeCell ref="AV38:AW38"/>
    <mergeCell ref="AX38:AY38"/>
    <mergeCell ref="AZ38:BA38"/>
    <mergeCell ref="BB38:BC38"/>
    <mergeCell ref="AF38:AG38"/>
    <mergeCell ref="AH38:AI38"/>
    <mergeCell ref="AJ38:AK38"/>
    <mergeCell ref="AL38:AM38"/>
    <mergeCell ref="AN38:AO38"/>
    <mergeCell ref="AP38:AQ38"/>
    <mergeCell ref="T38:U38"/>
    <mergeCell ref="V38:W38"/>
    <mergeCell ref="X38:Y38"/>
    <mergeCell ref="Z38:AA38"/>
    <mergeCell ref="AB38:AC38"/>
    <mergeCell ref="AD38:AE38"/>
    <mergeCell ref="CZ38:DA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CN38:CO38"/>
    <mergeCell ref="CP38:CQ38"/>
    <mergeCell ref="CR38:CS38"/>
    <mergeCell ref="CT38:CU38"/>
    <mergeCell ref="CV38:CW38"/>
    <mergeCell ref="CX38:CY38"/>
    <mergeCell ref="CB38:CC38"/>
    <mergeCell ref="CD38:CE38"/>
    <mergeCell ref="CF38:CG38"/>
    <mergeCell ref="CH38:CI38"/>
    <mergeCell ref="CJ38:CK38"/>
    <mergeCell ref="CL38:CM38"/>
    <mergeCell ref="BP38:BQ38"/>
    <mergeCell ref="BR38:BS38"/>
    <mergeCell ref="BT38:BU38"/>
    <mergeCell ref="BV38:BW38"/>
    <mergeCell ref="BX38:BY38"/>
    <mergeCell ref="BZ38:CA38"/>
    <mergeCell ref="BD38:BE38"/>
    <mergeCell ref="BF38:BG38"/>
    <mergeCell ref="BH38:BI38"/>
    <mergeCell ref="BJ38:BK38"/>
    <mergeCell ref="BL39:BM39"/>
    <mergeCell ref="BN39:BO39"/>
    <mergeCell ref="AR39:AS39"/>
    <mergeCell ref="AT39:AU39"/>
    <mergeCell ref="AV39:AW39"/>
    <mergeCell ref="AX39:AY39"/>
    <mergeCell ref="AZ39:BA39"/>
    <mergeCell ref="BB39:BC39"/>
    <mergeCell ref="AF39:AG39"/>
    <mergeCell ref="AH39:AI39"/>
    <mergeCell ref="AJ39:AK39"/>
    <mergeCell ref="AL39:AM39"/>
    <mergeCell ref="AN39:AO39"/>
    <mergeCell ref="AP39:AQ39"/>
    <mergeCell ref="T39:U39"/>
    <mergeCell ref="V39:W39"/>
    <mergeCell ref="X39:Y39"/>
    <mergeCell ref="Z39:AA39"/>
    <mergeCell ref="AB39:AC39"/>
    <mergeCell ref="AD39:AE39"/>
    <mergeCell ref="CZ39:DA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CN39:CO39"/>
    <mergeCell ref="CP39:CQ39"/>
    <mergeCell ref="CR39:CS39"/>
    <mergeCell ref="CT39:CU39"/>
    <mergeCell ref="CV39:CW39"/>
    <mergeCell ref="CX39:CY39"/>
    <mergeCell ref="CB39:CC39"/>
    <mergeCell ref="CD39:CE39"/>
    <mergeCell ref="CF39:CG39"/>
    <mergeCell ref="CH39:CI39"/>
    <mergeCell ref="CJ39:CK39"/>
    <mergeCell ref="CL39:CM39"/>
    <mergeCell ref="BP39:BQ39"/>
    <mergeCell ref="BR39:BS39"/>
    <mergeCell ref="BT39:BU39"/>
    <mergeCell ref="BV39:BW39"/>
    <mergeCell ref="BX39:BY39"/>
    <mergeCell ref="BZ39:CA39"/>
    <mergeCell ref="BD39:BE39"/>
    <mergeCell ref="BF39:BG39"/>
    <mergeCell ref="BH39:BI39"/>
    <mergeCell ref="BJ39:BK39"/>
    <mergeCell ref="BL40:BM40"/>
    <mergeCell ref="BN40:BO40"/>
    <mergeCell ref="AR40:AS40"/>
    <mergeCell ref="AT40:AU40"/>
    <mergeCell ref="AV40:AW40"/>
    <mergeCell ref="AX40:AY40"/>
    <mergeCell ref="AZ40:BA40"/>
    <mergeCell ref="BB40:BC40"/>
    <mergeCell ref="AF40:AG40"/>
    <mergeCell ref="AH40:AI40"/>
    <mergeCell ref="AJ40:AK40"/>
    <mergeCell ref="AL40:AM40"/>
    <mergeCell ref="AN40:AO40"/>
    <mergeCell ref="AP40:AQ40"/>
    <mergeCell ref="T40:U40"/>
    <mergeCell ref="V40:W40"/>
    <mergeCell ref="X40:Y40"/>
    <mergeCell ref="Z40:AA40"/>
    <mergeCell ref="AB40:AC40"/>
    <mergeCell ref="AD40:AE40"/>
    <mergeCell ref="CZ40:DA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CN40:CO40"/>
    <mergeCell ref="CP40:CQ40"/>
    <mergeCell ref="CR40:CS40"/>
    <mergeCell ref="CT40:CU40"/>
    <mergeCell ref="CV40:CW40"/>
    <mergeCell ref="CX40:CY40"/>
    <mergeCell ref="CB40:CC40"/>
    <mergeCell ref="CD40:CE40"/>
    <mergeCell ref="CF40:CG40"/>
    <mergeCell ref="CH40:CI40"/>
    <mergeCell ref="CJ40:CK40"/>
    <mergeCell ref="CL40:CM40"/>
    <mergeCell ref="BP40:BQ40"/>
    <mergeCell ref="BR40:BS40"/>
    <mergeCell ref="BT40:BU40"/>
    <mergeCell ref="BV40:BW40"/>
    <mergeCell ref="BX40:BY40"/>
    <mergeCell ref="BZ40:CA40"/>
    <mergeCell ref="BD40:BE40"/>
    <mergeCell ref="BF40:BG40"/>
    <mergeCell ref="BH40:BI40"/>
    <mergeCell ref="BJ40:BK40"/>
    <mergeCell ref="BL41:BM41"/>
    <mergeCell ref="BN41:BO41"/>
    <mergeCell ref="AR41:AS41"/>
    <mergeCell ref="AT41:AU41"/>
    <mergeCell ref="AV41:AW41"/>
    <mergeCell ref="AX41:AY41"/>
    <mergeCell ref="AZ41:BA41"/>
    <mergeCell ref="BB41:BC41"/>
    <mergeCell ref="AF41:AG41"/>
    <mergeCell ref="AH41:AI41"/>
    <mergeCell ref="AJ41:AK41"/>
    <mergeCell ref="AL41:AM41"/>
    <mergeCell ref="AN41:AO41"/>
    <mergeCell ref="AP41:AQ41"/>
    <mergeCell ref="T41:U41"/>
    <mergeCell ref="V41:W41"/>
    <mergeCell ref="X41:Y41"/>
    <mergeCell ref="Z41:AA41"/>
    <mergeCell ref="AB41:AC41"/>
    <mergeCell ref="AD41:AE41"/>
    <mergeCell ref="CZ41:DA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CN41:CO41"/>
    <mergeCell ref="CP41:CQ41"/>
    <mergeCell ref="CR41:CS41"/>
    <mergeCell ref="CT41:CU41"/>
    <mergeCell ref="CV41:CW41"/>
    <mergeCell ref="CX41:CY41"/>
    <mergeCell ref="CB41:CC41"/>
    <mergeCell ref="CD41:CE41"/>
    <mergeCell ref="CF41:CG41"/>
    <mergeCell ref="CH41:CI41"/>
    <mergeCell ref="CJ41:CK41"/>
    <mergeCell ref="CL41:CM41"/>
    <mergeCell ref="BP41:BQ41"/>
    <mergeCell ref="BR41:BS41"/>
    <mergeCell ref="BT41:BU41"/>
    <mergeCell ref="BV41:BW41"/>
    <mergeCell ref="BX41:BY41"/>
    <mergeCell ref="BZ41:CA41"/>
    <mergeCell ref="BD41:BE41"/>
    <mergeCell ref="BF41:BG41"/>
    <mergeCell ref="BH41:BI41"/>
    <mergeCell ref="BJ41:BK41"/>
    <mergeCell ref="BL42:BM42"/>
    <mergeCell ref="BN42:BO42"/>
    <mergeCell ref="AR42:AS42"/>
    <mergeCell ref="AT42:AU42"/>
    <mergeCell ref="AV42:AW42"/>
    <mergeCell ref="AX42:AY42"/>
    <mergeCell ref="AZ42:BA42"/>
    <mergeCell ref="BB42:BC42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CZ42:DA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CN42:CO42"/>
    <mergeCell ref="CP42:CQ42"/>
    <mergeCell ref="CR42:CS42"/>
    <mergeCell ref="CT42:CU42"/>
    <mergeCell ref="CV42:CW42"/>
    <mergeCell ref="CX42:CY42"/>
    <mergeCell ref="CB42:CC42"/>
    <mergeCell ref="CD42:CE42"/>
    <mergeCell ref="CF42:CG42"/>
    <mergeCell ref="CH42:CI42"/>
    <mergeCell ref="CJ42:CK42"/>
    <mergeCell ref="CL42:CM42"/>
    <mergeCell ref="BP42:BQ42"/>
    <mergeCell ref="BR42:BS42"/>
    <mergeCell ref="BT42:BU42"/>
    <mergeCell ref="BV42:BW42"/>
    <mergeCell ref="BX42:BY42"/>
    <mergeCell ref="BZ42:CA42"/>
    <mergeCell ref="BD42:BE42"/>
    <mergeCell ref="BF42:BG42"/>
    <mergeCell ref="BH42:BI42"/>
    <mergeCell ref="BJ42:BK42"/>
    <mergeCell ref="BL43:BM43"/>
    <mergeCell ref="BN43:BO43"/>
    <mergeCell ref="AR43:AS43"/>
    <mergeCell ref="AT43:AU43"/>
    <mergeCell ref="AV43:AW43"/>
    <mergeCell ref="AX43:AY43"/>
    <mergeCell ref="AZ43:BA43"/>
    <mergeCell ref="BB43:BC43"/>
    <mergeCell ref="AF43:AG43"/>
    <mergeCell ref="AH43:AI43"/>
    <mergeCell ref="AJ43:AK43"/>
    <mergeCell ref="AL43:AM43"/>
    <mergeCell ref="AN43:AO43"/>
    <mergeCell ref="AP43:AQ43"/>
    <mergeCell ref="T43:U43"/>
    <mergeCell ref="V43:W43"/>
    <mergeCell ref="X43:Y43"/>
    <mergeCell ref="Z43:AA43"/>
    <mergeCell ref="AB43:AC43"/>
    <mergeCell ref="AD43:AE43"/>
    <mergeCell ref="CZ43:DA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CN43:CO43"/>
    <mergeCell ref="CP43:CQ43"/>
    <mergeCell ref="CR43:CS43"/>
    <mergeCell ref="CT43:CU43"/>
    <mergeCell ref="CV43:CW43"/>
    <mergeCell ref="CX43:CY43"/>
    <mergeCell ref="CB43:CC43"/>
    <mergeCell ref="CD43:CE43"/>
    <mergeCell ref="CF43:CG43"/>
    <mergeCell ref="CH43:CI43"/>
    <mergeCell ref="CJ43:CK43"/>
    <mergeCell ref="CL43:CM43"/>
    <mergeCell ref="BP43:BQ43"/>
    <mergeCell ref="BR43:BS43"/>
    <mergeCell ref="BT43:BU43"/>
    <mergeCell ref="BV43:BW43"/>
    <mergeCell ref="BX43:BY43"/>
    <mergeCell ref="BZ43:CA43"/>
    <mergeCell ref="BD43:BE43"/>
    <mergeCell ref="BF43:BG43"/>
    <mergeCell ref="BH43:BI43"/>
    <mergeCell ref="BJ43:BK43"/>
    <mergeCell ref="BL44:BM44"/>
    <mergeCell ref="BN44:BO44"/>
    <mergeCell ref="AR44:AS44"/>
    <mergeCell ref="AT44:AU44"/>
    <mergeCell ref="AV44:AW44"/>
    <mergeCell ref="AX44:AY44"/>
    <mergeCell ref="AZ44:BA44"/>
    <mergeCell ref="BB44:BC44"/>
    <mergeCell ref="AF44:AG44"/>
    <mergeCell ref="AH44:AI44"/>
    <mergeCell ref="AJ44:AK44"/>
    <mergeCell ref="AL44:AM44"/>
    <mergeCell ref="AN44:AO44"/>
    <mergeCell ref="AP44:AQ44"/>
    <mergeCell ref="T44:U44"/>
    <mergeCell ref="V44:W44"/>
    <mergeCell ref="X44:Y44"/>
    <mergeCell ref="Z44:AA44"/>
    <mergeCell ref="AB44:AC44"/>
    <mergeCell ref="AD44:AE44"/>
    <mergeCell ref="CZ44:DA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CN44:CO44"/>
    <mergeCell ref="CP44:CQ44"/>
    <mergeCell ref="CR44:CS44"/>
    <mergeCell ref="CT44:CU44"/>
    <mergeCell ref="CV44:CW44"/>
    <mergeCell ref="CX44:CY44"/>
    <mergeCell ref="CB44:CC44"/>
    <mergeCell ref="CD44:CE44"/>
    <mergeCell ref="CF44:CG44"/>
    <mergeCell ref="CH44:CI44"/>
    <mergeCell ref="CJ44:CK44"/>
    <mergeCell ref="CL44:CM44"/>
    <mergeCell ref="BP44:BQ44"/>
    <mergeCell ref="BR44:BS44"/>
    <mergeCell ref="BT44:BU44"/>
    <mergeCell ref="BV44:BW44"/>
    <mergeCell ref="BX44:BY44"/>
    <mergeCell ref="BZ44:CA44"/>
    <mergeCell ref="BD44:BE44"/>
    <mergeCell ref="BF44:BG44"/>
    <mergeCell ref="BH44:BI44"/>
    <mergeCell ref="BJ44:BK44"/>
    <mergeCell ref="BL45:BM45"/>
    <mergeCell ref="BN45:BO45"/>
    <mergeCell ref="AR45:AS45"/>
    <mergeCell ref="AT45:AU45"/>
    <mergeCell ref="AV45:AW45"/>
    <mergeCell ref="AX45:AY45"/>
    <mergeCell ref="AZ45:BA45"/>
    <mergeCell ref="BB45:BC45"/>
    <mergeCell ref="AF45:AG45"/>
    <mergeCell ref="AH45:AI45"/>
    <mergeCell ref="AJ45:AK45"/>
    <mergeCell ref="AL45:AM45"/>
    <mergeCell ref="AN45:AO45"/>
    <mergeCell ref="AP45:AQ45"/>
    <mergeCell ref="T45:U45"/>
    <mergeCell ref="V45:W45"/>
    <mergeCell ref="X45:Y45"/>
    <mergeCell ref="Z45:AA45"/>
    <mergeCell ref="AB45:AC45"/>
    <mergeCell ref="AD45:AE45"/>
    <mergeCell ref="CZ45:DA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CN45:CO45"/>
    <mergeCell ref="CP45:CQ45"/>
    <mergeCell ref="CR45:CS45"/>
    <mergeCell ref="CT45:CU45"/>
    <mergeCell ref="CV45:CW45"/>
    <mergeCell ref="CX45:CY45"/>
    <mergeCell ref="CB45:CC45"/>
    <mergeCell ref="CD45:CE45"/>
    <mergeCell ref="CF45:CG45"/>
    <mergeCell ref="CH45:CI45"/>
    <mergeCell ref="CJ45:CK45"/>
    <mergeCell ref="CL45:CM45"/>
    <mergeCell ref="BP45:BQ45"/>
    <mergeCell ref="BR45:BS45"/>
    <mergeCell ref="BT45:BU45"/>
    <mergeCell ref="BV45:BW45"/>
    <mergeCell ref="BX45:BY45"/>
    <mergeCell ref="BZ45:CA45"/>
    <mergeCell ref="BD45:BE45"/>
    <mergeCell ref="BF45:BG45"/>
    <mergeCell ref="BH45:BI45"/>
    <mergeCell ref="BJ45:BK45"/>
    <mergeCell ref="BL46:BM46"/>
    <mergeCell ref="BN46:BO46"/>
    <mergeCell ref="AR46:AS46"/>
    <mergeCell ref="AT46:AU46"/>
    <mergeCell ref="AV46:AW46"/>
    <mergeCell ref="AX46:AY46"/>
    <mergeCell ref="AZ46:BA46"/>
    <mergeCell ref="BB46:BC46"/>
    <mergeCell ref="AF46:AG46"/>
    <mergeCell ref="AH46:AI46"/>
    <mergeCell ref="AJ46:AK46"/>
    <mergeCell ref="AL46:AM46"/>
    <mergeCell ref="AN46:AO46"/>
    <mergeCell ref="AP46:AQ46"/>
    <mergeCell ref="T46:U46"/>
    <mergeCell ref="V46:W46"/>
    <mergeCell ref="X46:Y46"/>
    <mergeCell ref="Z46:AA46"/>
    <mergeCell ref="AB46:AC46"/>
    <mergeCell ref="AD46:AE46"/>
    <mergeCell ref="CZ46:DA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CN46:CO46"/>
    <mergeCell ref="CP46:CQ46"/>
    <mergeCell ref="CR46:CS46"/>
    <mergeCell ref="CT46:CU46"/>
    <mergeCell ref="CV46:CW46"/>
    <mergeCell ref="CX46:CY46"/>
    <mergeCell ref="CB46:CC46"/>
    <mergeCell ref="CD46:CE46"/>
    <mergeCell ref="CF46:CG46"/>
    <mergeCell ref="CH46:CI46"/>
    <mergeCell ref="CJ46:CK46"/>
    <mergeCell ref="CL46:CM46"/>
    <mergeCell ref="BP46:BQ46"/>
    <mergeCell ref="BR46:BS46"/>
    <mergeCell ref="BT46:BU46"/>
    <mergeCell ref="BV46:BW46"/>
    <mergeCell ref="BX46:BY46"/>
    <mergeCell ref="BZ46:CA46"/>
    <mergeCell ref="BD46:BE46"/>
    <mergeCell ref="BF46:BG46"/>
    <mergeCell ref="BH46:BI46"/>
    <mergeCell ref="BJ46:BK46"/>
    <mergeCell ref="BL47:BM47"/>
    <mergeCell ref="BN47:BO47"/>
    <mergeCell ref="AR47:AS47"/>
    <mergeCell ref="AT47:AU47"/>
    <mergeCell ref="AV47:AW47"/>
    <mergeCell ref="AX47:AY47"/>
    <mergeCell ref="AZ47:BA47"/>
    <mergeCell ref="BB47:BC47"/>
    <mergeCell ref="AF47:AG47"/>
    <mergeCell ref="AH47:AI47"/>
    <mergeCell ref="AJ47:AK47"/>
    <mergeCell ref="AL47:AM47"/>
    <mergeCell ref="AN47:AO47"/>
    <mergeCell ref="AP47:AQ47"/>
    <mergeCell ref="T47:U47"/>
    <mergeCell ref="V47:W47"/>
    <mergeCell ref="X47:Y47"/>
    <mergeCell ref="Z47:AA47"/>
    <mergeCell ref="AB47:AC47"/>
    <mergeCell ref="AD47:AE47"/>
    <mergeCell ref="CZ47:DA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CN47:CO47"/>
    <mergeCell ref="CP47:CQ47"/>
    <mergeCell ref="CR47:CS47"/>
    <mergeCell ref="CT47:CU47"/>
    <mergeCell ref="CV47:CW47"/>
    <mergeCell ref="CX47:CY47"/>
    <mergeCell ref="CB47:CC47"/>
    <mergeCell ref="CD47:CE47"/>
    <mergeCell ref="CF47:CG47"/>
    <mergeCell ref="CH47:CI47"/>
    <mergeCell ref="CJ47:CK47"/>
    <mergeCell ref="CL47:CM47"/>
    <mergeCell ref="BP47:BQ47"/>
    <mergeCell ref="BR47:BS47"/>
    <mergeCell ref="BT47:BU47"/>
    <mergeCell ref="BV47:BW47"/>
    <mergeCell ref="BX47:BY47"/>
    <mergeCell ref="BZ47:CA47"/>
    <mergeCell ref="BD47:BE47"/>
    <mergeCell ref="BF47:BG47"/>
    <mergeCell ref="BH47:BI47"/>
    <mergeCell ref="BJ47:BK47"/>
    <mergeCell ref="BH48:BI48"/>
    <mergeCell ref="BJ48:BK48"/>
    <mergeCell ref="BL48:BM48"/>
    <mergeCell ref="BN48:BO48"/>
    <mergeCell ref="AR48:AS48"/>
    <mergeCell ref="AT48:AU48"/>
    <mergeCell ref="AV48:AW48"/>
    <mergeCell ref="AX48:AY48"/>
    <mergeCell ref="AZ48:BA48"/>
    <mergeCell ref="BB48:BC48"/>
    <mergeCell ref="AF48:AG48"/>
    <mergeCell ref="AH48:AI48"/>
    <mergeCell ref="AJ48:AK48"/>
    <mergeCell ref="AL48:AM48"/>
    <mergeCell ref="AN48:AO48"/>
    <mergeCell ref="AP48:AQ48"/>
    <mergeCell ref="T48:U48"/>
    <mergeCell ref="V48:W48"/>
    <mergeCell ref="X48:Y48"/>
    <mergeCell ref="Z48:AA48"/>
    <mergeCell ref="AB48:AC48"/>
    <mergeCell ref="AD48:AE48"/>
    <mergeCell ref="DE3:DF3"/>
    <mergeCell ref="DE8:DF8"/>
    <mergeCell ref="DE9:DF9"/>
    <mergeCell ref="CZ48:DA48"/>
    <mergeCell ref="G49:H49"/>
    <mergeCell ref="I49:R49"/>
    <mergeCell ref="S49:T49"/>
    <mergeCell ref="U49:AC49"/>
    <mergeCell ref="AD49:AE49"/>
    <mergeCell ref="AF49:AO49"/>
    <mergeCell ref="AP49:AQ49"/>
    <mergeCell ref="AR49:BC49"/>
    <mergeCell ref="CN48:CO48"/>
    <mergeCell ref="CP48:CQ48"/>
    <mergeCell ref="CR48:CS48"/>
    <mergeCell ref="CT48:CU48"/>
    <mergeCell ref="CV48:CW48"/>
    <mergeCell ref="CX48:CY48"/>
    <mergeCell ref="CB48:CC48"/>
    <mergeCell ref="CD48:CE48"/>
    <mergeCell ref="CF48:CG48"/>
    <mergeCell ref="CH48:CI48"/>
    <mergeCell ref="CJ48:CK48"/>
    <mergeCell ref="CL48:CM48"/>
    <mergeCell ref="BP48:BQ48"/>
    <mergeCell ref="BR48:BS48"/>
    <mergeCell ref="BT48:BU48"/>
    <mergeCell ref="BV48:BW48"/>
    <mergeCell ref="BX48:BY48"/>
    <mergeCell ref="BZ48:CA48"/>
    <mergeCell ref="BD48:BE48"/>
    <mergeCell ref="BF48:BG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2013-14</vt:lpstr>
      <vt:lpstr>2014-15</vt:lpstr>
      <vt:lpstr>2015-16</vt:lpstr>
      <vt:lpstr>2016-17</vt:lpstr>
      <vt:lpstr>2017-18</vt:lpstr>
      <vt:lpstr>2018-19</vt:lpstr>
      <vt:lpstr>2019-20</vt:lpstr>
      <vt:lpstr>2020-21</vt:lpstr>
      <vt:lpstr>2021-22</vt:lpstr>
      <vt:lpstr>2022-23</vt:lpstr>
      <vt:lpstr>2023-24</vt:lpstr>
      <vt:lpstr>2024-25</vt:lpstr>
      <vt:lpstr>2025-26</vt:lpstr>
      <vt:lpstr>VENTIL 2021</vt:lpstr>
      <vt:lpstr>Feuil3</vt:lpstr>
      <vt:lpstr>base</vt:lpstr>
      <vt:lpstr>Feuil2</vt:lpstr>
      <vt:lpstr>Planning 2021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DORY</dc:creator>
  <cp:lastModifiedBy>Jerome FROGER</cp:lastModifiedBy>
  <cp:revision>4</cp:revision>
  <cp:lastPrinted>2025-06-06T04:51:25Z</cp:lastPrinted>
  <dcterms:created xsi:type="dcterms:W3CDTF">2013-10-31T15:19:18Z</dcterms:created>
  <dcterms:modified xsi:type="dcterms:W3CDTF">2026-04-27T15:44:14Z</dcterms:modified>
</cp:coreProperties>
</file>